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DISCO\FORMACION\Excel\"/>
    </mc:Choice>
  </mc:AlternateContent>
  <bookViews>
    <workbookView xWindow="120" yWindow="75" windowWidth="10275" windowHeight="7830" tabRatio="716"/>
  </bookViews>
  <sheets>
    <sheet name="CONTROL" sheetId="9" r:id="rId1"/>
    <sheet name="LAS CARRERAS" sheetId="6" r:id="rId2"/>
    <sheet name="LAS CATEGORIAS" sheetId="5" r:id="rId3"/>
    <sheet name="LOS CORREDORES" sheetId="2" r:id="rId4"/>
    <sheet name="LOS EQUIPOS" sheetId="3" r:id="rId5"/>
    <sheet name="LOS TIEMPOS" sheetId="1" r:id="rId6"/>
    <sheet name="CLASIFICACIONES CARRERA" sheetId="7" state="hidden" r:id="rId7"/>
    <sheet name="CLASIFICACIONES EQUIPOS" sheetId="8" state="hidden" r:id="rId8"/>
    <sheet name="CLASIFICACIONES EQUIPOS s" sheetId="4" state="hidden" r:id="rId9"/>
  </sheets>
  <definedNames>
    <definedName name="_xlnm._FilterDatabase" localSheetId="8" hidden="1">'CLASIFICACIONES EQUIPOS s'!$A$3:$A$45</definedName>
    <definedName name="_xlnm._FilterDatabase" localSheetId="1" hidden="1">'LAS CARRERAS'!$D$3:$F$16</definedName>
    <definedName name="_xlnm._FilterDatabase" localSheetId="2" hidden="1">'LAS CATEGORIAS'!$F$3:$H$17</definedName>
    <definedName name="_xlnm._FilterDatabase" localSheetId="4" hidden="1">'LOS EQUIPOS'!$A$3:$A$4</definedName>
    <definedName name="DatoEstado">CONTROL!$H$3</definedName>
    <definedName name="DatoNumClubs">CONTROL!$I$7</definedName>
    <definedName name="DatoNumInscritos">CONTROL!$I$6</definedName>
    <definedName name="DatoNumTiempos">CONTROL!$I$8</definedName>
    <definedName name="ElPistoletazo">'LOS TIEMPOS'!$J$2</definedName>
    <definedName name="ElTiempoSalida">'LOS TIEMPOS'!$K$2</definedName>
    <definedName name="EstadoSinCarrera">'LAS CARRERAS'!$B$4</definedName>
    <definedName name="HoraAhora">TablaCarreras[[#Headers],[Calcular]]</definedName>
    <definedName name="HoraInicio">'LAS CARRERAS'!$H$3</definedName>
    <definedName name="HoraInicioCarrera01">'LAS CARRERAS'!$H$5</definedName>
    <definedName name="HoraInicioCarrera02">'LAS CARRERAS'!$H$6</definedName>
    <definedName name="HoraInicioCarrera03">'LAS CARRERAS'!$H$7</definedName>
    <definedName name="HoraInicioCarrera04">'LAS CARRERAS'!$H$8</definedName>
    <definedName name="HoraInicioCarrera05">'LAS CARRERAS'!$H$9</definedName>
    <definedName name="HoraInicioCarrera06">'LAS CARRERAS'!$H$10</definedName>
    <definedName name="HoraInicioCarrera07">'LAS CARRERAS'!$H$11</definedName>
    <definedName name="HoraInicioCarrera08">'LAS CARRERAS'!$H$12</definedName>
    <definedName name="HoraInicioCarrera09">'LAS CARRERAS'!$H$13</definedName>
    <definedName name="HoraInicioCarrera10">'LAS CARRERAS'!$H$14</definedName>
    <definedName name="HoraInicioCarrera11">'LAS CARRERAS'!$H$15</definedName>
    <definedName name="HoraInicioCarrera12">'LAS CARRERAS'!$H$16</definedName>
    <definedName name="HoraInicioCarrera13">'LAS CARRERAS'!$H$16</definedName>
    <definedName name="InscripcionesCarrera">TablaCorredores[Carrera]</definedName>
    <definedName name="InscripcionesCategoría">TablaCorredores[Categoría]</definedName>
    <definedName name="InscripcionesClub">TablaCorredores[Club]</definedName>
    <definedName name="LaCarrera" localSheetId="7">'CLASIFICACIONES EQUIPOS'!$C$2</definedName>
    <definedName name="LaCarrera">'CLASIFICACIONES CARRERA'!$C$2</definedName>
    <definedName name="LaCategoria" localSheetId="7">'CLASIFICACIONES EQUIPOS'!$C$3</definedName>
    <definedName name="LaCategoria">'CLASIFICACIONES CARRERA'!$C$3</definedName>
    <definedName name="LasCarreras">TablaCarreras[Carrera]</definedName>
    <definedName name="LasCategorías" localSheetId="7">TablaCategorias[Categoría]</definedName>
    <definedName name="LasCategorías">TablaCategorias[Categoría]</definedName>
    <definedName name="LosSexos">TablaSexos[SEXOS]</definedName>
    <definedName name="RangoBotonesParar">'LAS CARRERAS'!$J$5:$J$16</definedName>
    <definedName name="RangoEstadoCarreras">'LAS CARRERAS'!$B$5:$B$16</definedName>
    <definedName name="RangoHorasInicio">'LAS CARRERAS'!$H$5:$H$16</definedName>
    <definedName name="RangoSexos">TablaSexos[SEXOS]</definedName>
  </definedNames>
  <calcPr calcId="152511"/>
</workbook>
</file>

<file path=xl/calcChain.xml><?xml version="1.0" encoding="utf-8"?>
<calcChain xmlns="http://schemas.openxmlformats.org/spreadsheetml/2006/main">
  <c r="A13" i="1" l="1"/>
  <c r="B13" i="1" s="1"/>
  <c r="C13" i="1"/>
  <c r="D13" i="1" s="1"/>
  <c r="E13" i="1" s="1"/>
  <c r="F13" i="1"/>
  <c r="G13" i="1"/>
  <c r="H13" i="1" s="1"/>
  <c r="A14" i="1"/>
  <c r="B14" i="1" s="1"/>
  <c r="C14" i="1"/>
  <c r="D14" i="1" s="1"/>
  <c r="E14" i="1" s="1"/>
  <c r="F14" i="1"/>
  <c r="G14" i="1"/>
  <c r="H14" i="1" s="1"/>
  <c r="A15" i="1"/>
  <c r="B15" i="1" s="1"/>
  <c r="C15" i="1"/>
  <c r="D15" i="1" s="1"/>
  <c r="E15" i="1" s="1"/>
  <c r="F15" i="1"/>
  <c r="G15" i="1"/>
  <c r="H15" i="1" s="1"/>
  <c r="A16" i="1"/>
  <c r="B16" i="1" s="1"/>
  <c r="C16" i="1"/>
  <c r="D16" i="1" s="1"/>
  <c r="E16" i="1" s="1"/>
  <c r="F16" i="1"/>
  <c r="G16" i="1"/>
  <c r="H16" i="1" s="1"/>
  <c r="A17" i="1"/>
  <c r="B17" i="1" s="1"/>
  <c r="C17" i="1"/>
  <c r="D17" i="1" s="1"/>
  <c r="E17" i="1" s="1"/>
  <c r="F17" i="1"/>
  <c r="G17" i="1"/>
  <c r="H17" i="1" s="1"/>
  <c r="A18" i="1"/>
  <c r="B18" i="1" s="1"/>
  <c r="C18" i="1"/>
  <c r="D18" i="1" s="1"/>
  <c r="E18" i="1" s="1"/>
  <c r="F18" i="1"/>
  <c r="G18" i="1"/>
  <c r="H18" i="1" s="1"/>
  <c r="A19" i="1"/>
  <c r="B19" i="1" s="1"/>
  <c r="C19" i="1"/>
  <c r="D19" i="1" s="1"/>
  <c r="E19" i="1" s="1"/>
  <c r="F19" i="1"/>
  <c r="G19" i="1"/>
  <c r="H19" i="1" s="1"/>
  <c r="I19" i="1"/>
  <c r="L19" i="1"/>
  <c r="M19" i="1"/>
  <c r="N19" i="1"/>
  <c r="O19" i="1"/>
  <c r="I18" i="1"/>
  <c r="L18" i="1"/>
  <c r="M18" i="1"/>
  <c r="N18" i="1"/>
  <c r="O18" i="1"/>
  <c r="I17" i="1"/>
  <c r="L17" i="1"/>
  <c r="M17" i="1"/>
  <c r="N17" i="1"/>
  <c r="O17" i="1"/>
  <c r="I16" i="1"/>
  <c r="L16" i="1"/>
  <c r="M16" i="1"/>
  <c r="N16" i="1"/>
  <c r="O16" i="1"/>
  <c r="I15" i="1"/>
  <c r="L15" i="1"/>
  <c r="M15" i="1"/>
  <c r="N15" i="1"/>
  <c r="O15" i="1"/>
  <c r="I14" i="1"/>
  <c r="L14" i="1"/>
  <c r="M14" i="1"/>
  <c r="N14" i="1"/>
  <c r="O14" i="1"/>
  <c r="H25" i="2" l="1"/>
  <c r="I25" i="2" s="1"/>
  <c r="K25" i="2"/>
  <c r="H24" i="2"/>
  <c r="I24" i="2" s="1"/>
  <c r="K24" i="2"/>
  <c r="H23" i="2"/>
  <c r="I23" i="2"/>
  <c r="K23" i="2"/>
  <c r="H22" i="2"/>
  <c r="I22" i="2" s="1"/>
  <c r="K22" i="2"/>
  <c r="H21" i="2"/>
  <c r="I21" i="2" s="1"/>
  <c r="K21" i="2"/>
  <c r="M2" i="1"/>
  <c r="A2" i="6"/>
  <c r="D28" i="3"/>
  <c r="I13" i="1"/>
  <c r="L13" i="1"/>
  <c r="O13" i="1"/>
  <c r="I4" i="1"/>
  <c r="I5" i="1"/>
  <c r="I6" i="1"/>
  <c r="I7" i="1"/>
  <c r="I8" i="1"/>
  <c r="I9" i="1"/>
  <c r="I10" i="1"/>
  <c r="I11" i="1"/>
  <c r="I12" i="1"/>
  <c r="I7" i="9"/>
  <c r="I6" i="9"/>
  <c r="A2" i="2" s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A2" i="5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4" i="3"/>
  <c r="D5" i="3"/>
  <c r="D6" i="3"/>
  <c r="D7" i="3"/>
  <c r="D8" i="3"/>
  <c r="D9" i="3"/>
  <c r="D10" i="3"/>
  <c r="H20" i="2"/>
  <c r="I20" i="2" s="1"/>
  <c r="H19" i="2"/>
  <c r="I19" i="2" s="1"/>
  <c r="H18" i="2"/>
  <c r="I18" i="2" s="1"/>
  <c r="H17" i="2"/>
  <c r="I17" i="2" s="1"/>
  <c r="A2" i="3" l="1"/>
  <c r="K6" i="6"/>
  <c r="K5" i="6"/>
  <c r="K7" i="6"/>
  <c r="K8" i="6"/>
  <c r="K9" i="6"/>
  <c r="K10" i="6"/>
  <c r="K11" i="6"/>
  <c r="K12" i="6"/>
  <c r="K13" i="6"/>
  <c r="K14" i="6"/>
  <c r="K15" i="6"/>
  <c r="K16" i="6"/>
  <c r="H16" i="2" l="1"/>
  <c r="I16" i="2" s="1"/>
  <c r="L12" i="1" l="1"/>
  <c r="O12" i="1"/>
  <c r="L11" i="1"/>
  <c r="O11" i="1"/>
  <c r="L10" i="1"/>
  <c r="O10" i="1"/>
  <c r="H15" i="2" l="1"/>
  <c r="L9" i="1"/>
  <c r="O9" i="1"/>
  <c r="L8" i="1"/>
  <c r="O8" i="1"/>
  <c r="L7" i="1"/>
  <c r="O7" i="1"/>
  <c r="L6" i="1"/>
  <c r="O6" i="1"/>
  <c r="L5" i="1"/>
  <c r="O5" i="1"/>
  <c r="I15" i="2" l="1"/>
  <c r="H4" i="6"/>
  <c r="K4" i="6" s="1"/>
  <c r="O4" i="1" l="1"/>
  <c r="H5" i="2"/>
  <c r="I5" i="2" s="1"/>
  <c r="H6" i="2"/>
  <c r="H7" i="2"/>
  <c r="H8" i="2"/>
  <c r="H9" i="2"/>
  <c r="H10" i="2"/>
  <c r="H11" i="2"/>
  <c r="H12" i="2"/>
  <c r="H13" i="2"/>
  <c r="H4" i="2"/>
  <c r="M5" i="1" l="1"/>
  <c r="M10" i="1"/>
  <c r="M9" i="1"/>
  <c r="M12" i="1"/>
  <c r="M11" i="1"/>
  <c r="I12" i="2"/>
  <c r="I13" i="2"/>
  <c r="I11" i="2"/>
  <c r="I9" i="2"/>
  <c r="I7" i="2"/>
  <c r="M8" i="1"/>
  <c r="M4" i="1"/>
  <c r="M6" i="1"/>
  <c r="I10" i="2"/>
  <c r="I6" i="2"/>
  <c r="M7" i="1"/>
  <c r="I8" i="2"/>
  <c r="I4" i="2"/>
  <c r="N5" i="1" s="1"/>
  <c r="A8" i="8"/>
  <c r="A9" i="8"/>
  <c r="B9" i="8" s="1"/>
  <c r="A10" i="8"/>
  <c r="A11" i="8"/>
  <c r="A12" i="8"/>
  <c r="A13" i="8"/>
  <c r="B13" i="8" s="1"/>
  <c r="A14" i="8"/>
  <c r="A15" i="8"/>
  <c r="B15" i="8" s="1"/>
  <c r="A16" i="8"/>
  <c r="A17" i="8"/>
  <c r="B17" i="8" s="1"/>
  <c r="A18" i="8"/>
  <c r="A19" i="8"/>
  <c r="B19" i="8" s="1"/>
  <c r="A20" i="8"/>
  <c r="A21" i="8"/>
  <c r="B21" i="8" s="1"/>
  <c r="A22" i="8"/>
  <c r="A23" i="8"/>
  <c r="B23" i="8" s="1"/>
  <c r="A24" i="8"/>
  <c r="A25" i="8"/>
  <c r="B25" i="8" s="1"/>
  <c r="A26" i="8"/>
  <c r="A27" i="8"/>
  <c r="A28" i="8"/>
  <c r="A29" i="8"/>
  <c r="B29" i="8" s="1"/>
  <c r="A30" i="8"/>
  <c r="A31" i="8"/>
  <c r="B31" i="8" s="1"/>
  <c r="A32" i="8"/>
  <c r="A33" i="8"/>
  <c r="B33" i="8" s="1"/>
  <c r="A34" i="8"/>
  <c r="A35" i="8"/>
  <c r="B35" i="8" s="1"/>
  <c r="A36" i="8"/>
  <c r="A37" i="8"/>
  <c r="B37" i="8" s="1"/>
  <c r="A38" i="8"/>
  <c r="A39" i="8"/>
  <c r="B39" i="8" s="1"/>
  <c r="A40" i="8"/>
  <c r="A41" i="8"/>
  <c r="B41" i="8" s="1"/>
  <c r="A42" i="8"/>
  <c r="A43" i="8"/>
  <c r="A44" i="8"/>
  <c r="A45" i="8"/>
  <c r="B45" i="8" s="1"/>
  <c r="A46" i="8"/>
  <c r="A47" i="8"/>
  <c r="B47" i="8" s="1"/>
  <c r="A48" i="8"/>
  <c r="A49" i="8"/>
  <c r="A50" i="8"/>
  <c r="A51" i="8"/>
  <c r="A52" i="8"/>
  <c r="A53" i="8"/>
  <c r="A54" i="8"/>
  <c r="A55" i="8"/>
  <c r="A56" i="8"/>
  <c r="D56" i="8" s="1"/>
  <c r="A57" i="8"/>
  <c r="A58" i="8"/>
  <c r="A59" i="8"/>
  <c r="A60" i="8"/>
  <c r="A61" i="8"/>
  <c r="A62" i="8"/>
  <c r="A63" i="8"/>
  <c r="B63" i="8" s="1"/>
  <c r="A64" i="8"/>
  <c r="A65" i="8"/>
  <c r="A66" i="8"/>
  <c r="A67" i="8"/>
  <c r="D67" i="8" s="1"/>
  <c r="A68" i="8"/>
  <c r="A69" i="8"/>
  <c r="C69" i="8" s="1"/>
  <c r="A70" i="8"/>
  <c r="A71" i="8"/>
  <c r="B71" i="8" s="1"/>
  <c r="A72" i="8"/>
  <c r="D72" i="8" s="1"/>
  <c r="A73" i="8"/>
  <c r="A74" i="8"/>
  <c r="A75" i="8"/>
  <c r="A76" i="8"/>
  <c r="A77" i="8"/>
  <c r="A78" i="8"/>
  <c r="A79" i="8"/>
  <c r="B79" i="8" s="1"/>
  <c r="A80" i="8"/>
  <c r="A81" i="8"/>
  <c r="A82" i="8"/>
  <c r="A83" i="8"/>
  <c r="A84" i="8"/>
  <c r="A85" i="8"/>
  <c r="A86" i="8"/>
  <c r="A87" i="8"/>
  <c r="B87" i="8" s="1"/>
  <c r="A88" i="8"/>
  <c r="D88" i="8" s="1"/>
  <c r="A89" i="8"/>
  <c r="A90" i="8"/>
  <c r="A91" i="8"/>
  <c r="A92" i="8"/>
  <c r="A93" i="8"/>
  <c r="A94" i="8"/>
  <c r="A95" i="8"/>
  <c r="B95" i="8" s="1"/>
  <c r="A96" i="8"/>
  <c r="A97" i="8"/>
  <c r="A98" i="8"/>
  <c r="A99" i="8"/>
  <c r="A100" i="8"/>
  <c r="A101" i="8"/>
  <c r="C101" i="8" s="1"/>
  <c r="A102" i="8"/>
  <c r="A103" i="8"/>
  <c r="B103" i="8" s="1"/>
  <c r="A104" i="8"/>
  <c r="D104" i="8" s="1"/>
  <c r="A105" i="8"/>
  <c r="A106" i="8"/>
  <c r="A107" i="8"/>
  <c r="A108" i="8"/>
  <c r="A109" i="8"/>
  <c r="A110" i="8"/>
  <c r="A111" i="8"/>
  <c r="B111" i="8" s="1"/>
  <c r="A112" i="8"/>
  <c r="A113" i="8"/>
  <c r="D113" i="8" s="1"/>
  <c r="A114" i="8"/>
  <c r="A115" i="8"/>
  <c r="A116" i="8"/>
  <c r="A117" i="8"/>
  <c r="A118" i="8"/>
  <c r="A119" i="8"/>
  <c r="B119" i="8" s="1"/>
  <c r="A120" i="8"/>
  <c r="D120" i="8" s="1"/>
  <c r="A121" i="8"/>
  <c r="A122" i="8"/>
  <c r="A123" i="8"/>
  <c r="A124" i="8"/>
  <c r="A125" i="8"/>
  <c r="A126" i="8"/>
  <c r="A127" i="8"/>
  <c r="B127" i="8" s="1"/>
  <c r="A128" i="8"/>
  <c r="A129" i="8"/>
  <c r="A130" i="8"/>
  <c r="A131" i="8"/>
  <c r="A132" i="8"/>
  <c r="A133" i="8"/>
  <c r="C133" i="8" s="1"/>
  <c r="A134" i="8"/>
  <c r="A135" i="8"/>
  <c r="B135" i="8" s="1"/>
  <c r="A136" i="8"/>
  <c r="D136" i="8" s="1"/>
  <c r="A137" i="8"/>
  <c r="A138" i="8"/>
  <c r="A139" i="8"/>
  <c r="B139" i="8" s="1"/>
  <c r="A140" i="8"/>
  <c r="A141" i="8"/>
  <c r="A142" i="8"/>
  <c r="A143" i="8"/>
  <c r="A144" i="8"/>
  <c r="A145" i="8"/>
  <c r="A146" i="8"/>
  <c r="A147" i="8"/>
  <c r="C147" i="8" s="1"/>
  <c r="A148" i="8"/>
  <c r="A149" i="8"/>
  <c r="A150" i="8"/>
  <c r="A151" i="8"/>
  <c r="A152" i="8"/>
  <c r="D152" i="8" s="1"/>
  <c r="A153" i="8"/>
  <c r="A154" i="8"/>
  <c r="A155" i="8"/>
  <c r="C155" i="8" s="1"/>
  <c r="A156" i="8"/>
  <c r="A157" i="8"/>
  <c r="A158" i="8"/>
  <c r="A159" i="8"/>
  <c r="A160" i="8"/>
  <c r="A161" i="8"/>
  <c r="A162" i="8"/>
  <c r="A163" i="8"/>
  <c r="C163" i="8" s="1"/>
  <c r="A164" i="8"/>
  <c r="A165" i="8"/>
  <c r="C165" i="8" s="1"/>
  <c r="A166" i="8"/>
  <c r="A167" i="8"/>
  <c r="A168" i="8"/>
  <c r="D168" i="8" s="1"/>
  <c r="A169" i="8"/>
  <c r="A170" i="8"/>
  <c r="A171" i="8"/>
  <c r="C171" i="8" s="1"/>
  <c r="A172" i="8"/>
  <c r="A173" i="8"/>
  <c r="A174" i="8"/>
  <c r="A175" i="8"/>
  <c r="A176" i="8"/>
  <c r="A177" i="8"/>
  <c r="D177" i="8" s="1"/>
  <c r="A178" i="8"/>
  <c r="A179" i="8"/>
  <c r="C179" i="8" s="1"/>
  <c r="A180" i="8"/>
  <c r="A181" i="8"/>
  <c r="E181" i="8" s="1"/>
  <c r="A182" i="8"/>
  <c r="A183" i="8"/>
  <c r="A184" i="8"/>
  <c r="A185" i="8"/>
  <c r="A186" i="8"/>
  <c r="A187" i="8"/>
  <c r="C187" i="8" s="1"/>
  <c r="A188" i="8"/>
  <c r="A189" i="8"/>
  <c r="A190" i="8"/>
  <c r="A191" i="8"/>
  <c r="A192" i="8"/>
  <c r="A193" i="8"/>
  <c r="A194" i="8"/>
  <c r="A195" i="8"/>
  <c r="C195" i="8" s="1"/>
  <c r="A196" i="8"/>
  <c r="A197" i="8"/>
  <c r="A198" i="8"/>
  <c r="A199" i="8"/>
  <c r="A200" i="8"/>
  <c r="A201" i="8"/>
  <c r="A202" i="8"/>
  <c r="A203" i="8"/>
  <c r="C203" i="8" s="1"/>
  <c r="A204" i="8"/>
  <c r="A205" i="8"/>
  <c r="A206" i="8"/>
  <c r="A207" i="8"/>
  <c r="B207" i="8" s="1"/>
  <c r="A208" i="8"/>
  <c r="A209" i="8"/>
  <c r="A210" i="8"/>
  <c r="A211" i="8"/>
  <c r="C211" i="8" s="1"/>
  <c r="A212" i="8"/>
  <c r="A213" i="8"/>
  <c r="A214" i="8"/>
  <c r="A215" i="8"/>
  <c r="A216" i="8"/>
  <c r="A217" i="8"/>
  <c r="A218" i="8"/>
  <c r="A219" i="8"/>
  <c r="C219" i="8" s="1"/>
  <c r="A220" i="8"/>
  <c r="A221" i="8"/>
  <c r="A222" i="8"/>
  <c r="A223" i="8"/>
  <c r="C223" i="8" s="1"/>
  <c r="A224" i="8"/>
  <c r="A225" i="8"/>
  <c r="A226" i="8"/>
  <c r="A227" i="8"/>
  <c r="C227" i="8" s="1"/>
  <c r="A228" i="8"/>
  <c r="A229" i="8"/>
  <c r="A230" i="8"/>
  <c r="A231" i="8"/>
  <c r="A232" i="8"/>
  <c r="A233" i="8"/>
  <c r="A234" i="8"/>
  <c r="A235" i="8"/>
  <c r="C235" i="8" s="1"/>
  <c r="A236" i="8"/>
  <c r="A237" i="8"/>
  <c r="A238" i="8"/>
  <c r="A239" i="8"/>
  <c r="C239" i="8" s="1"/>
  <c r="A240" i="8"/>
  <c r="A241" i="8"/>
  <c r="D241" i="8" s="1"/>
  <c r="A242" i="8"/>
  <c r="A243" i="8"/>
  <c r="C243" i="8" s="1"/>
  <c r="A244" i="8"/>
  <c r="A245" i="8"/>
  <c r="A246" i="8"/>
  <c r="A247" i="8"/>
  <c r="A248" i="8"/>
  <c r="A249" i="8"/>
  <c r="A250" i="8"/>
  <c r="A251" i="8"/>
  <c r="C251" i="8" s="1"/>
  <c r="A252" i="8"/>
  <c r="A253" i="8"/>
  <c r="A254" i="8"/>
  <c r="A255" i="8"/>
  <c r="C255" i="8" s="1"/>
  <c r="A256" i="8"/>
  <c r="A257" i="8"/>
  <c r="A258" i="8"/>
  <c r="A259" i="8"/>
  <c r="C259" i="8" s="1"/>
  <c r="A260" i="8"/>
  <c r="A261" i="8"/>
  <c r="A262" i="8"/>
  <c r="A263" i="8"/>
  <c r="A264" i="8"/>
  <c r="A265" i="8"/>
  <c r="A266" i="8"/>
  <c r="A267" i="8"/>
  <c r="C267" i="8" s="1"/>
  <c r="A268" i="8"/>
  <c r="A269" i="8"/>
  <c r="A270" i="8"/>
  <c r="A271" i="8"/>
  <c r="C271" i="8" s="1"/>
  <c r="A272" i="8"/>
  <c r="A273" i="8"/>
  <c r="A274" i="8"/>
  <c r="A275" i="8"/>
  <c r="C275" i="8" s="1"/>
  <c r="A276" i="8"/>
  <c r="A277" i="8"/>
  <c r="A278" i="8"/>
  <c r="A279" i="8"/>
  <c r="A280" i="8"/>
  <c r="A281" i="8"/>
  <c r="A282" i="8"/>
  <c r="A283" i="8"/>
  <c r="C283" i="8" s="1"/>
  <c r="A284" i="8"/>
  <c r="A285" i="8"/>
  <c r="A286" i="8"/>
  <c r="A287" i="8"/>
  <c r="C287" i="8" s="1"/>
  <c r="A288" i="8"/>
  <c r="A289" i="8"/>
  <c r="A290" i="8"/>
  <c r="A291" i="8"/>
  <c r="C291" i="8" s="1"/>
  <c r="A292" i="8"/>
  <c r="A293" i="8"/>
  <c r="A294" i="8"/>
  <c r="A295" i="8"/>
  <c r="A296" i="8"/>
  <c r="A297" i="8"/>
  <c r="A298" i="8"/>
  <c r="A299" i="8"/>
  <c r="C299" i="8" s="1"/>
  <c r="A300" i="8"/>
  <c r="A301" i="8"/>
  <c r="A302" i="8"/>
  <c r="A303" i="8"/>
  <c r="C303" i="8" s="1"/>
  <c r="A304" i="8"/>
  <c r="A305" i="8"/>
  <c r="A306" i="8"/>
  <c r="A307" i="8"/>
  <c r="C307" i="8" s="1"/>
  <c r="A308" i="8"/>
  <c r="A309" i="8"/>
  <c r="A310" i="8"/>
  <c r="A311" i="8"/>
  <c r="A312" i="8"/>
  <c r="A313" i="8"/>
  <c r="A314" i="8"/>
  <c r="A315" i="8"/>
  <c r="C315" i="8" s="1"/>
  <c r="A316" i="8"/>
  <c r="A317" i="8"/>
  <c r="C317" i="8" s="1"/>
  <c r="A318" i="8"/>
  <c r="A319" i="8"/>
  <c r="C319" i="8" s="1"/>
  <c r="A320" i="8"/>
  <c r="A321" i="8"/>
  <c r="A322" i="8"/>
  <c r="A323" i="8"/>
  <c r="C323" i="8" s="1"/>
  <c r="A324" i="8"/>
  <c r="A325" i="8"/>
  <c r="A326" i="8"/>
  <c r="A327" i="8"/>
  <c r="A328" i="8"/>
  <c r="A329" i="8"/>
  <c r="A330" i="8"/>
  <c r="A331" i="8"/>
  <c r="C331" i="8" s="1"/>
  <c r="A332" i="8"/>
  <c r="A333" i="8"/>
  <c r="A334" i="8"/>
  <c r="A335" i="8"/>
  <c r="C335" i="8" s="1"/>
  <c r="A336" i="8"/>
  <c r="A337" i="8"/>
  <c r="A338" i="8"/>
  <c r="A339" i="8"/>
  <c r="C339" i="8" s="1"/>
  <c r="A340" i="8"/>
  <c r="A341" i="8"/>
  <c r="A342" i="8"/>
  <c r="A343" i="8"/>
  <c r="B343" i="8" s="1"/>
  <c r="A344" i="8"/>
  <c r="A345" i="8"/>
  <c r="A346" i="8"/>
  <c r="A347" i="8"/>
  <c r="B347" i="8" s="1"/>
  <c r="A348" i="8"/>
  <c r="A349" i="8"/>
  <c r="B349" i="8" s="1"/>
  <c r="A350" i="8"/>
  <c r="A351" i="8"/>
  <c r="A352" i="8"/>
  <c r="A353" i="8"/>
  <c r="A354" i="8"/>
  <c r="A355" i="8"/>
  <c r="B355" i="8" s="1"/>
  <c r="A356" i="8"/>
  <c r="A357" i="8"/>
  <c r="A358" i="8"/>
  <c r="A359" i="8"/>
  <c r="B359" i="8" s="1"/>
  <c r="A360" i="8"/>
  <c r="A361" i="8"/>
  <c r="A362" i="8"/>
  <c r="A363" i="8"/>
  <c r="B363" i="8" s="1"/>
  <c r="A364" i="8"/>
  <c r="A365" i="8"/>
  <c r="B365" i="8" s="1"/>
  <c r="A366" i="8"/>
  <c r="A367" i="8"/>
  <c r="B367" i="8" s="1"/>
  <c r="A368" i="8"/>
  <c r="A369" i="8"/>
  <c r="D369" i="8" s="1"/>
  <c r="A370" i="8"/>
  <c r="A371" i="8"/>
  <c r="B371" i="8" s="1"/>
  <c r="A372" i="8"/>
  <c r="A373" i="8"/>
  <c r="A374" i="8"/>
  <c r="A375" i="8"/>
  <c r="B375" i="8" s="1"/>
  <c r="A376" i="8"/>
  <c r="A377" i="8"/>
  <c r="A378" i="8"/>
  <c r="A379" i="8"/>
  <c r="B379" i="8" s="1"/>
  <c r="A380" i="8"/>
  <c r="A381" i="8"/>
  <c r="C381" i="8" s="1"/>
  <c r="A382" i="8"/>
  <c r="A383" i="8"/>
  <c r="A384" i="8"/>
  <c r="A385" i="8"/>
  <c r="A386" i="8"/>
  <c r="A387" i="8"/>
  <c r="B387" i="8" s="1"/>
  <c r="A388" i="8"/>
  <c r="A389" i="8"/>
  <c r="A390" i="8"/>
  <c r="A391" i="8"/>
  <c r="B391" i="8" s="1"/>
  <c r="A392" i="8"/>
  <c r="A393" i="8"/>
  <c r="A394" i="8"/>
  <c r="A395" i="8"/>
  <c r="B395" i="8" s="1"/>
  <c r="A396" i="8"/>
  <c r="A397" i="8"/>
  <c r="A398" i="8"/>
  <c r="A399" i="8"/>
  <c r="B399" i="8" s="1"/>
  <c r="A400" i="8"/>
  <c r="A401" i="8"/>
  <c r="A402" i="8"/>
  <c r="A403" i="8"/>
  <c r="B403" i="8" s="1"/>
  <c r="A404" i="8"/>
  <c r="A405" i="8"/>
  <c r="A406" i="8"/>
  <c r="A407" i="8"/>
  <c r="B407" i="8" s="1"/>
  <c r="A408" i="8"/>
  <c r="A409" i="8"/>
  <c r="A410" i="8"/>
  <c r="A411" i="8"/>
  <c r="B411" i="8" s="1"/>
  <c r="A412" i="8"/>
  <c r="A413" i="8"/>
  <c r="A414" i="8"/>
  <c r="A415" i="8"/>
  <c r="B415" i="8" s="1"/>
  <c r="A416" i="8"/>
  <c r="A417" i="8"/>
  <c r="A418" i="8"/>
  <c r="A419" i="8"/>
  <c r="B419" i="8" s="1"/>
  <c r="A420" i="8"/>
  <c r="A421" i="8"/>
  <c r="A422" i="8"/>
  <c r="A423" i="8"/>
  <c r="B423" i="8" s="1"/>
  <c r="A424" i="8"/>
  <c r="A425" i="8"/>
  <c r="A426" i="8"/>
  <c r="A427" i="8"/>
  <c r="B427" i="8" s="1"/>
  <c r="A428" i="8"/>
  <c r="A429" i="8"/>
  <c r="A430" i="8"/>
  <c r="A431" i="8"/>
  <c r="B431" i="8" s="1"/>
  <c r="A432" i="8"/>
  <c r="A433" i="8"/>
  <c r="A434" i="8"/>
  <c r="A435" i="8"/>
  <c r="C435" i="8" s="1"/>
  <c r="A436" i="8"/>
  <c r="A437" i="8"/>
  <c r="A438" i="8"/>
  <c r="A439" i="8"/>
  <c r="A440" i="8"/>
  <c r="A441" i="8"/>
  <c r="A442" i="8"/>
  <c r="A443" i="8"/>
  <c r="C443" i="8" s="1"/>
  <c r="A444" i="8"/>
  <c r="A445" i="8"/>
  <c r="C445" i="8" s="1"/>
  <c r="A446" i="8"/>
  <c r="A447" i="8"/>
  <c r="C447" i="8" s="1"/>
  <c r="A448" i="8"/>
  <c r="A449" i="8"/>
  <c r="A450" i="8"/>
  <c r="A451" i="8"/>
  <c r="C451" i="8" s="1"/>
  <c r="A452" i="8"/>
  <c r="A453" i="8"/>
  <c r="A454" i="8"/>
  <c r="A455" i="8"/>
  <c r="A456" i="8"/>
  <c r="A457" i="8"/>
  <c r="A458" i="8"/>
  <c r="A459" i="8"/>
  <c r="C459" i="8" s="1"/>
  <c r="A460" i="8"/>
  <c r="A461" i="8"/>
  <c r="A462" i="8"/>
  <c r="A463" i="8"/>
  <c r="C463" i="8" s="1"/>
  <c r="A464" i="8"/>
  <c r="A465" i="8"/>
  <c r="A466" i="8"/>
  <c r="A467" i="8"/>
  <c r="C467" i="8" s="1"/>
  <c r="A468" i="8"/>
  <c r="A469" i="8"/>
  <c r="A470" i="8"/>
  <c r="A471" i="8"/>
  <c r="A472" i="8"/>
  <c r="A473" i="8"/>
  <c r="A474" i="8"/>
  <c r="A475" i="8"/>
  <c r="C475" i="8" s="1"/>
  <c r="A476" i="8"/>
  <c r="A477" i="8"/>
  <c r="B477" i="8" s="1"/>
  <c r="A478" i="8"/>
  <c r="A479" i="8"/>
  <c r="C479" i="8" s="1"/>
  <c r="A480" i="8"/>
  <c r="A481" i="8"/>
  <c r="A482" i="8"/>
  <c r="A483" i="8"/>
  <c r="C483" i="8" s="1"/>
  <c r="A484" i="8"/>
  <c r="A485" i="8"/>
  <c r="A486" i="8"/>
  <c r="A487" i="8"/>
  <c r="A488" i="8"/>
  <c r="A489" i="8"/>
  <c r="A490" i="8"/>
  <c r="A491" i="8"/>
  <c r="C491" i="8" s="1"/>
  <c r="A492" i="8"/>
  <c r="A493" i="8"/>
  <c r="B493" i="8" s="1"/>
  <c r="A494" i="8"/>
  <c r="A495" i="8"/>
  <c r="C495" i="8" s="1"/>
  <c r="A496" i="8"/>
  <c r="A497" i="8"/>
  <c r="A498" i="8"/>
  <c r="A499" i="8"/>
  <c r="C499" i="8" s="1"/>
  <c r="A500" i="8"/>
  <c r="A501" i="8"/>
  <c r="A502" i="8"/>
  <c r="A503" i="8"/>
  <c r="A504" i="8"/>
  <c r="A505" i="8"/>
  <c r="A506" i="8"/>
  <c r="A507" i="8"/>
  <c r="C507" i="8" s="1"/>
  <c r="A508" i="8"/>
  <c r="A509" i="8"/>
  <c r="A510" i="8"/>
  <c r="A511" i="8"/>
  <c r="C511" i="8" s="1"/>
  <c r="A512" i="8"/>
  <c r="A513" i="8"/>
  <c r="A514" i="8"/>
  <c r="A515" i="8"/>
  <c r="C515" i="8" s="1"/>
  <c r="A516" i="8"/>
  <c r="A517" i="8"/>
  <c r="A518" i="8"/>
  <c r="A519" i="8"/>
  <c r="A520" i="8"/>
  <c r="A521" i="8"/>
  <c r="A522" i="8"/>
  <c r="A523" i="8"/>
  <c r="C523" i="8" s="1"/>
  <c r="A524" i="8"/>
  <c r="A525" i="8"/>
  <c r="B525" i="8" s="1"/>
  <c r="A526" i="8"/>
  <c r="A527" i="8"/>
  <c r="C527" i="8" s="1"/>
  <c r="A528" i="8"/>
  <c r="A529" i="8"/>
  <c r="A530" i="8"/>
  <c r="A531" i="8"/>
  <c r="C531" i="8" s="1"/>
  <c r="A532" i="8"/>
  <c r="A533" i="8"/>
  <c r="A534" i="8"/>
  <c r="A535" i="8"/>
  <c r="A536" i="8"/>
  <c r="A537" i="8"/>
  <c r="A538" i="8"/>
  <c r="A539" i="8"/>
  <c r="C539" i="8" s="1"/>
  <c r="A540" i="8"/>
  <c r="A541" i="8"/>
  <c r="B541" i="8" s="1"/>
  <c r="A542" i="8"/>
  <c r="A543" i="8"/>
  <c r="C543" i="8" s="1"/>
  <c r="A544" i="8"/>
  <c r="A545" i="8"/>
  <c r="A546" i="8"/>
  <c r="A547" i="8"/>
  <c r="C547" i="8" s="1"/>
  <c r="A548" i="8"/>
  <c r="A549" i="8"/>
  <c r="A550" i="8"/>
  <c r="A551" i="8"/>
  <c r="A552" i="8"/>
  <c r="A553" i="8"/>
  <c r="A554" i="8"/>
  <c r="A555" i="8"/>
  <c r="C555" i="8" s="1"/>
  <c r="A556" i="8"/>
  <c r="A557" i="8"/>
  <c r="B557" i="8" s="1"/>
  <c r="A558" i="8"/>
  <c r="A559" i="8"/>
  <c r="C559" i="8" s="1"/>
  <c r="A560" i="8"/>
  <c r="A561" i="8"/>
  <c r="A562" i="8"/>
  <c r="A563" i="8"/>
  <c r="C563" i="8" s="1"/>
  <c r="A564" i="8"/>
  <c r="A565" i="8"/>
  <c r="A566" i="8"/>
  <c r="A567" i="8"/>
  <c r="A568" i="8"/>
  <c r="A569" i="8"/>
  <c r="A570" i="8"/>
  <c r="A571" i="8"/>
  <c r="C571" i="8" s="1"/>
  <c r="A572" i="8"/>
  <c r="A573" i="8"/>
  <c r="A574" i="8"/>
  <c r="A575" i="8"/>
  <c r="C575" i="8" s="1"/>
  <c r="A576" i="8"/>
  <c r="A577" i="8"/>
  <c r="A578" i="8"/>
  <c r="A579" i="8"/>
  <c r="C579" i="8" s="1"/>
  <c r="A580" i="8"/>
  <c r="A581" i="8"/>
  <c r="A582" i="8"/>
  <c r="A583" i="8"/>
  <c r="A584" i="8"/>
  <c r="A585" i="8"/>
  <c r="A586" i="8"/>
  <c r="A587" i="8"/>
  <c r="C587" i="8" s="1"/>
  <c r="A588" i="8"/>
  <c r="A589" i="8"/>
  <c r="B589" i="8" s="1"/>
  <c r="A590" i="8"/>
  <c r="A591" i="8"/>
  <c r="C591" i="8" s="1"/>
  <c r="A592" i="8"/>
  <c r="A593" i="8"/>
  <c r="A594" i="8"/>
  <c r="A595" i="8"/>
  <c r="C595" i="8" s="1"/>
  <c r="A596" i="8"/>
  <c r="A597" i="8"/>
  <c r="A598" i="8"/>
  <c r="A599" i="8"/>
  <c r="A600" i="8"/>
  <c r="A601" i="8"/>
  <c r="A602" i="8"/>
  <c r="A603" i="8"/>
  <c r="C603" i="8" s="1"/>
  <c r="A604" i="8"/>
  <c r="A605" i="8"/>
  <c r="B605" i="8" s="1"/>
  <c r="A606" i="8"/>
  <c r="A607" i="8"/>
  <c r="C607" i="8" s="1"/>
  <c r="A608" i="8"/>
  <c r="A609" i="8"/>
  <c r="A610" i="8"/>
  <c r="A611" i="8"/>
  <c r="C611" i="8" s="1"/>
  <c r="A612" i="8"/>
  <c r="A613" i="8"/>
  <c r="A614" i="8"/>
  <c r="A615" i="8"/>
  <c r="A616" i="8"/>
  <c r="A617" i="8"/>
  <c r="A618" i="8"/>
  <c r="A619" i="8"/>
  <c r="C619" i="8" s="1"/>
  <c r="A620" i="8"/>
  <c r="A621" i="8"/>
  <c r="B621" i="8" s="1"/>
  <c r="A622" i="8"/>
  <c r="A623" i="8"/>
  <c r="C623" i="8" s="1"/>
  <c r="A624" i="8"/>
  <c r="A625" i="8"/>
  <c r="A626" i="8"/>
  <c r="A627" i="8"/>
  <c r="C627" i="8" s="1"/>
  <c r="A628" i="8"/>
  <c r="A629" i="8"/>
  <c r="A630" i="8"/>
  <c r="A631" i="8"/>
  <c r="A632" i="8"/>
  <c r="A633" i="8"/>
  <c r="A634" i="8"/>
  <c r="A635" i="8"/>
  <c r="C635" i="8" s="1"/>
  <c r="A636" i="8"/>
  <c r="A637" i="8"/>
  <c r="A638" i="8"/>
  <c r="A639" i="8"/>
  <c r="C639" i="8" s="1"/>
  <c r="A640" i="8"/>
  <c r="A641" i="8"/>
  <c r="A642" i="8"/>
  <c r="A643" i="8"/>
  <c r="C643" i="8" s="1"/>
  <c r="A644" i="8"/>
  <c r="A645" i="8"/>
  <c r="A646" i="8"/>
  <c r="A647" i="8"/>
  <c r="A648" i="8"/>
  <c r="A649" i="8"/>
  <c r="A650" i="8"/>
  <c r="A651" i="8"/>
  <c r="C651" i="8" s="1"/>
  <c r="A652" i="8"/>
  <c r="A653" i="8"/>
  <c r="B653" i="8" s="1"/>
  <c r="A654" i="8"/>
  <c r="A655" i="8"/>
  <c r="C655" i="8" s="1"/>
  <c r="A656" i="8"/>
  <c r="A657" i="8"/>
  <c r="A658" i="8"/>
  <c r="A659" i="8"/>
  <c r="C659" i="8" s="1"/>
  <c r="A660" i="8"/>
  <c r="A661" i="8"/>
  <c r="A662" i="8"/>
  <c r="A663" i="8"/>
  <c r="A664" i="8"/>
  <c r="A665" i="8"/>
  <c r="A666" i="8"/>
  <c r="A667" i="8"/>
  <c r="C667" i="8" s="1"/>
  <c r="A668" i="8"/>
  <c r="A669" i="8"/>
  <c r="B669" i="8" s="1"/>
  <c r="A670" i="8"/>
  <c r="A671" i="8"/>
  <c r="C671" i="8" s="1"/>
  <c r="A672" i="8"/>
  <c r="A673" i="8"/>
  <c r="A674" i="8"/>
  <c r="A675" i="8"/>
  <c r="C675" i="8" s="1"/>
  <c r="A676" i="8"/>
  <c r="A677" i="8"/>
  <c r="A678" i="8"/>
  <c r="A679" i="8"/>
  <c r="A680" i="8"/>
  <c r="A681" i="8"/>
  <c r="A682" i="8"/>
  <c r="A683" i="8"/>
  <c r="C683" i="8" s="1"/>
  <c r="A684" i="8"/>
  <c r="A685" i="8"/>
  <c r="B685" i="8" s="1"/>
  <c r="A686" i="8"/>
  <c r="A687" i="8"/>
  <c r="C687" i="8" s="1"/>
  <c r="A688" i="8"/>
  <c r="A689" i="8"/>
  <c r="A690" i="8"/>
  <c r="A691" i="8"/>
  <c r="C691" i="8" s="1"/>
  <c r="A692" i="8"/>
  <c r="A693" i="8"/>
  <c r="A694" i="8"/>
  <c r="A695" i="8"/>
  <c r="A696" i="8"/>
  <c r="A697" i="8"/>
  <c r="A698" i="8"/>
  <c r="A699" i="8"/>
  <c r="C699" i="8" s="1"/>
  <c r="A700" i="8"/>
  <c r="A701" i="8"/>
  <c r="A702" i="8"/>
  <c r="A703" i="8"/>
  <c r="C703" i="8" s="1"/>
  <c r="A704" i="8"/>
  <c r="A705" i="8"/>
  <c r="A706" i="8"/>
  <c r="A707" i="8"/>
  <c r="C707" i="8" s="1"/>
  <c r="A708" i="8"/>
  <c r="A709" i="8"/>
  <c r="A710" i="8"/>
  <c r="A711" i="8"/>
  <c r="B711" i="8" s="1"/>
  <c r="A712" i="8"/>
  <c r="A713" i="8"/>
  <c r="A714" i="8"/>
  <c r="A715" i="8"/>
  <c r="C715" i="8" s="1"/>
  <c r="A716" i="8"/>
  <c r="A717" i="8"/>
  <c r="A718" i="8"/>
  <c r="A719" i="8"/>
  <c r="B719" i="8" s="1"/>
  <c r="A720" i="8"/>
  <c r="A721" i="8"/>
  <c r="A722" i="8"/>
  <c r="A723" i="8"/>
  <c r="C723" i="8" s="1"/>
  <c r="A724" i="8"/>
  <c r="A725" i="8"/>
  <c r="A726" i="8"/>
  <c r="A727" i="8"/>
  <c r="B727" i="8" s="1"/>
  <c r="A728" i="8"/>
  <c r="A729" i="8"/>
  <c r="A730" i="8"/>
  <c r="A731" i="8"/>
  <c r="C731" i="8" s="1"/>
  <c r="A732" i="8"/>
  <c r="A733" i="8"/>
  <c r="A734" i="8"/>
  <c r="A735" i="8"/>
  <c r="B735" i="8" s="1"/>
  <c r="A736" i="8"/>
  <c r="A737" i="8"/>
  <c r="A738" i="8"/>
  <c r="A739" i="8"/>
  <c r="C739" i="8" s="1"/>
  <c r="A740" i="8"/>
  <c r="A741" i="8"/>
  <c r="A742" i="8"/>
  <c r="A743" i="8"/>
  <c r="A744" i="8"/>
  <c r="A745" i="8"/>
  <c r="A746" i="8"/>
  <c r="A747" i="8"/>
  <c r="C747" i="8" s="1"/>
  <c r="A748" i="8"/>
  <c r="A749" i="8"/>
  <c r="A750" i="8"/>
  <c r="A751" i="8"/>
  <c r="B751" i="8" s="1"/>
  <c r="A752" i="8"/>
  <c r="A753" i="8"/>
  <c r="A754" i="8"/>
  <c r="A755" i="8"/>
  <c r="C755" i="8" s="1"/>
  <c r="A756" i="8"/>
  <c r="A757" i="8"/>
  <c r="A758" i="8"/>
  <c r="A759" i="8"/>
  <c r="B759" i="8" s="1"/>
  <c r="A760" i="8"/>
  <c r="A761" i="8"/>
  <c r="A762" i="8"/>
  <c r="A763" i="8"/>
  <c r="C763" i="8" s="1"/>
  <c r="A764" i="8"/>
  <c r="A765" i="8"/>
  <c r="A766" i="8"/>
  <c r="A767" i="8"/>
  <c r="B767" i="8" s="1"/>
  <c r="A768" i="8"/>
  <c r="A769" i="8"/>
  <c r="A770" i="8"/>
  <c r="A771" i="8"/>
  <c r="C771" i="8" s="1"/>
  <c r="A772" i="8"/>
  <c r="A773" i="8"/>
  <c r="A774" i="8"/>
  <c r="A775" i="8"/>
  <c r="B775" i="8" s="1"/>
  <c r="A776" i="8"/>
  <c r="A777" i="8"/>
  <c r="A778" i="8"/>
  <c r="A779" i="8"/>
  <c r="C779" i="8" s="1"/>
  <c r="A780" i="8"/>
  <c r="A781" i="8"/>
  <c r="A782" i="8"/>
  <c r="A783" i="8"/>
  <c r="B783" i="8" s="1"/>
  <c r="A784" i="8"/>
  <c r="A785" i="8"/>
  <c r="A786" i="8"/>
  <c r="A787" i="8"/>
  <c r="C787" i="8" s="1"/>
  <c r="A788" i="8"/>
  <c r="A789" i="8"/>
  <c r="A790" i="8"/>
  <c r="A791" i="8"/>
  <c r="B791" i="8" s="1"/>
  <c r="A792" i="8"/>
  <c r="A793" i="8"/>
  <c r="A794" i="8"/>
  <c r="A795" i="8"/>
  <c r="C795" i="8" s="1"/>
  <c r="A796" i="8"/>
  <c r="A797" i="8"/>
  <c r="A798" i="8"/>
  <c r="A799" i="8"/>
  <c r="D799" i="8" s="1"/>
  <c r="A800" i="8"/>
  <c r="A801" i="8"/>
  <c r="A802" i="8"/>
  <c r="A803" i="8"/>
  <c r="C803" i="8" s="1"/>
  <c r="A804" i="8"/>
  <c r="A805" i="8"/>
  <c r="A806" i="8"/>
  <c r="A807" i="8"/>
  <c r="A808" i="8"/>
  <c r="A809" i="8"/>
  <c r="A810" i="8"/>
  <c r="A811" i="8"/>
  <c r="C811" i="8" s="1"/>
  <c r="A812" i="8"/>
  <c r="A813" i="8"/>
  <c r="A814" i="8"/>
  <c r="A815" i="8"/>
  <c r="B815" i="8" s="1"/>
  <c r="A816" i="8"/>
  <c r="A817" i="8"/>
  <c r="A818" i="8"/>
  <c r="A819" i="8"/>
  <c r="C819" i="8" s="1"/>
  <c r="A820" i="8"/>
  <c r="A821" i="8"/>
  <c r="A822" i="8"/>
  <c r="A823" i="8"/>
  <c r="B823" i="8" s="1"/>
  <c r="A824" i="8"/>
  <c r="A825" i="8"/>
  <c r="A826" i="8"/>
  <c r="A827" i="8"/>
  <c r="C827" i="8" s="1"/>
  <c r="A828" i="8"/>
  <c r="A829" i="8"/>
  <c r="A830" i="8"/>
  <c r="A831" i="8"/>
  <c r="B831" i="8" s="1"/>
  <c r="A832" i="8"/>
  <c r="A833" i="8"/>
  <c r="A834" i="8"/>
  <c r="A835" i="8"/>
  <c r="C835" i="8" s="1"/>
  <c r="A836" i="8"/>
  <c r="A837" i="8"/>
  <c r="A838" i="8"/>
  <c r="A839" i="8"/>
  <c r="C839" i="8" s="1"/>
  <c r="A840" i="8"/>
  <c r="A841" i="8"/>
  <c r="A842" i="8"/>
  <c r="A843" i="8"/>
  <c r="A844" i="8"/>
  <c r="A845" i="8"/>
  <c r="A846" i="8"/>
  <c r="A847" i="8"/>
  <c r="B847" i="8" s="1"/>
  <c r="A848" i="8"/>
  <c r="A849" i="8"/>
  <c r="A850" i="8"/>
  <c r="A851" i="8"/>
  <c r="A852" i="8"/>
  <c r="A853" i="8"/>
  <c r="A854" i="8"/>
  <c r="A855" i="8"/>
  <c r="E855" i="8" s="1"/>
  <c r="A856" i="8"/>
  <c r="A857" i="8"/>
  <c r="A858" i="8"/>
  <c r="A859" i="8"/>
  <c r="A860" i="8"/>
  <c r="A861" i="8"/>
  <c r="A862" i="8"/>
  <c r="A863" i="8"/>
  <c r="B863" i="8" s="1"/>
  <c r="A864" i="8"/>
  <c r="A865" i="8"/>
  <c r="A866" i="8"/>
  <c r="A867" i="8"/>
  <c r="A868" i="8"/>
  <c r="A869" i="8"/>
  <c r="A870" i="8"/>
  <c r="A871" i="8"/>
  <c r="B871" i="8" s="1"/>
  <c r="A872" i="8"/>
  <c r="A873" i="8"/>
  <c r="A874" i="8"/>
  <c r="A875" i="8"/>
  <c r="A876" i="8"/>
  <c r="A877" i="8"/>
  <c r="A878" i="8"/>
  <c r="A879" i="8"/>
  <c r="B879" i="8" s="1"/>
  <c r="A880" i="8"/>
  <c r="A881" i="8"/>
  <c r="A882" i="8"/>
  <c r="A883" i="8"/>
  <c r="A884" i="8"/>
  <c r="A885" i="8"/>
  <c r="A886" i="8"/>
  <c r="A887" i="8"/>
  <c r="E887" i="8" s="1"/>
  <c r="A888" i="8"/>
  <c r="A889" i="8"/>
  <c r="A890" i="8"/>
  <c r="A891" i="8"/>
  <c r="A892" i="8"/>
  <c r="A893" i="8"/>
  <c r="A894" i="8"/>
  <c r="A895" i="8"/>
  <c r="B895" i="8" s="1"/>
  <c r="A896" i="8"/>
  <c r="A897" i="8"/>
  <c r="A898" i="8"/>
  <c r="A899" i="8"/>
  <c r="A900" i="8"/>
  <c r="A901" i="8"/>
  <c r="A902" i="8"/>
  <c r="A903" i="8"/>
  <c r="E903" i="8" s="1"/>
  <c r="A904" i="8"/>
  <c r="A905" i="8"/>
  <c r="A906" i="8"/>
  <c r="A907" i="8"/>
  <c r="A908" i="8"/>
  <c r="A909" i="8"/>
  <c r="A910" i="8"/>
  <c r="A911" i="8"/>
  <c r="B911" i="8" s="1"/>
  <c r="A912" i="8"/>
  <c r="A913" i="8"/>
  <c r="A914" i="8"/>
  <c r="A915" i="8"/>
  <c r="A916" i="8"/>
  <c r="A917" i="8"/>
  <c r="A918" i="8"/>
  <c r="A919" i="8"/>
  <c r="E919" i="8" s="1"/>
  <c r="A920" i="8"/>
  <c r="A921" i="8"/>
  <c r="A922" i="8"/>
  <c r="A923" i="8"/>
  <c r="A924" i="8"/>
  <c r="A925" i="8"/>
  <c r="A926" i="8"/>
  <c r="A927" i="8"/>
  <c r="B927" i="8" s="1"/>
  <c r="A928" i="8"/>
  <c r="A929" i="8"/>
  <c r="A930" i="8"/>
  <c r="A931" i="8"/>
  <c r="A932" i="8"/>
  <c r="A933" i="8"/>
  <c r="A934" i="8"/>
  <c r="A935" i="8"/>
  <c r="B935" i="8" s="1"/>
  <c r="A936" i="8"/>
  <c r="A937" i="8"/>
  <c r="A938" i="8"/>
  <c r="A939" i="8"/>
  <c r="C939" i="8" s="1"/>
  <c r="A940" i="8"/>
  <c r="A941" i="8"/>
  <c r="A942" i="8"/>
  <c r="A943" i="8"/>
  <c r="B943" i="8" s="1"/>
  <c r="A944" i="8"/>
  <c r="A945" i="8"/>
  <c r="A946" i="8"/>
  <c r="D946" i="8" s="1"/>
  <c r="A947" i="8"/>
  <c r="A948" i="8"/>
  <c r="D948" i="8" s="1"/>
  <c r="A949" i="8"/>
  <c r="A950" i="8"/>
  <c r="D950" i="8" s="1"/>
  <c r="A951" i="8"/>
  <c r="E951" i="8" s="1"/>
  <c r="A952" i="8"/>
  <c r="D952" i="8" s="1"/>
  <c r="A953" i="8"/>
  <c r="A954" i="8"/>
  <c r="D954" i="8" s="1"/>
  <c r="A955" i="8"/>
  <c r="A956" i="8"/>
  <c r="D956" i="8" s="1"/>
  <c r="A957" i="8"/>
  <c r="A958" i="8"/>
  <c r="D958" i="8" s="1"/>
  <c r="A959" i="8"/>
  <c r="B959" i="8" s="1"/>
  <c r="A960" i="8"/>
  <c r="D960" i="8" s="1"/>
  <c r="A961" i="8"/>
  <c r="A962" i="8"/>
  <c r="D962" i="8" s="1"/>
  <c r="A963" i="8"/>
  <c r="A964" i="8"/>
  <c r="D964" i="8" s="1"/>
  <c r="A965" i="8"/>
  <c r="A966" i="8"/>
  <c r="D966" i="8" s="1"/>
  <c r="A967" i="8"/>
  <c r="E967" i="8" s="1"/>
  <c r="A968" i="8"/>
  <c r="D968" i="8" s="1"/>
  <c r="A969" i="8"/>
  <c r="A970" i="8"/>
  <c r="E970" i="8" s="1"/>
  <c r="A971" i="8"/>
  <c r="A972" i="8"/>
  <c r="D972" i="8" s="1"/>
  <c r="A973" i="8"/>
  <c r="A974" i="8"/>
  <c r="E974" i="8" s="1"/>
  <c r="A975" i="8"/>
  <c r="B975" i="8" s="1"/>
  <c r="A976" i="8"/>
  <c r="D976" i="8" s="1"/>
  <c r="A977" i="8"/>
  <c r="A978" i="8"/>
  <c r="E978" i="8" s="1"/>
  <c r="A979" i="8"/>
  <c r="A980" i="8"/>
  <c r="D980" i="8" s="1"/>
  <c r="A981" i="8"/>
  <c r="A982" i="8"/>
  <c r="E982" i="8" s="1"/>
  <c r="A983" i="8"/>
  <c r="E983" i="8" s="1"/>
  <c r="A984" i="8"/>
  <c r="D984" i="8" s="1"/>
  <c r="A985" i="8"/>
  <c r="A986" i="8"/>
  <c r="E986" i="8" s="1"/>
  <c r="A987" i="8"/>
  <c r="A988" i="8"/>
  <c r="D988" i="8" s="1"/>
  <c r="A989" i="8"/>
  <c r="A990" i="8"/>
  <c r="E990" i="8" s="1"/>
  <c r="A991" i="8"/>
  <c r="B991" i="8" s="1"/>
  <c r="A992" i="8"/>
  <c r="D992" i="8" s="1"/>
  <c r="A993" i="8"/>
  <c r="A994" i="8"/>
  <c r="E994" i="8" s="1"/>
  <c r="A995" i="8"/>
  <c r="A996" i="8"/>
  <c r="D996" i="8" s="1"/>
  <c r="A997" i="8"/>
  <c r="E997" i="8" s="1"/>
  <c r="A998" i="8"/>
  <c r="E998" i="8" s="1"/>
  <c r="A999" i="8"/>
  <c r="C999" i="8" s="1"/>
  <c r="A1000" i="8"/>
  <c r="D1000" i="8" s="1"/>
  <c r="A1001" i="8"/>
  <c r="E1001" i="8" s="1"/>
  <c r="A1002" i="8"/>
  <c r="E1002" i="8" s="1"/>
  <c r="A1003" i="8"/>
  <c r="B1003" i="8" s="1"/>
  <c r="A1004" i="8"/>
  <c r="D1004" i="8" s="1"/>
  <c r="A1005" i="8"/>
  <c r="E1005" i="8" s="1"/>
  <c r="A1006" i="8"/>
  <c r="E1006" i="8" s="1"/>
  <c r="A1007" i="8"/>
  <c r="D83" i="8"/>
  <c r="D145" i="8"/>
  <c r="D629" i="8"/>
  <c r="C53" i="8"/>
  <c r="C85" i="8"/>
  <c r="C117" i="8"/>
  <c r="C149" i="8"/>
  <c r="C207" i="8"/>
  <c r="C285" i="8"/>
  <c r="C413" i="8"/>
  <c r="B11" i="8"/>
  <c r="B27" i="8"/>
  <c r="B43" i="8"/>
  <c r="B59" i="8"/>
  <c r="B67" i="8"/>
  <c r="B75" i="8"/>
  <c r="B83" i="8"/>
  <c r="B91" i="8"/>
  <c r="B99" i="8"/>
  <c r="B107" i="8"/>
  <c r="B115" i="8"/>
  <c r="B123" i="8"/>
  <c r="B131" i="8"/>
  <c r="B147" i="8"/>
  <c r="B163" i="8"/>
  <c r="B179" i="8"/>
  <c r="B195" i="8"/>
  <c r="B223" i="8"/>
  <c r="B255" i="8"/>
  <c r="B287" i="8"/>
  <c r="B319" i="8"/>
  <c r="B351" i="8"/>
  <c r="B383" i="8"/>
  <c r="B447" i="8"/>
  <c r="B511" i="8"/>
  <c r="B575" i="8"/>
  <c r="B639" i="8"/>
  <c r="A5" i="8"/>
  <c r="A2" i="4"/>
  <c r="A12" i="1" l="1"/>
  <c r="B12" i="1" s="1"/>
  <c r="A6" i="1"/>
  <c r="B6" i="1" s="1"/>
  <c r="A4" i="1"/>
  <c r="B4" i="1" s="1"/>
  <c r="A8" i="1"/>
  <c r="B8" i="1" s="1"/>
  <c r="A11" i="1"/>
  <c r="A10" i="1"/>
  <c r="A7" i="1"/>
  <c r="A9" i="1"/>
  <c r="B9" i="1" s="1"/>
  <c r="A5" i="1"/>
  <c r="B607" i="8"/>
  <c r="B543" i="8"/>
  <c r="B479" i="8"/>
  <c r="B335" i="8"/>
  <c r="B303" i="8"/>
  <c r="B271" i="8"/>
  <c r="B239" i="8"/>
  <c r="B187" i="8"/>
  <c r="B171" i="8"/>
  <c r="B155" i="8"/>
  <c r="C541" i="8"/>
  <c r="C349" i="8"/>
  <c r="C181" i="8"/>
  <c r="B855" i="8"/>
  <c r="B687" i="8"/>
  <c r="B623" i="8"/>
  <c r="B591" i="8"/>
  <c r="B559" i="8"/>
  <c r="B527" i="8"/>
  <c r="B495" i="8"/>
  <c r="B463" i="8"/>
  <c r="C669" i="8"/>
  <c r="C477" i="8"/>
  <c r="B799" i="8"/>
  <c r="B655" i="8"/>
  <c r="C775" i="8"/>
  <c r="C605" i="8"/>
  <c r="B951" i="8"/>
  <c r="B887" i="8"/>
  <c r="B703" i="8"/>
  <c r="B671" i="8"/>
  <c r="C711" i="8"/>
  <c r="B919" i="8"/>
  <c r="B983" i="8"/>
  <c r="B967" i="8"/>
  <c r="B903" i="8"/>
  <c r="C903" i="8"/>
  <c r="C967" i="8"/>
  <c r="E935" i="8"/>
  <c r="C935" i="8"/>
  <c r="E871" i="8"/>
  <c r="C871" i="8"/>
  <c r="E839" i="8"/>
  <c r="B839" i="8"/>
  <c r="C807" i="8"/>
  <c r="B807" i="8"/>
  <c r="C743" i="8"/>
  <c r="B743" i="8"/>
  <c r="C695" i="8"/>
  <c r="B695" i="8"/>
  <c r="C679" i="8"/>
  <c r="B679" i="8"/>
  <c r="C663" i="8"/>
  <c r="B663" i="8"/>
  <c r="C647" i="8"/>
  <c r="B647" i="8"/>
  <c r="B637" i="8"/>
  <c r="C637" i="8"/>
  <c r="C631" i="8"/>
  <c r="B631" i="8"/>
  <c r="C615" i="8"/>
  <c r="B615" i="8"/>
  <c r="C599" i="8"/>
  <c r="B599" i="8"/>
  <c r="C583" i="8"/>
  <c r="B583" i="8"/>
  <c r="B573" i="8"/>
  <c r="C573" i="8"/>
  <c r="C567" i="8"/>
  <c r="B567" i="8"/>
  <c r="C551" i="8"/>
  <c r="B551" i="8"/>
  <c r="C535" i="8"/>
  <c r="B535" i="8"/>
  <c r="C519" i="8"/>
  <c r="B519" i="8"/>
  <c r="B509" i="8"/>
  <c r="C509" i="8"/>
  <c r="C503" i="8"/>
  <c r="B503" i="8"/>
  <c r="C487" i="8"/>
  <c r="B487" i="8"/>
  <c r="C471" i="8"/>
  <c r="B471" i="8"/>
  <c r="C455" i="8"/>
  <c r="B455" i="8"/>
  <c r="C439" i="8"/>
  <c r="B439" i="8"/>
  <c r="C327" i="8"/>
  <c r="B327" i="8"/>
  <c r="C311" i="8"/>
  <c r="B311" i="8"/>
  <c r="C295" i="8"/>
  <c r="B295" i="8"/>
  <c r="C279" i="8"/>
  <c r="B279" i="8"/>
  <c r="C263" i="8"/>
  <c r="B263" i="8"/>
  <c r="C247" i="8"/>
  <c r="B247" i="8"/>
  <c r="C231" i="8"/>
  <c r="B231" i="8"/>
  <c r="C215" i="8"/>
  <c r="B215" i="8"/>
  <c r="C199" i="8"/>
  <c r="B199" i="8"/>
  <c r="C191" i="8"/>
  <c r="B191" i="8"/>
  <c r="C183" i="8"/>
  <c r="B183" i="8"/>
  <c r="C175" i="8"/>
  <c r="B175" i="8"/>
  <c r="C167" i="8"/>
  <c r="B167" i="8"/>
  <c r="C159" i="8"/>
  <c r="B159" i="8"/>
  <c r="C151" i="8"/>
  <c r="B151" i="8"/>
  <c r="C143" i="8"/>
  <c r="B143" i="8"/>
  <c r="C51" i="8"/>
  <c r="B51" i="8"/>
  <c r="D51" i="8" s="1"/>
  <c r="E1007" i="8"/>
  <c r="C1007" i="8"/>
  <c r="B1007" i="8"/>
  <c r="E1003" i="8"/>
  <c r="C1003" i="8"/>
  <c r="E999" i="8"/>
  <c r="B999" i="8"/>
  <c r="E995" i="8"/>
  <c r="C995" i="8"/>
  <c r="E993" i="8"/>
  <c r="B993" i="8"/>
  <c r="E991" i="8"/>
  <c r="C991" i="8"/>
  <c r="E989" i="8"/>
  <c r="B989" i="8"/>
  <c r="E987" i="8"/>
  <c r="C987" i="8"/>
  <c r="E985" i="8"/>
  <c r="B985" i="8"/>
  <c r="E981" i="8"/>
  <c r="B981" i="8"/>
  <c r="E979" i="8"/>
  <c r="C979" i="8"/>
  <c r="E977" i="8"/>
  <c r="B977" i="8"/>
  <c r="E975" i="8"/>
  <c r="C975" i="8"/>
  <c r="E973" i="8"/>
  <c r="B973" i="8"/>
  <c r="E971" i="8"/>
  <c r="C971" i="8"/>
  <c r="E969" i="8"/>
  <c r="B969" i="8"/>
  <c r="E965" i="8"/>
  <c r="B965" i="8"/>
  <c r="E963" i="8"/>
  <c r="C963" i="8"/>
  <c r="E961" i="8"/>
  <c r="B961" i="8"/>
  <c r="E959" i="8"/>
  <c r="C959" i="8"/>
  <c r="E957" i="8"/>
  <c r="B957" i="8"/>
  <c r="E955" i="8"/>
  <c r="C955" i="8"/>
  <c r="E953" i="8"/>
  <c r="B953" i="8"/>
  <c r="E949" i="8"/>
  <c r="B949" i="8"/>
  <c r="E947" i="8"/>
  <c r="C947" i="8"/>
  <c r="E945" i="8"/>
  <c r="B945" i="8"/>
  <c r="E943" i="8"/>
  <c r="C943" i="8"/>
  <c r="E941" i="8"/>
  <c r="B941" i="8"/>
  <c r="E937" i="8"/>
  <c r="B937" i="8"/>
  <c r="E933" i="8"/>
  <c r="B933" i="8"/>
  <c r="E931" i="8"/>
  <c r="C931" i="8"/>
  <c r="E929" i="8"/>
  <c r="B929" i="8"/>
  <c r="E927" i="8"/>
  <c r="C927" i="8"/>
  <c r="E925" i="8"/>
  <c r="B925" i="8"/>
  <c r="E923" i="8"/>
  <c r="C923" i="8"/>
  <c r="E921" i="8"/>
  <c r="B921" i="8"/>
  <c r="E917" i="8"/>
  <c r="B917" i="8"/>
  <c r="E915" i="8"/>
  <c r="C915" i="8"/>
  <c r="E913" i="8"/>
  <c r="B913" i="8"/>
  <c r="E911" i="8"/>
  <c r="C911" i="8"/>
  <c r="E909" i="8"/>
  <c r="B909" i="8"/>
  <c r="E907" i="8"/>
  <c r="C907" i="8"/>
  <c r="E905" i="8"/>
  <c r="B905" i="8"/>
  <c r="E901" i="8"/>
  <c r="B901" i="8"/>
  <c r="E899" i="8"/>
  <c r="C899" i="8"/>
  <c r="E897" i="8"/>
  <c r="B897" i="8"/>
  <c r="E895" i="8"/>
  <c r="C895" i="8"/>
  <c r="E893" i="8"/>
  <c r="B893" i="8"/>
  <c r="E891" i="8"/>
  <c r="C891" i="8"/>
  <c r="E889" i="8"/>
  <c r="B889" i="8"/>
  <c r="E885" i="8"/>
  <c r="B885" i="8"/>
  <c r="E883" i="8"/>
  <c r="C883" i="8"/>
  <c r="E881" i="8"/>
  <c r="B881" i="8"/>
  <c r="E879" i="8"/>
  <c r="C879" i="8"/>
  <c r="E877" i="8"/>
  <c r="B877" i="8"/>
  <c r="E875" i="8"/>
  <c r="C875" i="8"/>
  <c r="E873" i="8"/>
  <c r="B873" i="8"/>
  <c r="E869" i="8"/>
  <c r="B869" i="8"/>
  <c r="E867" i="8"/>
  <c r="C867" i="8"/>
  <c r="E865" i="8"/>
  <c r="B865" i="8"/>
  <c r="E863" i="8"/>
  <c r="C863" i="8"/>
  <c r="E861" i="8"/>
  <c r="B861" i="8"/>
  <c r="E859" i="8"/>
  <c r="D859" i="8"/>
  <c r="C859" i="8"/>
  <c r="E857" i="8"/>
  <c r="B857" i="8"/>
  <c r="E853" i="8"/>
  <c r="B853" i="8"/>
  <c r="E851" i="8"/>
  <c r="C851" i="8"/>
  <c r="E849" i="8"/>
  <c r="B849" i="8"/>
  <c r="E847" i="8"/>
  <c r="C847" i="8"/>
  <c r="E845" i="8"/>
  <c r="B845" i="8"/>
  <c r="E843" i="8"/>
  <c r="C843" i="8"/>
  <c r="E841" i="8"/>
  <c r="B841" i="8"/>
  <c r="E837" i="8"/>
  <c r="B837" i="8"/>
  <c r="E833" i="8"/>
  <c r="B833" i="8"/>
  <c r="E831" i="8"/>
  <c r="D831" i="8"/>
  <c r="C831" i="8"/>
  <c r="E829" i="8"/>
  <c r="B829" i="8"/>
  <c r="E825" i="8"/>
  <c r="B825" i="8"/>
  <c r="E823" i="8"/>
  <c r="D823" i="8"/>
  <c r="E821" i="8"/>
  <c r="B821" i="8"/>
  <c r="E817" i="8"/>
  <c r="B817" i="8"/>
  <c r="E815" i="8"/>
  <c r="D815" i="8"/>
  <c r="C815" i="8"/>
  <c r="E813" i="8"/>
  <c r="B813" i="8"/>
  <c r="E809" i="8"/>
  <c r="B809" i="8"/>
  <c r="E807" i="8"/>
  <c r="D807" i="8"/>
  <c r="E805" i="8"/>
  <c r="B805" i="8"/>
  <c r="E801" i="8"/>
  <c r="B801" i="8"/>
  <c r="E799" i="8"/>
  <c r="C799" i="8"/>
  <c r="E797" i="8"/>
  <c r="B797" i="8"/>
  <c r="E793" i="8"/>
  <c r="B793" i="8"/>
  <c r="E791" i="8"/>
  <c r="D791" i="8"/>
  <c r="E789" i="8"/>
  <c r="B789" i="8"/>
  <c r="E785" i="8"/>
  <c r="B785" i="8"/>
  <c r="E783" i="8"/>
  <c r="D783" i="8"/>
  <c r="C783" i="8"/>
  <c r="E781" i="8"/>
  <c r="B781" i="8"/>
  <c r="E777" i="8"/>
  <c r="B777" i="8"/>
  <c r="E775" i="8"/>
  <c r="D775" i="8"/>
  <c r="E773" i="8"/>
  <c r="B773" i="8"/>
  <c r="E769" i="8"/>
  <c r="B769" i="8"/>
  <c r="E767" i="8"/>
  <c r="D767" i="8"/>
  <c r="C767" i="8"/>
  <c r="E765" i="8"/>
  <c r="B765" i="8"/>
  <c r="E761" i="8"/>
  <c r="B761" i="8"/>
  <c r="E759" i="8"/>
  <c r="D759" i="8"/>
  <c r="E757" i="8"/>
  <c r="B757" i="8"/>
  <c r="E753" i="8"/>
  <c r="B753" i="8"/>
  <c r="E751" i="8"/>
  <c r="D751" i="8"/>
  <c r="C751" i="8"/>
  <c r="E749" i="8"/>
  <c r="B749" i="8"/>
  <c r="E745" i="8"/>
  <c r="B745" i="8"/>
  <c r="E743" i="8"/>
  <c r="D743" i="8"/>
  <c r="E741" i="8"/>
  <c r="B741" i="8"/>
  <c r="E737" i="8"/>
  <c r="B737" i="8"/>
  <c r="E735" i="8"/>
  <c r="C735" i="8"/>
  <c r="E733" i="8"/>
  <c r="B733" i="8"/>
  <c r="E729" i="8"/>
  <c r="B729" i="8"/>
  <c r="E727" i="8"/>
  <c r="D727" i="8"/>
  <c r="E725" i="8"/>
  <c r="B725" i="8"/>
  <c r="E721" i="8"/>
  <c r="B721" i="8"/>
  <c r="E719" i="8"/>
  <c r="D719" i="8"/>
  <c r="C719" i="8"/>
  <c r="E717" i="8"/>
  <c r="B717" i="8"/>
  <c r="E713" i="8"/>
  <c r="B713" i="8"/>
  <c r="E709" i="8"/>
  <c r="D709" i="8"/>
  <c r="C709" i="8"/>
  <c r="B709" i="8"/>
  <c r="E705" i="8"/>
  <c r="C705" i="8"/>
  <c r="B705" i="8"/>
  <c r="C701" i="8"/>
  <c r="B701" i="8"/>
  <c r="E697" i="8"/>
  <c r="C697" i="8"/>
  <c r="B697" i="8"/>
  <c r="E693" i="8"/>
  <c r="C693" i="8"/>
  <c r="D693" i="8"/>
  <c r="B693" i="8"/>
  <c r="E689" i="8"/>
  <c r="C689" i="8"/>
  <c r="B689" i="8"/>
  <c r="E681" i="8"/>
  <c r="C681" i="8"/>
  <c r="B681" i="8"/>
  <c r="E677" i="8"/>
  <c r="D677" i="8"/>
  <c r="C677" i="8"/>
  <c r="B677" i="8"/>
  <c r="E673" i="8"/>
  <c r="C673" i="8"/>
  <c r="B673" i="8"/>
  <c r="E665" i="8"/>
  <c r="C665" i="8"/>
  <c r="B665" i="8"/>
  <c r="E661" i="8"/>
  <c r="D661" i="8"/>
  <c r="C661" i="8"/>
  <c r="B661" i="8"/>
  <c r="E657" i="8"/>
  <c r="C657" i="8"/>
  <c r="B657" i="8"/>
  <c r="E649" i="8"/>
  <c r="C649" i="8"/>
  <c r="B649" i="8"/>
  <c r="E645" i="8"/>
  <c r="D645" i="8"/>
  <c r="C645" i="8"/>
  <c r="B645" i="8"/>
  <c r="E641" i="8"/>
  <c r="C641" i="8"/>
  <c r="B641" i="8"/>
  <c r="E633" i="8"/>
  <c r="C633" i="8"/>
  <c r="B633" i="8"/>
  <c r="E629" i="8"/>
  <c r="C629" i="8"/>
  <c r="B629" i="8"/>
  <c r="E625" i="8"/>
  <c r="C625" i="8"/>
  <c r="B625" i="8"/>
  <c r="E617" i="8"/>
  <c r="C617" i="8"/>
  <c r="B617" i="8"/>
  <c r="E613" i="8"/>
  <c r="D613" i="8"/>
  <c r="C613" i="8"/>
  <c r="B613" i="8"/>
  <c r="E609" i="8"/>
  <c r="C609" i="8"/>
  <c r="B609" i="8"/>
  <c r="E601" i="8"/>
  <c r="C601" i="8"/>
  <c r="B601" i="8"/>
  <c r="E597" i="8"/>
  <c r="D597" i="8"/>
  <c r="C597" i="8"/>
  <c r="B597" i="8"/>
  <c r="E593" i="8"/>
  <c r="C593" i="8"/>
  <c r="B593" i="8"/>
  <c r="E585" i="8"/>
  <c r="C585" i="8"/>
  <c r="B585" i="8"/>
  <c r="E581" i="8"/>
  <c r="D581" i="8"/>
  <c r="C581" i="8"/>
  <c r="B581" i="8"/>
  <c r="E577" i="8"/>
  <c r="C577" i="8"/>
  <c r="B577" i="8"/>
  <c r="E569" i="8"/>
  <c r="C569" i="8"/>
  <c r="B569" i="8"/>
  <c r="E565" i="8"/>
  <c r="D565" i="8"/>
  <c r="C565" i="8"/>
  <c r="B565" i="8"/>
  <c r="E561" i="8"/>
  <c r="C561" i="8"/>
  <c r="B561" i="8"/>
  <c r="E553" i="8"/>
  <c r="C553" i="8"/>
  <c r="B553" i="8"/>
  <c r="E549" i="8"/>
  <c r="D549" i="8"/>
  <c r="C549" i="8"/>
  <c r="B549" i="8"/>
  <c r="E545" i="8"/>
  <c r="C545" i="8"/>
  <c r="B545" i="8"/>
  <c r="E537" i="8"/>
  <c r="C537" i="8"/>
  <c r="B537" i="8"/>
  <c r="E533" i="8"/>
  <c r="D533" i="8"/>
  <c r="C533" i="8"/>
  <c r="B533" i="8"/>
  <c r="E529" i="8"/>
  <c r="C529" i="8"/>
  <c r="B529" i="8"/>
  <c r="E521" i="8"/>
  <c r="C521" i="8"/>
  <c r="B521" i="8"/>
  <c r="E517" i="8"/>
  <c r="D517" i="8"/>
  <c r="C517" i="8"/>
  <c r="B517" i="8"/>
  <c r="E513" i="8"/>
  <c r="C513" i="8"/>
  <c r="B513" i="8"/>
  <c r="E505" i="8"/>
  <c r="C505" i="8"/>
  <c r="B505" i="8"/>
  <c r="E501" i="8"/>
  <c r="C501" i="8"/>
  <c r="B501" i="8"/>
  <c r="E497" i="8"/>
  <c r="C497" i="8"/>
  <c r="B497" i="8"/>
  <c r="E489" i="8"/>
  <c r="C489" i="8"/>
  <c r="B489" i="8"/>
  <c r="E485" i="8"/>
  <c r="D485" i="8"/>
  <c r="C485" i="8"/>
  <c r="B485" i="8"/>
  <c r="E481" i="8"/>
  <c r="C481" i="8"/>
  <c r="B481" i="8"/>
  <c r="E473" i="8"/>
  <c r="C473" i="8"/>
  <c r="B473" i="8"/>
  <c r="C469" i="8"/>
  <c r="B469" i="8"/>
  <c r="E465" i="8"/>
  <c r="C465" i="8"/>
  <c r="B465" i="8"/>
  <c r="E461" i="8"/>
  <c r="D461" i="8"/>
  <c r="B461" i="8"/>
  <c r="C457" i="8"/>
  <c r="B457" i="8"/>
  <c r="C453" i="8"/>
  <c r="B453" i="8"/>
  <c r="C449" i="8"/>
  <c r="B449" i="8"/>
  <c r="E445" i="8"/>
  <c r="D445" i="8"/>
  <c r="B445" i="8"/>
  <c r="C441" i="8"/>
  <c r="B441" i="8"/>
  <c r="C437" i="8"/>
  <c r="B437" i="8"/>
  <c r="C433" i="8"/>
  <c r="B433" i="8"/>
  <c r="E429" i="8"/>
  <c r="D429" i="8"/>
  <c r="B429" i="8"/>
  <c r="C425" i="8"/>
  <c r="B425" i="8"/>
  <c r="C421" i="8"/>
  <c r="B421" i="8"/>
  <c r="C417" i="8"/>
  <c r="B417" i="8"/>
  <c r="E413" i="8"/>
  <c r="D413" i="8"/>
  <c r="B413" i="8"/>
  <c r="C409" i="8"/>
  <c r="B409" i="8"/>
  <c r="C405" i="8"/>
  <c r="B405" i="8"/>
  <c r="C401" i="8"/>
  <c r="B401" i="8"/>
  <c r="E397" i="8"/>
  <c r="D397" i="8"/>
  <c r="B397" i="8"/>
  <c r="C393" i="8"/>
  <c r="B393" i="8"/>
  <c r="C389" i="8"/>
  <c r="B389" i="8"/>
  <c r="C385" i="8"/>
  <c r="B385" i="8"/>
  <c r="E381" i="8"/>
  <c r="D381" i="8"/>
  <c r="B381" i="8"/>
  <c r="C377" i="8"/>
  <c r="B377" i="8"/>
  <c r="C373" i="8"/>
  <c r="B373" i="8"/>
  <c r="E369" i="8"/>
  <c r="C369" i="8"/>
  <c r="B369" i="8"/>
  <c r="E361" i="8"/>
  <c r="D361" i="8"/>
  <c r="C361" i="8"/>
  <c r="B361" i="8"/>
  <c r="C357" i="8"/>
  <c r="B357" i="8"/>
  <c r="E353" i="8"/>
  <c r="D353" i="8"/>
  <c r="C353" i="8"/>
  <c r="B353" i="8"/>
  <c r="E345" i="8"/>
  <c r="D345" i="8"/>
  <c r="C345" i="8"/>
  <c r="B345" i="8"/>
  <c r="E341" i="8"/>
  <c r="C341" i="8"/>
  <c r="B341" i="8"/>
  <c r="E337" i="8"/>
  <c r="C337" i="8"/>
  <c r="D337" i="8"/>
  <c r="B337" i="8"/>
  <c r="E333" i="8"/>
  <c r="B333" i="8"/>
  <c r="E329" i="8"/>
  <c r="D329" i="8"/>
  <c r="C329" i="8"/>
  <c r="B329" i="8"/>
  <c r="E325" i="8"/>
  <c r="C325" i="8"/>
  <c r="B325" i="8"/>
  <c r="E321" i="8"/>
  <c r="D321" i="8"/>
  <c r="C321" i="8"/>
  <c r="B321" i="8"/>
  <c r="E317" i="8"/>
  <c r="B317" i="8"/>
  <c r="E313" i="8"/>
  <c r="D313" i="8"/>
  <c r="C313" i="8"/>
  <c r="B313" i="8"/>
  <c r="E309" i="8"/>
  <c r="C309" i="8"/>
  <c r="B309" i="8"/>
  <c r="E305" i="8"/>
  <c r="C305" i="8"/>
  <c r="B305" i="8"/>
  <c r="E301" i="8"/>
  <c r="B301" i="8"/>
  <c r="E297" i="8"/>
  <c r="D297" i="8"/>
  <c r="C297" i="8"/>
  <c r="B297" i="8"/>
  <c r="E293" i="8"/>
  <c r="C293" i="8"/>
  <c r="B293" i="8"/>
  <c r="E289" i="8"/>
  <c r="D289" i="8"/>
  <c r="C289" i="8"/>
  <c r="B289" i="8"/>
  <c r="E285" i="8"/>
  <c r="B285" i="8"/>
  <c r="E281" i="8"/>
  <c r="D281" i="8"/>
  <c r="C281" i="8"/>
  <c r="B281" i="8"/>
  <c r="E277" i="8"/>
  <c r="C277" i="8"/>
  <c r="B277" i="8"/>
  <c r="E273" i="8"/>
  <c r="C273" i="8"/>
  <c r="D273" i="8"/>
  <c r="B273" i="8"/>
  <c r="E269" i="8"/>
  <c r="B269" i="8"/>
  <c r="E265" i="8"/>
  <c r="D265" i="8"/>
  <c r="C265" i="8"/>
  <c r="B265" i="8"/>
  <c r="E261" i="8"/>
  <c r="C261" i="8"/>
  <c r="B261" i="8"/>
  <c r="E257" i="8"/>
  <c r="D257" i="8"/>
  <c r="C257" i="8"/>
  <c r="B257" i="8"/>
  <c r="E253" i="8"/>
  <c r="C253" i="8"/>
  <c r="B253" i="8"/>
  <c r="E249" i="8"/>
  <c r="D249" i="8"/>
  <c r="C249" i="8"/>
  <c r="B249" i="8"/>
  <c r="E245" i="8"/>
  <c r="C245" i="8"/>
  <c r="B245" i="8"/>
  <c r="E241" i="8"/>
  <c r="C241" i="8"/>
  <c r="B241" i="8"/>
  <c r="E237" i="8"/>
  <c r="C237" i="8"/>
  <c r="B237" i="8"/>
  <c r="E233" i="8"/>
  <c r="D233" i="8"/>
  <c r="C233" i="8"/>
  <c r="B233" i="8"/>
  <c r="E229" i="8"/>
  <c r="C229" i="8"/>
  <c r="B229" i="8"/>
  <c r="E225" i="8"/>
  <c r="D225" i="8"/>
  <c r="C225" i="8"/>
  <c r="B225" i="8"/>
  <c r="E221" i="8"/>
  <c r="C221" i="8"/>
  <c r="B221" i="8"/>
  <c r="E217" i="8"/>
  <c r="D217" i="8"/>
  <c r="C217" i="8"/>
  <c r="B217" i="8"/>
  <c r="E213" i="8"/>
  <c r="C213" i="8"/>
  <c r="B213" i="8"/>
  <c r="E209" i="8"/>
  <c r="C209" i="8"/>
  <c r="D209" i="8"/>
  <c r="B209" i="8"/>
  <c r="E205" i="8"/>
  <c r="C205" i="8"/>
  <c r="B205" i="8"/>
  <c r="E201" i="8"/>
  <c r="D201" i="8"/>
  <c r="C201" i="8"/>
  <c r="B201" i="8"/>
  <c r="B995" i="8"/>
  <c r="B987" i="8"/>
  <c r="B979" i="8"/>
  <c r="B971" i="8"/>
  <c r="B963" i="8"/>
  <c r="B955" i="8"/>
  <c r="B947" i="8"/>
  <c r="B939" i="8"/>
  <c r="B931" i="8"/>
  <c r="B923" i="8"/>
  <c r="B915" i="8"/>
  <c r="B907" i="8"/>
  <c r="B899" i="8"/>
  <c r="B891" i="8"/>
  <c r="B883" i="8"/>
  <c r="B875" i="8"/>
  <c r="B867" i="8"/>
  <c r="B859" i="8"/>
  <c r="B851" i="8"/>
  <c r="B843" i="8"/>
  <c r="B835" i="8"/>
  <c r="B827" i="8"/>
  <c r="B819" i="8"/>
  <c r="B811" i="8"/>
  <c r="B803" i="8"/>
  <c r="B795" i="8"/>
  <c r="B787" i="8"/>
  <c r="B779" i="8"/>
  <c r="B771" i="8"/>
  <c r="B763" i="8"/>
  <c r="B755" i="8"/>
  <c r="B747" i="8"/>
  <c r="B739" i="8"/>
  <c r="B731" i="8"/>
  <c r="B723" i="8"/>
  <c r="B715" i="8"/>
  <c r="B707" i="8"/>
  <c r="B699" i="8"/>
  <c r="B691" i="8"/>
  <c r="B683" i="8"/>
  <c r="B675" i="8"/>
  <c r="B667" i="8"/>
  <c r="B659" i="8"/>
  <c r="B651" i="8"/>
  <c r="B643" i="8"/>
  <c r="B635" i="8"/>
  <c r="B627" i="8"/>
  <c r="B619" i="8"/>
  <c r="B611" i="8"/>
  <c r="B603" i="8"/>
  <c r="B595" i="8"/>
  <c r="B587" i="8"/>
  <c r="B579" i="8"/>
  <c r="B571" i="8"/>
  <c r="B563" i="8"/>
  <c r="B555" i="8"/>
  <c r="B547" i="8"/>
  <c r="B539" i="8"/>
  <c r="B531" i="8"/>
  <c r="B523" i="8"/>
  <c r="B515" i="8"/>
  <c r="B507" i="8"/>
  <c r="B499" i="8"/>
  <c r="B491" i="8"/>
  <c r="B483" i="8"/>
  <c r="B475" i="8"/>
  <c r="B467" i="8"/>
  <c r="B459" i="8"/>
  <c r="B451" i="8"/>
  <c r="B443" i="8"/>
  <c r="B435" i="8"/>
  <c r="B339" i="8"/>
  <c r="B331" i="8"/>
  <c r="B323" i="8"/>
  <c r="B315" i="8"/>
  <c r="B307" i="8"/>
  <c r="B299" i="8"/>
  <c r="B291" i="8"/>
  <c r="B283" i="8"/>
  <c r="B275" i="8"/>
  <c r="B267" i="8"/>
  <c r="B259" i="8"/>
  <c r="B251" i="8"/>
  <c r="B243" i="8"/>
  <c r="B235" i="8"/>
  <c r="B227" i="8"/>
  <c r="B219" i="8"/>
  <c r="B211" i="8"/>
  <c r="B203" i="8"/>
  <c r="C983" i="8"/>
  <c r="C951" i="8"/>
  <c r="C919" i="8"/>
  <c r="C887" i="8"/>
  <c r="C855" i="8"/>
  <c r="C823" i="8"/>
  <c r="C791" i="8"/>
  <c r="C759" i="8"/>
  <c r="C727" i="8"/>
  <c r="C685" i="8"/>
  <c r="C653" i="8"/>
  <c r="C621" i="8"/>
  <c r="C589" i="8"/>
  <c r="C557" i="8"/>
  <c r="C525" i="8"/>
  <c r="C493" i="8"/>
  <c r="C461" i="8"/>
  <c r="C429" i="8"/>
  <c r="C397" i="8"/>
  <c r="C365" i="8"/>
  <c r="C333" i="8"/>
  <c r="C301" i="8"/>
  <c r="C269" i="8"/>
  <c r="D735" i="8"/>
  <c r="D501" i="8"/>
  <c r="D305" i="8"/>
  <c r="E197" i="8"/>
  <c r="C197" i="8"/>
  <c r="E193" i="8"/>
  <c r="D193" i="8"/>
  <c r="C193" i="8"/>
  <c r="E189" i="8"/>
  <c r="C189" i="8"/>
  <c r="E185" i="8"/>
  <c r="D185" i="8"/>
  <c r="C185" i="8"/>
  <c r="E177" i="8"/>
  <c r="C177" i="8"/>
  <c r="E173" i="8"/>
  <c r="D173" i="8"/>
  <c r="E169" i="8"/>
  <c r="D169" i="8"/>
  <c r="C169" i="8"/>
  <c r="E165" i="8"/>
  <c r="D165" i="8"/>
  <c r="E161" i="8"/>
  <c r="C161" i="8"/>
  <c r="E157" i="8"/>
  <c r="D157" i="8"/>
  <c r="E153" i="8"/>
  <c r="D153" i="8"/>
  <c r="C153" i="8"/>
  <c r="E149" i="8"/>
  <c r="D149" i="8"/>
  <c r="E145" i="8"/>
  <c r="C145" i="8"/>
  <c r="E141" i="8"/>
  <c r="D141" i="8"/>
  <c r="E139" i="8"/>
  <c r="C139" i="8"/>
  <c r="E137" i="8"/>
  <c r="D137" i="8"/>
  <c r="C137" i="8"/>
  <c r="E135" i="8"/>
  <c r="C135" i="8"/>
  <c r="E133" i="8"/>
  <c r="D133" i="8"/>
  <c r="E131" i="8"/>
  <c r="C131" i="8"/>
  <c r="E129" i="8"/>
  <c r="C129" i="8"/>
  <c r="E127" i="8"/>
  <c r="C127" i="8"/>
  <c r="E125" i="8"/>
  <c r="D125" i="8"/>
  <c r="E123" i="8"/>
  <c r="C123" i="8"/>
  <c r="E121" i="8"/>
  <c r="D121" i="8"/>
  <c r="C121" i="8"/>
  <c r="E119" i="8"/>
  <c r="C119" i="8"/>
  <c r="E117" i="8"/>
  <c r="D117" i="8"/>
  <c r="E115" i="8"/>
  <c r="C115" i="8"/>
  <c r="E113" i="8"/>
  <c r="C113" i="8"/>
  <c r="E111" i="8"/>
  <c r="C111" i="8"/>
  <c r="E109" i="8"/>
  <c r="D109" i="8"/>
  <c r="E107" i="8"/>
  <c r="C107" i="8"/>
  <c r="E105" i="8"/>
  <c r="D105" i="8"/>
  <c r="C105" i="8"/>
  <c r="E103" i="8"/>
  <c r="C103" i="8"/>
  <c r="E101" i="8"/>
  <c r="D101" i="8"/>
  <c r="E99" i="8"/>
  <c r="C99" i="8"/>
  <c r="E97" i="8"/>
  <c r="C97" i="8"/>
  <c r="E95" i="8"/>
  <c r="C95" i="8"/>
  <c r="E93" i="8"/>
  <c r="D93" i="8"/>
  <c r="E91" i="8"/>
  <c r="C91" i="8"/>
  <c r="E89" i="8"/>
  <c r="D89" i="8"/>
  <c r="C89" i="8"/>
  <c r="E87" i="8"/>
  <c r="C87" i="8"/>
  <c r="E85" i="8"/>
  <c r="D85" i="8"/>
  <c r="E83" i="8"/>
  <c r="C83" i="8"/>
  <c r="E81" i="8"/>
  <c r="D81" i="8"/>
  <c r="C81" i="8"/>
  <c r="E79" i="8"/>
  <c r="C79" i="8"/>
  <c r="D79" i="8"/>
  <c r="E77" i="8"/>
  <c r="D77" i="8"/>
  <c r="E75" i="8"/>
  <c r="C75" i="8"/>
  <c r="E73" i="8"/>
  <c r="D73" i="8"/>
  <c r="C73" i="8"/>
  <c r="E71" i="8"/>
  <c r="C71" i="8"/>
  <c r="D71" i="8"/>
  <c r="E69" i="8"/>
  <c r="D69" i="8"/>
  <c r="E67" i="8"/>
  <c r="C67" i="8"/>
  <c r="E65" i="8"/>
  <c r="D65" i="8"/>
  <c r="C65" i="8"/>
  <c r="E63" i="8"/>
  <c r="C63" i="8"/>
  <c r="D63" i="8"/>
  <c r="E61" i="8"/>
  <c r="D61" i="8"/>
  <c r="E59" i="8"/>
  <c r="C59" i="8"/>
  <c r="E57" i="8"/>
  <c r="D57" i="8"/>
  <c r="C57" i="8"/>
  <c r="B57" i="8"/>
  <c r="E55" i="8"/>
  <c r="C55" i="8"/>
  <c r="D55" i="8"/>
  <c r="E53" i="8"/>
  <c r="D53" i="8"/>
  <c r="B53" i="8"/>
  <c r="C49" i="8"/>
  <c r="B49" i="8"/>
  <c r="D49" i="8" s="1"/>
  <c r="E49" i="8" s="1"/>
  <c r="B197" i="8"/>
  <c r="B193" i="8"/>
  <c r="B189" i="8"/>
  <c r="B185" i="8"/>
  <c r="B181" i="8"/>
  <c r="B177" i="8"/>
  <c r="B173" i="8"/>
  <c r="B169" i="8"/>
  <c r="B165" i="8"/>
  <c r="B161" i="8"/>
  <c r="B157" i="8"/>
  <c r="B153" i="8"/>
  <c r="B149" i="8"/>
  <c r="B145" i="8"/>
  <c r="B141" i="8"/>
  <c r="B137" i="8"/>
  <c r="B133" i="8"/>
  <c r="B129" i="8"/>
  <c r="B125" i="8"/>
  <c r="B121" i="8"/>
  <c r="B117" i="8"/>
  <c r="B113" i="8"/>
  <c r="B109" i="8"/>
  <c r="B105" i="8"/>
  <c r="B101" i="8"/>
  <c r="B97" i="8"/>
  <c r="B93" i="8"/>
  <c r="B89" i="8"/>
  <c r="B85" i="8"/>
  <c r="B81" i="8"/>
  <c r="B77" i="8"/>
  <c r="B73" i="8"/>
  <c r="B69" i="8"/>
  <c r="B65" i="8"/>
  <c r="B61" i="8"/>
  <c r="B55" i="8"/>
  <c r="C173" i="8"/>
  <c r="C157" i="8"/>
  <c r="C141" i="8"/>
  <c r="C125" i="8"/>
  <c r="C109" i="8"/>
  <c r="C93" i="8"/>
  <c r="C77" i="8"/>
  <c r="C61" i="8"/>
  <c r="D161" i="8"/>
  <c r="D129" i="8"/>
  <c r="D97" i="8"/>
  <c r="D75" i="8"/>
  <c r="D59" i="8"/>
  <c r="E939" i="8"/>
  <c r="D939" i="8"/>
  <c r="E835" i="8"/>
  <c r="D835" i="8"/>
  <c r="E827" i="8"/>
  <c r="D827" i="8"/>
  <c r="E819" i="8"/>
  <c r="D819" i="8"/>
  <c r="E811" i="8"/>
  <c r="D811" i="8"/>
  <c r="E803" i="8"/>
  <c r="D803" i="8"/>
  <c r="E795" i="8"/>
  <c r="D795" i="8"/>
  <c r="E787" i="8"/>
  <c r="D787" i="8"/>
  <c r="E779" i="8"/>
  <c r="D779" i="8"/>
  <c r="E771" i="8"/>
  <c r="D771" i="8"/>
  <c r="E763" i="8"/>
  <c r="D763" i="8"/>
  <c r="E755" i="8"/>
  <c r="D755" i="8"/>
  <c r="E747" i="8"/>
  <c r="D747" i="8"/>
  <c r="E739" i="8"/>
  <c r="D739" i="8"/>
  <c r="E731" i="8"/>
  <c r="D731" i="8"/>
  <c r="E723" i="8"/>
  <c r="D723" i="8"/>
  <c r="E715" i="8"/>
  <c r="D715" i="8"/>
  <c r="E701" i="8"/>
  <c r="D701" i="8"/>
  <c r="E685" i="8"/>
  <c r="D685" i="8"/>
  <c r="E669" i="8"/>
  <c r="D669" i="8"/>
  <c r="E653" i="8"/>
  <c r="D653" i="8"/>
  <c r="E637" i="8"/>
  <c r="D637" i="8"/>
  <c r="E621" i="8"/>
  <c r="D621" i="8"/>
  <c r="E605" i="8"/>
  <c r="D605" i="8"/>
  <c r="E589" i="8"/>
  <c r="D589" i="8"/>
  <c r="E573" i="8"/>
  <c r="D573" i="8"/>
  <c r="E557" i="8"/>
  <c r="D557" i="8"/>
  <c r="E541" i="8"/>
  <c r="D541" i="8"/>
  <c r="E525" i="8"/>
  <c r="D525" i="8"/>
  <c r="E509" i="8"/>
  <c r="D509" i="8"/>
  <c r="E493" i="8"/>
  <c r="D493" i="8"/>
  <c r="E477" i="8"/>
  <c r="D477" i="8"/>
  <c r="E469" i="8"/>
  <c r="D469" i="8"/>
  <c r="E457" i="8"/>
  <c r="D457" i="8"/>
  <c r="E453" i="8"/>
  <c r="D453" i="8"/>
  <c r="E449" i="8"/>
  <c r="D449" i="8"/>
  <c r="E441" i="8"/>
  <c r="D441" i="8"/>
  <c r="E437" i="8"/>
  <c r="D437" i="8"/>
  <c r="E433" i="8"/>
  <c r="D433" i="8"/>
  <c r="E431" i="8"/>
  <c r="C431" i="8"/>
  <c r="E427" i="8"/>
  <c r="C427" i="8"/>
  <c r="E425" i="8"/>
  <c r="D425" i="8"/>
  <c r="E423" i="8"/>
  <c r="C423" i="8"/>
  <c r="E421" i="8"/>
  <c r="D421" i="8"/>
  <c r="E419" i="8"/>
  <c r="C419" i="8"/>
  <c r="E417" i="8"/>
  <c r="D417" i="8"/>
  <c r="E415" i="8"/>
  <c r="C415" i="8"/>
  <c r="E411" i="8"/>
  <c r="C411" i="8"/>
  <c r="E409" i="8"/>
  <c r="D409" i="8"/>
  <c r="E407" i="8"/>
  <c r="C407" i="8"/>
  <c r="E405" i="8"/>
  <c r="D405" i="8"/>
  <c r="E403" i="8"/>
  <c r="C403" i="8"/>
  <c r="E401" i="8"/>
  <c r="D401" i="8"/>
  <c r="E399" i="8"/>
  <c r="C399" i="8"/>
  <c r="E395" i="8"/>
  <c r="C395" i="8"/>
  <c r="E393" i="8"/>
  <c r="D393" i="8"/>
  <c r="E391" i="8"/>
  <c r="C391" i="8"/>
  <c r="E389" i="8"/>
  <c r="D389" i="8"/>
  <c r="E387" i="8"/>
  <c r="C387" i="8"/>
  <c r="E385" i="8"/>
  <c r="D385" i="8"/>
  <c r="E383" i="8"/>
  <c r="C383" i="8"/>
  <c r="E379" i="8"/>
  <c r="C379" i="8"/>
  <c r="E377" i="8"/>
  <c r="D377" i="8"/>
  <c r="E375" i="8"/>
  <c r="C375" i="8"/>
  <c r="E373" i="8"/>
  <c r="D373" i="8"/>
  <c r="E371" i="8"/>
  <c r="D371" i="8"/>
  <c r="C371" i="8"/>
  <c r="E367" i="8"/>
  <c r="D367" i="8"/>
  <c r="C367" i="8"/>
  <c r="E365" i="8"/>
  <c r="D365" i="8"/>
  <c r="E363" i="8"/>
  <c r="D363" i="8"/>
  <c r="C363" i="8"/>
  <c r="E359" i="8"/>
  <c r="D359" i="8"/>
  <c r="C359" i="8"/>
  <c r="E357" i="8"/>
  <c r="D357" i="8"/>
  <c r="E355" i="8"/>
  <c r="D355" i="8"/>
  <c r="C355" i="8"/>
  <c r="E351" i="8"/>
  <c r="D351" i="8"/>
  <c r="C351" i="8"/>
  <c r="E349" i="8"/>
  <c r="D349" i="8"/>
  <c r="E347" i="8"/>
  <c r="D347" i="8"/>
  <c r="C347" i="8"/>
  <c r="E343" i="8"/>
  <c r="D343" i="8"/>
  <c r="C343" i="8"/>
  <c r="D341" i="8"/>
  <c r="D333" i="8"/>
  <c r="D325" i="8"/>
  <c r="D317" i="8"/>
  <c r="D309" i="8"/>
  <c r="D301" i="8"/>
  <c r="D293" i="8"/>
  <c r="D285" i="8"/>
  <c r="D277" i="8"/>
  <c r="D269" i="8"/>
  <c r="D261" i="8"/>
  <c r="D253" i="8"/>
  <c r="D245" i="8"/>
  <c r="D237" i="8"/>
  <c r="D229" i="8"/>
  <c r="D221" i="8"/>
  <c r="D213" i="8"/>
  <c r="D205" i="8"/>
  <c r="D197" i="8"/>
  <c r="D189" i="8"/>
  <c r="D181" i="8"/>
  <c r="E339" i="8"/>
  <c r="D339" i="8"/>
  <c r="E335" i="8"/>
  <c r="D335" i="8"/>
  <c r="E331" i="8"/>
  <c r="D331" i="8"/>
  <c r="E327" i="8"/>
  <c r="D327" i="8"/>
  <c r="E323" i="8"/>
  <c r="D323" i="8"/>
  <c r="E319" i="8"/>
  <c r="D319" i="8"/>
  <c r="E315" i="8"/>
  <c r="D315" i="8"/>
  <c r="E311" i="8"/>
  <c r="D311" i="8"/>
  <c r="E307" i="8"/>
  <c r="D307" i="8"/>
  <c r="E303" i="8"/>
  <c r="D303" i="8"/>
  <c r="E299" i="8"/>
  <c r="D299" i="8"/>
  <c r="E295" i="8"/>
  <c r="D295" i="8"/>
  <c r="E291" i="8"/>
  <c r="D291" i="8"/>
  <c r="E287" i="8"/>
  <c r="D287" i="8"/>
  <c r="E283" i="8"/>
  <c r="D283" i="8"/>
  <c r="E279" i="8"/>
  <c r="D279" i="8"/>
  <c r="E275" i="8"/>
  <c r="D275" i="8"/>
  <c r="E271" i="8"/>
  <c r="D271" i="8"/>
  <c r="E267" i="8"/>
  <c r="D267" i="8"/>
  <c r="E263" i="8"/>
  <c r="D263" i="8"/>
  <c r="E259" i="8"/>
  <c r="D259" i="8"/>
  <c r="E255" i="8"/>
  <c r="D255" i="8"/>
  <c r="E251" i="8"/>
  <c r="D251" i="8"/>
  <c r="E247" i="8"/>
  <c r="D247" i="8"/>
  <c r="E243" i="8"/>
  <c r="D243" i="8"/>
  <c r="E239" i="8"/>
  <c r="D239" i="8"/>
  <c r="E235" i="8"/>
  <c r="D235" i="8"/>
  <c r="E231" i="8"/>
  <c r="D231" i="8"/>
  <c r="E227" i="8"/>
  <c r="D227" i="8"/>
  <c r="E223" i="8"/>
  <c r="D223" i="8"/>
  <c r="E219" i="8"/>
  <c r="D219" i="8"/>
  <c r="E215" i="8"/>
  <c r="D215" i="8"/>
  <c r="E211" i="8"/>
  <c r="D211" i="8"/>
  <c r="E207" i="8"/>
  <c r="D207" i="8"/>
  <c r="E203" i="8"/>
  <c r="D203" i="8"/>
  <c r="E199" i="8"/>
  <c r="D199" i="8"/>
  <c r="E195" i="8"/>
  <c r="D195" i="8"/>
  <c r="E191" i="8"/>
  <c r="D191" i="8"/>
  <c r="E187" i="8"/>
  <c r="D187" i="8"/>
  <c r="E183" i="8"/>
  <c r="D183" i="8"/>
  <c r="E179" i="8"/>
  <c r="D179" i="8"/>
  <c r="E175" i="8"/>
  <c r="D175" i="8"/>
  <c r="E171" i="8"/>
  <c r="D171" i="8"/>
  <c r="E167" i="8"/>
  <c r="D167" i="8"/>
  <c r="E163" i="8"/>
  <c r="D163" i="8"/>
  <c r="E159" i="8"/>
  <c r="D159" i="8"/>
  <c r="E155" i="8"/>
  <c r="D155" i="8"/>
  <c r="E151" i="8"/>
  <c r="D151" i="8"/>
  <c r="E147" i="8"/>
  <c r="D147" i="8"/>
  <c r="E143" i="8"/>
  <c r="D143" i="8"/>
  <c r="D139" i="8"/>
  <c r="D135" i="8"/>
  <c r="D131" i="8"/>
  <c r="D127" i="8"/>
  <c r="D123" i="8"/>
  <c r="D119" i="8"/>
  <c r="D115" i="8"/>
  <c r="D111" i="8"/>
  <c r="D107" i="8"/>
  <c r="D103" i="8"/>
  <c r="D99" i="8"/>
  <c r="D95" i="8"/>
  <c r="D91" i="8"/>
  <c r="D87" i="8"/>
  <c r="E51" i="8"/>
  <c r="B1005" i="8"/>
  <c r="B1001" i="8"/>
  <c r="B997" i="8"/>
  <c r="C1005" i="8"/>
  <c r="C1001" i="8"/>
  <c r="C997" i="8"/>
  <c r="C993" i="8"/>
  <c r="C989" i="8"/>
  <c r="C985" i="8"/>
  <c r="C981" i="8"/>
  <c r="C977" i="8"/>
  <c r="C973" i="8"/>
  <c r="C969" i="8"/>
  <c r="C965" i="8"/>
  <c r="C961" i="8"/>
  <c r="C957" i="8"/>
  <c r="C953" i="8"/>
  <c r="C949" i="8"/>
  <c r="C945" i="8"/>
  <c r="C941" i="8"/>
  <c r="C937" i="8"/>
  <c r="C933" i="8"/>
  <c r="C929" i="8"/>
  <c r="C925" i="8"/>
  <c r="C921" i="8"/>
  <c r="C917" i="8"/>
  <c r="C913" i="8"/>
  <c r="C909" i="8"/>
  <c r="C905" i="8"/>
  <c r="C901" i="8"/>
  <c r="C897" i="8"/>
  <c r="C893" i="8"/>
  <c r="C889" i="8"/>
  <c r="C885" i="8"/>
  <c r="C881" i="8"/>
  <c r="C877" i="8"/>
  <c r="C873" i="8"/>
  <c r="C869" i="8"/>
  <c r="C865" i="8"/>
  <c r="C861" i="8"/>
  <c r="C857" i="8"/>
  <c r="C853" i="8"/>
  <c r="C849" i="8"/>
  <c r="C845" i="8"/>
  <c r="C841" i="8"/>
  <c r="C837" i="8"/>
  <c r="C833" i="8"/>
  <c r="C829" i="8"/>
  <c r="C825" i="8"/>
  <c r="C821" i="8"/>
  <c r="C817" i="8"/>
  <c r="C813" i="8"/>
  <c r="C809" i="8"/>
  <c r="C805" i="8"/>
  <c r="C801" i="8"/>
  <c r="C797" i="8"/>
  <c r="C793" i="8"/>
  <c r="C789" i="8"/>
  <c r="C785" i="8"/>
  <c r="C781" i="8"/>
  <c r="C777" i="8"/>
  <c r="C773" i="8"/>
  <c r="C769" i="8"/>
  <c r="C765" i="8"/>
  <c r="C761" i="8"/>
  <c r="C757" i="8"/>
  <c r="C753" i="8"/>
  <c r="C749" i="8"/>
  <c r="C745" i="8"/>
  <c r="C741" i="8"/>
  <c r="C737" i="8"/>
  <c r="C733" i="8"/>
  <c r="C729" i="8"/>
  <c r="C725" i="8"/>
  <c r="C721" i="8"/>
  <c r="C717" i="8"/>
  <c r="C713" i="8"/>
  <c r="D875" i="8"/>
  <c r="D843" i="8"/>
  <c r="D833" i="8"/>
  <c r="D829" i="8"/>
  <c r="D825" i="8"/>
  <c r="D821" i="8"/>
  <c r="D817" i="8"/>
  <c r="D813" i="8"/>
  <c r="D809" i="8"/>
  <c r="D805" i="8"/>
  <c r="D801" i="8"/>
  <c r="D797" i="8"/>
  <c r="D793" i="8"/>
  <c r="D789" i="8"/>
  <c r="D785" i="8"/>
  <c r="D781" i="8"/>
  <c r="D777" i="8"/>
  <c r="D773" i="8"/>
  <c r="D769" i="8"/>
  <c r="D765" i="8"/>
  <c r="D761" i="8"/>
  <c r="D757" i="8"/>
  <c r="D753" i="8"/>
  <c r="D749" i="8"/>
  <c r="D745" i="8"/>
  <c r="D741" i="8"/>
  <c r="D737" i="8"/>
  <c r="D733" i="8"/>
  <c r="D729" i="8"/>
  <c r="D725" i="8"/>
  <c r="D721" i="8"/>
  <c r="D717" i="8"/>
  <c r="D713" i="8"/>
  <c r="D705" i="8"/>
  <c r="D697" i="8"/>
  <c r="D689" i="8"/>
  <c r="D681" i="8"/>
  <c r="D673" i="8"/>
  <c r="D665" i="8"/>
  <c r="D657" i="8"/>
  <c r="D649" i="8"/>
  <c r="D641" i="8"/>
  <c r="D633" i="8"/>
  <c r="D625" i="8"/>
  <c r="D617" i="8"/>
  <c r="D609" i="8"/>
  <c r="D601" i="8"/>
  <c r="D593" i="8"/>
  <c r="D585" i="8"/>
  <c r="D577" i="8"/>
  <c r="D569" i="8"/>
  <c r="D561" i="8"/>
  <c r="D553" i="8"/>
  <c r="D545" i="8"/>
  <c r="D537" i="8"/>
  <c r="D529" i="8"/>
  <c r="D521" i="8"/>
  <c r="D513" i="8"/>
  <c r="D505" i="8"/>
  <c r="D497" i="8"/>
  <c r="D489" i="8"/>
  <c r="D481" i="8"/>
  <c r="D473" i="8"/>
  <c r="D465" i="8"/>
  <c r="E711" i="8"/>
  <c r="D711" i="8"/>
  <c r="E707" i="8"/>
  <c r="D707" i="8"/>
  <c r="E703" i="8"/>
  <c r="D703" i="8"/>
  <c r="E699" i="8"/>
  <c r="D699" i="8"/>
  <c r="E695" i="8"/>
  <c r="D695" i="8"/>
  <c r="E691" i="8"/>
  <c r="D691" i="8"/>
  <c r="E687" i="8"/>
  <c r="D687" i="8"/>
  <c r="E683" i="8"/>
  <c r="D683" i="8"/>
  <c r="E679" i="8"/>
  <c r="D679" i="8"/>
  <c r="E675" i="8"/>
  <c r="D675" i="8"/>
  <c r="E671" i="8"/>
  <c r="D671" i="8"/>
  <c r="E667" i="8"/>
  <c r="D667" i="8"/>
  <c r="E663" i="8"/>
  <c r="D663" i="8"/>
  <c r="E659" i="8"/>
  <c r="D659" i="8"/>
  <c r="E655" i="8"/>
  <c r="D655" i="8"/>
  <c r="E651" i="8"/>
  <c r="D651" i="8"/>
  <c r="E647" i="8"/>
  <c r="D647" i="8"/>
  <c r="E643" i="8"/>
  <c r="D643" i="8"/>
  <c r="E639" i="8"/>
  <c r="D639" i="8"/>
  <c r="E635" i="8"/>
  <c r="D635" i="8"/>
  <c r="E631" i="8"/>
  <c r="D631" i="8"/>
  <c r="E627" i="8"/>
  <c r="D627" i="8"/>
  <c r="E623" i="8"/>
  <c r="D623" i="8"/>
  <c r="E619" i="8"/>
  <c r="D619" i="8"/>
  <c r="E615" i="8"/>
  <c r="D615" i="8"/>
  <c r="E611" i="8"/>
  <c r="D611" i="8"/>
  <c r="E607" i="8"/>
  <c r="D607" i="8"/>
  <c r="E603" i="8"/>
  <c r="D603" i="8"/>
  <c r="E599" i="8"/>
  <c r="D599" i="8"/>
  <c r="E595" i="8"/>
  <c r="D595" i="8"/>
  <c r="E591" i="8"/>
  <c r="D591" i="8"/>
  <c r="E587" i="8"/>
  <c r="D587" i="8"/>
  <c r="E583" i="8"/>
  <c r="D583" i="8"/>
  <c r="E579" i="8"/>
  <c r="D579" i="8"/>
  <c r="E575" i="8"/>
  <c r="D575" i="8"/>
  <c r="E571" i="8"/>
  <c r="D571" i="8"/>
  <c r="E567" i="8"/>
  <c r="D567" i="8"/>
  <c r="E563" i="8"/>
  <c r="D563" i="8"/>
  <c r="E559" i="8"/>
  <c r="D559" i="8"/>
  <c r="E555" i="8"/>
  <c r="D555" i="8"/>
  <c r="E551" i="8"/>
  <c r="D551" i="8"/>
  <c r="E547" i="8"/>
  <c r="D547" i="8"/>
  <c r="E543" i="8"/>
  <c r="D543" i="8"/>
  <c r="E539" i="8"/>
  <c r="D539" i="8"/>
  <c r="E535" i="8"/>
  <c r="D535" i="8"/>
  <c r="E531" i="8"/>
  <c r="D531" i="8"/>
  <c r="E527" i="8"/>
  <c r="D527" i="8"/>
  <c r="E523" i="8"/>
  <c r="D523" i="8"/>
  <c r="E519" i="8"/>
  <c r="D519" i="8"/>
  <c r="E515" i="8"/>
  <c r="D515" i="8"/>
  <c r="E511" i="8"/>
  <c r="D511" i="8"/>
  <c r="E507" i="8"/>
  <c r="D507" i="8"/>
  <c r="E503" i="8"/>
  <c r="D503" i="8"/>
  <c r="E499" i="8"/>
  <c r="D499" i="8"/>
  <c r="E495" i="8"/>
  <c r="D495" i="8"/>
  <c r="E491" i="8"/>
  <c r="D491" i="8"/>
  <c r="E487" i="8"/>
  <c r="D487" i="8"/>
  <c r="E483" i="8"/>
  <c r="D483" i="8"/>
  <c r="E479" i="8"/>
  <c r="D479" i="8"/>
  <c r="E475" i="8"/>
  <c r="D475" i="8"/>
  <c r="E471" i="8"/>
  <c r="D471" i="8"/>
  <c r="E467" i="8"/>
  <c r="D467" i="8"/>
  <c r="E463" i="8"/>
  <c r="D463" i="8"/>
  <c r="E459" i="8"/>
  <c r="D459" i="8"/>
  <c r="E455" i="8"/>
  <c r="D455" i="8"/>
  <c r="E451" i="8"/>
  <c r="D451" i="8"/>
  <c r="E447" i="8"/>
  <c r="D447" i="8"/>
  <c r="E443" i="8"/>
  <c r="D443" i="8"/>
  <c r="E439" i="8"/>
  <c r="D439" i="8"/>
  <c r="E435" i="8"/>
  <c r="D435" i="8"/>
  <c r="D431" i="8"/>
  <c r="D427" i="8"/>
  <c r="D423" i="8"/>
  <c r="D419" i="8"/>
  <c r="D415" i="8"/>
  <c r="D411" i="8"/>
  <c r="D407" i="8"/>
  <c r="D403" i="8"/>
  <c r="D399" i="8"/>
  <c r="D395" i="8"/>
  <c r="D391" i="8"/>
  <c r="D387" i="8"/>
  <c r="D383" i="8"/>
  <c r="D379" i="8"/>
  <c r="D375" i="8"/>
  <c r="D971" i="8"/>
  <c r="D907" i="8"/>
  <c r="D987" i="8"/>
  <c r="D955" i="8"/>
  <c r="D923" i="8"/>
  <c r="D891" i="8"/>
  <c r="D995" i="8"/>
  <c r="D979" i="8"/>
  <c r="D963" i="8"/>
  <c r="D947" i="8"/>
  <c r="D931" i="8"/>
  <c r="D915" i="8"/>
  <c r="D899" i="8"/>
  <c r="D883" i="8"/>
  <c r="D867" i="8"/>
  <c r="D851" i="8"/>
  <c r="D1003" i="8"/>
  <c r="D991" i="8"/>
  <c r="D983" i="8"/>
  <c r="D975" i="8"/>
  <c r="D967" i="8"/>
  <c r="D959" i="8"/>
  <c r="D951" i="8"/>
  <c r="D943" i="8"/>
  <c r="D935" i="8"/>
  <c r="D927" i="8"/>
  <c r="D919" i="8"/>
  <c r="D911" i="8"/>
  <c r="D903" i="8"/>
  <c r="D895" i="8"/>
  <c r="D887" i="8"/>
  <c r="D879" i="8"/>
  <c r="D871" i="8"/>
  <c r="D863" i="8"/>
  <c r="D855" i="8"/>
  <c r="D847" i="8"/>
  <c r="D839" i="8"/>
  <c r="N10" i="1"/>
  <c r="F10" i="1" s="1"/>
  <c r="N8" i="1"/>
  <c r="C8" i="1" s="1"/>
  <c r="N7" i="1"/>
  <c r="F7" i="1" s="1"/>
  <c r="D1007" i="8"/>
  <c r="D999" i="8"/>
  <c r="D993" i="8"/>
  <c r="D989" i="8"/>
  <c r="D985" i="8"/>
  <c r="D981" i="8"/>
  <c r="D977" i="8"/>
  <c r="D973" i="8"/>
  <c r="D969" i="8"/>
  <c r="D965" i="8"/>
  <c r="D961" i="8"/>
  <c r="D957" i="8"/>
  <c r="D953" i="8"/>
  <c r="D949" i="8"/>
  <c r="D945" i="8"/>
  <c r="D941" i="8"/>
  <c r="D937" i="8"/>
  <c r="D933" i="8"/>
  <c r="D929" i="8"/>
  <c r="D925" i="8"/>
  <c r="D921" i="8"/>
  <c r="D917" i="8"/>
  <c r="D913" i="8"/>
  <c r="D909" i="8"/>
  <c r="D905" i="8"/>
  <c r="D901" i="8"/>
  <c r="D897" i="8"/>
  <c r="D893" i="8"/>
  <c r="D889" i="8"/>
  <c r="D885" i="8"/>
  <c r="D881" i="8"/>
  <c r="D877" i="8"/>
  <c r="D873" i="8"/>
  <c r="D869" i="8"/>
  <c r="D865" i="8"/>
  <c r="D861" i="8"/>
  <c r="D857" i="8"/>
  <c r="D853" i="8"/>
  <c r="D849" i="8"/>
  <c r="D845" i="8"/>
  <c r="D841" i="8"/>
  <c r="D837" i="8"/>
  <c r="D1005" i="8"/>
  <c r="D1001" i="8"/>
  <c r="D997" i="8"/>
  <c r="C10" i="1"/>
  <c r="N11" i="1"/>
  <c r="C11" i="1" s="1"/>
  <c r="N12" i="1"/>
  <c r="F12" i="1" s="1"/>
  <c r="F5" i="1"/>
  <c r="C5" i="1"/>
  <c r="N9" i="1"/>
  <c r="N4" i="1"/>
  <c r="N6" i="1"/>
  <c r="E944" i="8"/>
  <c r="D944" i="8"/>
  <c r="E942" i="8"/>
  <c r="D942" i="8"/>
  <c r="E940" i="8"/>
  <c r="D940" i="8"/>
  <c r="E938" i="8"/>
  <c r="D938" i="8"/>
  <c r="E936" i="8"/>
  <c r="D936" i="8"/>
  <c r="E934" i="8"/>
  <c r="D934" i="8"/>
  <c r="E932" i="8"/>
  <c r="D932" i="8"/>
  <c r="E930" i="8"/>
  <c r="D930" i="8"/>
  <c r="E928" i="8"/>
  <c r="D928" i="8"/>
  <c r="E926" i="8"/>
  <c r="D926" i="8"/>
  <c r="E924" i="8"/>
  <c r="D924" i="8"/>
  <c r="E922" i="8"/>
  <c r="D922" i="8"/>
  <c r="E920" i="8"/>
  <c r="D920" i="8"/>
  <c r="E918" i="8"/>
  <c r="D918" i="8"/>
  <c r="E916" i="8"/>
  <c r="D916" i="8"/>
  <c r="E914" i="8"/>
  <c r="D914" i="8"/>
  <c r="E912" i="8"/>
  <c r="D912" i="8"/>
  <c r="E910" i="8"/>
  <c r="D910" i="8"/>
  <c r="E908" i="8"/>
  <c r="D908" i="8"/>
  <c r="E906" i="8"/>
  <c r="D906" i="8"/>
  <c r="E904" i="8"/>
  <c r="D904" i="8"/>
  <c r="E902" i="8"/>
  <c r="D902" i="8"/>
  <c r="E900" i="8"/>
  <c r="D900" i="8"/>
  <c r="E898" i="8"/>
  <c r="D898" i="8"/>
  <c r="E896" i="8"/>
  <c r="D896" i="8"/>
  <c r="E894" i="8"/>
  <c r="D894" i="8"/>
  <c r="E892" i="8"/>
  <c r="D892" i="8"/>
  <c r="E890" i="8"/>
  <c r="D890" i="8"/>
  <c r="E888" i="8"/>
  <c r="D888" i="8"/>
  <c r="E886" i="8"/>
  <c r="D886" i="8"/>
  <c r="E884" i="8"/>
  <c r="D884" i="8"/>
  <c r="E882" i="8"/>
  <c r="D882" i="8"/>
  <c r="E880" i="8"/>
  <c r="D880" i="8"/>
  <c r="E878" i="8"/>
  <c r="D878" i="8"/>
  <c r="E876" i="8"/>
  <c r="D876" i="8"/>
  <c r="E874" i="8"/>
  <c r="D874" i="8"/>
  <c r="E872" i="8"/>
  <c r="D872" i="8"/>
  <c r="E870" i="8"/>
  <c r="D870" i="8"/>
  <c r="E868" i="8"/>
  <c r="D868" i="8"/>
  <c r="E866" i="8"/>
  <c r="D866" i="8"/>
  <c r="E864" i="8"/>
  <c r="D864" i="8"/>
  <c r="E862" i="8"/>
  <c r="D862" i="8"/>
  <c r="E860" i="8"/>
  <c r="D860" i="8"/>
  <c r="E858" i="8"/>
  <c r="D858" i="8"/>
  <c r="E856" i="8"/>
  <c r="D856" i="8"/>
  <c r="E854" i="8"/>
  <c r="D854" i="8"/>
  <c r="E852" i="8"/>
  <c r="D852" i="8"/>
  <c r="E850" i="8"/>
  <c r="D850" i="8"/>
  <c r="E848" i="8"/>
  <c r="D848" i="8"/>
  <c r="E846" i="8"/>
  <c r="D846" i="8"/>
  <c r="E844" i="8"/>
  <c r="D844" i="8"/>
  <c r="E842" i="8"/>
  <c r="D842" i="8"/>
  <c r="E840" i="8"/>
  <c r="D840" i="8"/>
  <c r="E838" i="8"/>
  <c r="D838" i="8"/>
  <c r="E836" i="8"/>
  <c r="D836" i="8"/>
  <c r="E834" i="8"/>
  <c r="D834" i="8"/>
  <c r="E832" i="8"/>
  <c r="D832" i="8"/>
  <c r="E830" i="8"/>
  <c r="D830" i="8"/>
  <c r="E828" i="8"/>
  <c r="D828" i="8"/>
  <c r="E826" i="8"/>
  <c r="D826" i="8"/>
  <c r="E824" i="8"/>
  <c r="D824" i="8"/>
  <c r="E822" i="8"/>
  <c r="D822" i="8"/>
  <c r="E820" i="8"/>
  <c r="D820" i="8"/>
  <c r="E818" i="8"/>
  <c r="D818" i="8"/>
  <c r="E816" i="8"/>
  <c r="D816" i="8"/>
  <c r="E814" i="8"/>
  <c r="D814" i="8"/>
  <c r="E812" i="8"/>
  <c r="D812" i="8"/>
  <c r="E810" i="8"/>
  <c r="D810" i="8"/>
  <c r="E808" i="8"/>
  <c r="D808" i="8"/>
  <c r="E806" i="8"/>
  <c r="D806" i="8"/>
  <c r="E804" i="8"/>
  <c r="D804" i="8"/>
  <c r="E802" i="8"/>
  <c r="D802" i="8"/>
  <c r="E800" i="8"/>
  <c r="D800" i="8"/>
  <c r="E798" i="8"/>
  <c r="D798" i="8"/>
  <c r="E796" i="8"/>
  <c r="D796" i="8"/>
  <c r="E794" i="8"/>
  <c r="D794" i="8"/>
  <c r="E792" i="8"/>
  <c r="D792" i="8"/>
  <c r="E790" i="8"/>
  <c r="D790" i="8"/>
  <c r="E788" i="8"/>
  <c r="D788" i="8"/>
  <c r="E786" i="8"/>
  <c r="D786" i="8"/>
  <c r="E784" i="8"/>
  <c r="D784" i="8"/>
  <c r="E782" i="8"/>
  <c r="D782" i="8"/>
  <c r="E780" i="8"/>
  <c r="D780" i="8"/>
  <c r="E778" i="8"/>
  <c r="D778" i="8"/>
  <c r="E776" i="8"/>
  <c r="D776" i="8"/>
  <c r="E774" i="8"/>
  <c r="D774" i="8"/>
  <c r="E772" i="8"/>
  <c r="D772" i="8"/>
  <c r="E770" i="8"/>
  <c r="D770" i="8"/>
  <c r="E768" i="8"/>
  <c r="D768" i="8"/>
  <c r="E766" i="8"/>
  <c r="D766" i="8"/>
  <c r="E764" i="8"/>
  <c r="D764" i="8"/>
  <c r="E762" i="8"/>
  <c r="D762" i="8"/>
  <c r="E760" i="8"/>
  <c r="D760" i="8"/>
  <c r="E758" i="8"/>
  <c r="D758" i="8"/>
  <c r="E756" i="8"/>
  <c r="D756" i="8"/>
  <c r="E754" i="8"/>
  <c r="D754" i="8"/>
  <c r="E752" i="8"/>
  <c r="D752" i="8"/>
  <c r="E750" i="8"/>
  <c r="D750" i="8"/>
  <c r="E748" i="8"/>
  <c r="D748" i="8"/>
  <c r="E746" i="8"/>
  <c r="D746" i="8"/>
  <c r="E744" i="8"/>
  <c r="D744" i="8"/>
  <c r="E742" i="8"/>
  <c r="D742" i="8"/>
  <c r="E740" i="8"/>
  <c r="D740" i="8"/>
  <c r="E738" i="8"/>
  <c r="D738" i="8"/>
  <c r="E736" i="8"/>
  <c r="D736" i="8"/>
  <c r="E734" i="8"/>
  <c r="D734" i="8"/>
  <c r="E732" i="8"/>
  <c r="D732" i="8"/>
  <c r="E730" i="8"/>
  <c r="D730" i="8"/>
  <c r="E728" i="8"/>
  <c r="D728" i="8"/>
  <c r="E726" i="8"/>
  <c r="D726" i="8"/>
  <c r="E724" i="8"/>
  <c r="D724" i="8"/>
  <c r="E722" i="8"/>
  <c r="D722" i="8"/>
  <c r="E720" i="8"/>
  <c r="D720" i="8"/>
  <c r="E718" i="8"/>
  <c r="D718" i="8"/>
  <c r="E716" i="8"/>
  <c r="D716" i="8"/>
  <c r="E714" i="8"/>
  <c r="D714" i="8"/>
  <c r="E712" i="8"/>
  <c r="D712" i="8"/>
  <c r="E710" i="8"/>
  <c r="D710" i="8"/>
  <c r="E708" i="8"/>
  <c r="D708" i="8"/>
  <c r="E706" i="8"/>
  <c r="D706" i="8"/>
  <c r="E704" i="8"/>
  <c r="D704" i="8"/>
  <c r="E702" i="8"/>
  <c r="D702" i="8"/>
  <c r="E700" i="8"/>
  <c r="D700" i="8"/>
  <c r="E698" i="8"/>
  <c r="D698" i="8"/>
  <c r="E696" i="8"/>
  <c r="D696" i="8"/>
  <c r="E694" i="8"/>
  <c r="D694" i="8"/>
  <c r="E692" i="8"/>
  <c r="D692" i="8"/>
  <c r="E690" i="8"/>
  <c r="D690" i="8"/>
  <c r="E688" i="8"/>
  <c r="D688" i="8"/>
  <c r="E686" i="8"/>
  <c r="D686" i="8"/>
  <c r="E684" i="8"/>
  <c r="D684" i="8"/>
  <c r="E682" i="8"/>
  <c r="D682" i="8"/>
  <c r="E680" i="8"/>
  <c r="D680" i="8"/>
  <c r="E678" i="8"/>
  <c r="D678" i="8"/>
  <c r="E676" i="8"/>
  <c r="D676" i="8"/>
  <c r="E674" i="8"/>
  <c r="D674" i="8"/>
  <c r="E672" i="8"/>
  <c r="D672" i="8"/>
  <c r="E670" i="8"/>
  <c r="D670" i="8"/>
  <c r="E668" i="8"/>
  <c r="D668" i="8"/>
  <c r="E666" i="8"/>
  <c r="D666" i="8"/>
  <c r="E664" i="8"/>
  <c r="D664" i="8"/>
  <c r="E662" i="8"/>
  <c r="D662" i="8"/>
  <c r="E660" i="8"/>
  <c r="D660" i="8"/>
  <c r="E658" i="8"/>
  <c r="D658" i="8"/>
  <c r="E656" i="8"/>
  <c r="D656" i="8"/>
  <c r="E654" i="8"/>
  <c r="D654" i="8"/>
  <c r="E652" i="8"/>
  <c r="D652" i="8"/>
  <c r="E650" i="8"/>
  <c r="D650" i="8"/>
  <c r="E648" i="8"/>
  <c r="D648" i="8"/>
  <c r="E646" i="8"/>
  <c r="D646" i="8"/>
  <c r="E644" i="8"/>
  <c r="D644" i="8"/>
  <c r="E642" i="8"/>
  <c r="D642" i="8"/>
  <c r="E640" i="8"/>
  <c r="D640" i="8"/>
  <c r="E638" i="8"/>
  <c r="D638" i="8"/>
  <c r="E636" i="8"/>
  <c r="D636" i="8"/>
  <c r="E634" i="8"/>
  <c r="D634" i="8"/>
  <c r="E632" i="8"/>
  <c r="D632" i="8"/>
  <c r="E630" i="8"/>
  <c r="D630" i="8"/>
  <c r="E628" i="8"/>
  <c r="D628" i="8"/>
  <c r="E626" i="8"/>
  <c r="D626" i="8"/>
  <c r="E624" i="8"/>
  <c r="D624" i="8"/>
  <c r="E622" i="8"/>
  <c r="D622" i="8"/>
  <c r="E620" i="8"/>
  <c r="D620" i="8"/>
  <c r="E618" i="8"/>
  <c r="D618" i="8"/>
  <c r="E616" i="8"/>
  <c r="D616" i="8"/>
  <c r="E614" i="8"/>
  <c r="D614" i="8"/>
  <c r="E612" i="8"/>
  <c r="D612" i="8"/>
  <c r="E610" i="8"/>
  <c r="D610" i="8"/>
  <c r="E608" i="8"/>
  <c r="D608" i="8"/>
  <c r="E606" i="8"/>
  <c r="D606" i="8"/>
  <c r="E604" i="8"/>
  <c r="D604" i="8"/>
  <c r="E602" i="8"/>
  <c r="D602" i="8"/>
  <c r="E600" i="8"/>
  <c r="D600" i="8"/>
  <c r="E598" i="8"/>
  <c r="D598" i="8"/>
  <c r="E596" i="8"/>
  <c r="D596" i="8"/>
  <c r="E594" i="8"/>
  <c r="D594" i="8"/>
  <c r="E592" i="8"/>
  <c r="D592" i="8"/>
  <c r="E590" i="8"/>
  <c r="D590" i="8"/>
  <c r="E588" i="8"/>
  <c r="D588" i="8"/>
  <c r="E586" i="8"/>
  <c r="D586" i="8"/>
  <c r="E584" i="8"/>
  <c r="D584" i="8"/>
  <c r="E582" i="8"/>
  <c r="D582" i="8"/>
  <c r="E580" i="8"/>
  <c r="D580" i="8"/>
  <c r="E578" i="8"/>
  <c r="D578" i="8"/>
  <c r="E576" i="8"/>
  <c r="D576" i="8"/>
  <c r="E574" i="8"/>
  <c r="D574" i="8"/>
  <c r="E572" i="8"/>
  <c r="D572" i="8"/>
  <c r="E570" i="8"/>
  <c r="D570" i="8"/>
  <c r="E568" i="8"/>
  <c r="D568" i="8"/>
  <c r="E566" i="8"/>
  <c r="D566" i="8"/>
  <c r="E564" i="8"/>
  <c r="D564" i="8"/>
  <c r="E562" i="8"/>
  <c r="D562" i="8"/>
  <c r="E560" i="8"/>
  <c r="D560" i="8"/>
  <c r="E558" i="8"/>
  <c r="D558" i="8"/>
  <c r="E556" i="8"/>
  <c r="D556" i="8"/>
  <c r="E554" i="8"/>
  <c r="D554" i="8"/>
  <c r="E552" i="8"/>
  <c r="D552" i="8"/>
  <c r="E550" i="8"/>
  <c r="D550" i="8"/>
  <c r="E548" i="8"/>
  <c r="D548" i="8"/>
  <c r="E546" i="8"/>
  <c r="D546" i="8"/>
  <c r="E544" i="8"/>
  <c r="D544" i="8"/>
  <c r="E542" i="8"/>
  <c r="D542" i="8"/>
  <c r="E540" i="8"/>
  <c r="D540" i="8"/>
  <c r="E538" i="8"/>
  <c r="D538" i="8"/>
  <c r="E536" i="8"/>
  <c r="D536" i="8"/>
  <c r="E534" i="8"/>
  <c r="D534" i="8"/>
  <c r="E532" i="8"/>
  <c r="D532" i="8"/>
  <c r="E530" i="8"/>
  <c r="D530" i="8"/>
  <c r="E528" i="8"/>
  <c r="D528" i="8"/>
  <c r="E526" i="8"/>
  <c r="D526" i="8"/>
  <c r="E524" i="8"/>
  <c r="D524" i="8"/>
  <c r="E522" i="8"/>
  <c r="D522" i="8"/>
  <c r="E520" i="8"/>
  <c r="D520" i="8"/>
  <c r="E518" i="8"/>
  <c r="D518" i="8"/>
  <c r="E516" i="8"/>
  <c r="D516" i="8"/>
  <c r="E514" i="8"/>
  <c r="D514" i="8"/>
  <c r="E512" i="8"/>
  <c r="D512" i="8"/>
  <c r="E510" i="8"/>
  <c r="D510" i="8"/>
  <c r="E508" i="8"/>
  <c r="D508" i="8"/>
  <c r="E506" i="8"/>
  <c r="D506" i="8"/>
  <c r="E504" i="8"/>
  <c r="D504" i="8"/>
  <c r="E502" i="8"/>
  <c r="D502" i="8"/>
  <c r="E500" i="8"/>
  <c r="D500" i="8"/>
  <c r="E498" i="8"/>
  <c r="D498" i="8"/>
  <c r="E496" i="8"/>
  <c r="D496" i="8"/>
  <c r="E494" i="8"/>
  <c r="D494" i="8"/>
  <c r="E492" i="8"/>
  <c r="D492" i="8"/>
  <c r="E490" i="8"/>
  <c r="D490" i="8"/>
  <c r="E488" i="8"/>
  <c r="D488" i="8"/>
  <c r="E486" i="8"/>
  <c r="D486" i="8"/>
  <c r="E484" i="8"/>
  <c r="D484" i="8"/>
  <c r="E482" i="8"/>
  <c r="D482" i="8"/>
  <c r="E480" i="8"/>
  <c r="D480" i="8"/>
  <c r="E478" i="8"/>
  <c r="D478" i="8"/>
  <c r="E476" i="8"/>
  <c r="D476" i="8"/>
  <c r="E474" i="8"/>
  <c r="D474" i="8"/>
  <c r="E472" i="8"/>
  <c r="D472" i="8"/>
  <c r="E470" i="8"/>
  <c r="D470" i="8"/>
  <c r="E468" i="8"/>
  <c r="D468" i="8"/>
  <c r="E466" i="8"/>
  <c r="D466" i="8"/>
  <c r="E464" i="8"/>
  <c r="D464" i="8"/>
  <c r="E462" i="8"/>
  <c r="D462" i="8"/>
  <c r="E460" i="8"/>
  <c r="D460" i="8"/>
  <c r="E458" i="8"/>
  <c r="D458" i="8"/>
  <c r="E456" i="8"/>
  <c r="D456" i="8"/>
  <c r="E454" i="8"/>
  <c r="D454" i="8"/>
  <c r="E452" i="8"/>
  <c r="D452" i="8"/>
  <c r="E450" i="8"/>
  <c r="D450" i="8"/>
  <c r="E448" i="8"/>
  <c r="D448" i="8"/>
  <c r="E446" i="8"/>
  <c r="D446" i="8"/>
  <c r="E444" i="8"/>
  <c r="D444" i="8"/>
  <c r="E442" i="8"/>
  <c r="D442" i="8"/>
  <c r="E440" i="8"/>
  <c r="D440" i="8"/>
  <c r="E438" i="8"/>
  <c r="D438" i="8"/>
  <c r="E436" i="8"/>
  <c r="D436" i="8"/>
  <c r="E434" i="8"/>
  <c r="D434" i="8"/>
  <c r="E432" i="8"/>
  <c r="D432" i="8"/>
  <c r="E430" i="8"/>
  <c r="D430" i="8"/>
  <c r="E428" i="8"/>
  <c r="D428" i="8"/>
  <c r="E426" i="8"/>
  <c r="D426" i="8"/>
  <c r="E424" i="8"/>
  <c r="D424" i="8"/>
  <c r="E422" i="8"/>
  <c r="D422" i="8"/>
  <c r="E420" i="8"/>
  <c r="D420" i="8"/>
  <c r="E418" i="8"/>
  <c r="D418" i="8"/>
  <c r="E416" i="8"/>
  <c r="D416" i="8"/>
  <c r="E414" i="8"/>
  <c r="D414" i="8"/>
  <c r="E412" i="8"/>
  <c r="D412" i="8"/>
  <c r="E410" i="8"/>
  <c r="D410" i="8"/>
  <c r="E408" i="8"/>
  <c r="D408" i="8"/>
  <c r="E406" i="8"/>
  <c r="D406" i="8"/>
  <c r="E404" i="8"/>
  <c r="D404" i="8"/>
  <c r="E402" i="8"/>
  <c r="D402" i="8"/>
  <c r="E400" i="8"/>
  <c r="D400" i="8"/>
  <c r="E398" i="8"/>
  <c r="D398" i="8"/>
  <c r="E396" i="8"/>
  <c r="D396" i="8"/>
  <c r="E394" i="8"/>
  <c r="D394" i="8"/>
  <c r="E392" i="8"/>
  <c r="D392" i="8"/>
  <c r="E390" i="8"/>
  <c r="D390" i="8"/>
  <c r="E388" i="8"/>
  <c r="D388" i="8"/>
  <c r="E386" i="8"/>
  <c r="D386" i="8"/>
  <c r="E384" i="8"/>
  <c r="D384" i="8"/>
  <c r="E382" i="8"/>
  <c r="D382" i="8"/>
  <c r="E380" i="8"/>
  <c r="D380" i="8"/>
  <c r="E378" i="8"/>
  <c r="D378" i="8"/>
  <c r="E376" i="8"/>
  <c r="D376" i="8"/>
  <c r="E374" i="8"/>
  <c r="D374" i="8"/>
  <c r="E372" i="8"/>
  <c r="D372" i="8"/>
  <c r="E370" i="8"/>
  <c r="D370" i="8"/>
  <c r="E368" i="8"/>
  <c r="D368" i="8"/>
  <c r="E366" i="8"/>
  <c r="D366" i="8"/>
  <c r="E364" i="8"/>
  <c r="D364" i="8"/>
  <c r="E362" i="8"/>
  <c r="D362" i="8"/>
  <c r="E360" i="8"/>
  <c r="D360" i="8"/>
  <c r="E358" i="8"/>
  <c r="D358" i="8"/>
  <c r="E356" i="8"/>
  <c r="D356" i="8"/>
  <c r="E354" i="8"/>
  <c r="D354" i="8"/>
  <c r="E352" i="8"/>
  <c r="D352" i="8"/>
  <c r="E350" i="8"/>
  <c r="D350" i="8"/>
  <c r="E348" i="8"/>
  <c r="D348" i="8"/>
  <c r="E346" i="8"/>
  <c r="D346" i="8"/>
  <c r="E344" i="8"/>
  <c r="D344" i="8"/>
  <c r="E342" i="8"/>
  <c r="D342" i="8"/>
  <c r="E340" i="8"/>
  <c r="D340" i="8"/>
  <c r="E338" i="8"/>
  <c r="D338" i="8"/>
  <c r="E336" i="8"/>
  <c r="D336" i="8"/>
  <c r="E334" i="8"/>
  <c r="D334" i="8"/>
  <c r="E332" i="8"/>
  <c r="D332" i="8"/>
  <c r="E330" i="8"/>
  <c r="D330" i="8"/>
  <c r="E328" i="8"/>
  <c r="D328" i="8"/>
  <c r="E326" i="8"/>
  <c r="D326" i="8"/>
  <c r="E324" i="8"/>
  <c r="D324" i="8"/>
  <c r="E322" i="8"/>
  <c r="D322" i="8"/>
  <c r="E320" i="8"/>
  <c r="D320" i="8"/>
  <c r="E318" i="8"/>
  <c r="D318" i="8"/>
  <c r="E316" i="8"/>
  <c r="D316" i="8"/>
  <c r="E314" i="8"/>
  <c r="D314" i="8"/>
  <c r="E312" i="8"/>
  <c r="D312" i="8"/>
  <c r="E310" i="8"/>
  <c r="D310" i="8"/>
  <c r="E308" i="8"/>
  <c r="D308" i="8"/>
  <c r="E306" i="8"/>
  <c r="D306" i="8"/>
  <c r="E304" i="8"/>
  <c r="D304" i="8"/>
  <c r="E302" i="8"/>
  <c r="D302" i="8"/>
  <c r="E300" i="8"/>
  <c r="D300" i="8"/>
  <c r="E298" i="8"/>
  <c r="D298" i="8"/>
  <c r="E296" i="8"/>
  <c r="D296" i="8"/>
  <c r="E294" i="8"/>
  <c r="D294" i="8"/>
  <c r="E292" i="8"/>
  <c r="D292" i="8"/>
  <c r="E290" i="8"/>
  <c r="D290" i="8"/>
  <c r="E288" i="8"/>
  <c r="D288" i="8"/>
  <c r="E286" i="8"/>
  <c r="D286" i="8"/>
  <c r="E284" i="8"/>
  <c r="D284" i="8"/>
  <c r="E282" i="8"/>
  <c r="D282" i="8"/>
  <c r="E280" i="8"/>
  <c r="D280" i="8"/>
  <c r="E278" i="8"/>
  <c r="D278" i="8"/>
  <c r="E276" i="8"/>
  <c r="D276" i="8"/>
  <c r="E274" i="8"/>
  <c r="D274" i="8"/>
  <c r="E272" i="8"/>
  <c r="D272" i="8"/>
  <c r="E270" i="8"/>
  <c r="D270" i="8"/>
  <c r="E268" i="8"/>
  <c r="D268" i="8"/>
  <c r="E266" i="8"/>
  <c r="D266" i="8"/>
  <c r="E264" i="8"/>
  <c r="D264" i="8"/>
  <c r="E262" i="8"/>
  <c r="D262" i="8"/>
  <c r="E260" i="8"/>
  <c r="D260" i="8"/>
  <c r="E258" i="8"/>
  <c r="D258" i="8"/>
  <c r="E256" i="8"/>
  <c r="D256" i="8"/>
  <c r="E254" i="8"/>
  <c r="D254" i="8"/>
  <c r="E252" i="8"/>
  <c r="D252" i="8"/>
  <c r="E250" i="8"/>
  <c r="D250" i="8"/>
  <c r="E248" i="8"/>
  <c r="D248" i="8"/>
  <c r="E246" i="8"/>
  <c r="D246" i="8"/>
  <c r="E244" i="8"/>
  <c r="D244" i="8"/>
  <c r="E242" i="8"/>
  <c r="D242" i="8"/>
  <c r="E240" i="8"/>
  <c r="D240" i="8"/>
  <c r="E238" i="8"/>
  <c r="D238" i="8"/>
  <c r="E236" i="8"/>
  <c r="D236" i="8"/>
  <c r="E234" i="8"/>
  <c r="D234" i="8"/>
  <c r="E232" i="8"/>
  <c r="D232" i="8"/>
  <c r="E230" i="8"/>
  <c r="D230" i="8"/>
  <c r="E228" i="8"/>
  <c r="D228" i="8"/>
  <c r="E226" i="8"/>
  <c r="D226" i="8"/>
  <c r="E224" i="8"/>
  <c r="D224" i="8"/>
  <c r="E222" i="8"/>
  <c r="D222" i="8"/>
  <c r="E220" i="8"/>
  <c r="D220" i="8"/>
  <c r="E218" i="8"/>
  <c r="D218" i="8"/>
  <c r="E216" i="8"/>
  <c r="D216" i="8"/>
  <c r="E214" i="8"/>
  <c r="D214" i="8"/>
  <c r="E212" i="8"/>
  <c r="D212" i="8"/>
  <c r="E210" i="8"/>
  <c r="D210" i="8"/>
  <c r="E208" i="8"/>
  <c r="D208" i="8"/>
  <c r="E206" i="8"/>
  <c r="D206" i="8"/>
  <c r="E204" i="8"/>
  <c r="D204" i="8"/>
  <c r="E202" i="8"/>
  <c r="D202" i="8"/>
  <c r="E200" i="8"/>
  <c r="D200" i="8"/>
  <c r="E198" i="8"/>
  <c r="D198" i="8"/>
  <c r="E196" i="8"/>
  <c r="D196" i="8"/>
  <c r="E194" i="8"/>
  <c r="D194" i="8"/>
  <c r="E192" i="8"/>
  <c r="D192" i="8"/>
  <c r="E190" i="8"/>
  <c r="D190" i="8"/>
  <c r="E188" i="8"/>
  <c r="D188" i="8"/>
  <c r="E186" i="8"/>
  <c r="D186" i="8"/>
  <c r="E184" i="8"/>
  <c r="D184" i="8"/>
  <c r="E182" i="8"/>
  <c r="D182" i="8"/>
  <c r="E180" i="8"/>
  <c r="D180" i="8"/>
  <c r="E178" i="8"/>
  <c r="D178" i="8"/>
  <c r="E176" i="8"/>
  <c r="D176" i="8"/>
  <c r="E174" i="8"/>
  <c r="D174" i="8"/>
  <c r="E172" i="8"/>
  <c r="D172" i="8"/>
  <c r="E170" i="8"/>
  <c r="D170" i="8"/>
  <c r="E166" i="8"/>
  <c r="D166" i="8"/>
  <c r="E164" i="8"/>
  <c r="D164" i="8"/>
  <c r="E162" i="8"/>
  <c r="D162" i="8"/>
  <c r="E160" i="8"/>
  <c r="D160" i="8"/>
  <c r="E158" i="8"/>
  <c r="D158" i="8"/>
  <c r="E156" i="8"/>
  <c r="D156" i="8"/>
  <c r="E154" i="8"/>
  <c r="D154" i="8"/>
  <c r="E150" i="8"/>
  <c r="D150" i="8"/>
  <c r="E148" i="8"/>
  <c r="D148" i="8"/>
  <c r="E146" i="8"/>
  <c r="D146" i="8"/>
  <c r="E144" i="8"/>
  <c r="D144" i="8"/>
  <c r="E142" i="8"/>
  <c r="D142" i="8"/>
  <c r="E140" i="8"/>
  <c r="D140" i="8"/>
  <c r="E138" i="8"/>
  <c r="D138" i="8"/>
  <c r="E134" i="8"/>
  <c r="D134" i="8"/>
  <c r="E132" i="8"/>
  <c r="D132" i="8"/>
  <c r="E130" i="8"/>
  <c r="D130" i="8"/>
  <c r="E128" i="8"/>
  <c r="D128" i="8"/>
  <c r="E126" i="8"/>
  <c r="D126" i="8"/>
  <c r="E124" i="8"/>
  <c r="D124" i="8"/>
  <c r="E122" i="8"/>
  <c r="D122" i="8"/>
  <c r="E118" i="8"/>
  <c r="D118" i="8"/>
  <c r="E116" i="8"/>
  <c r="D116" i="8"/>
  <c r="E114" i="8"/>
  <c r="D114" i="8"/>
  <c r="E112" i="8"/>
  <c r="D112" i="8"/>
  <c r="E110" i="8"/>
  <c r="D110" i="8"/>
  <c r="E108" i="8"/>
  <c r="D108" i="8"/>
  <c r="E106" i="8"/>
  <c r="D106" i="8"/>
  <c r="E102" i="8"/>
  <c r="D102" i="8"/>
  <c r="E100" i="8"/>
  <c r="D100" i="8"/>
  <c r="E98" i="8"/>
  <c r="D98" i="8"/>
  <c r="E96" i="8"/>
  <c r="D96" i="8"/>
  <c r="E94" i="8"/>
  <c r="D94" i="8"/>
  <c r="E92" i="8"/>
  <c r="D92" i="8"/>
  <c r="E90" i="8"/>
  <c r="D90" i="8"/>
  <c r="E86" i="8"/>
  <c r="D86" i="8"/>
  <c r="E84" i="8"/>
  <c r="D84" i="8"/>
  <c r="E82" i="8"/>
  <c r="D82" i="8"/>
  <c r="E80" i="8"/>
  <c r="D80" i="8"/>
  <c r="E78" i="8"/>
  <c r="D78" i="8"/>
  <c r="E76" i="8"/>
  <c r="D76" i="8"/>
  <c r="E74" i="8"/>
  <c r="D74" i="8"/>
  <c r="E70" i="8"/>
  <c r="D70" i="8"/>
  <c r="E68" i="8"/>
  <c r="D68" i="8"/>
  <c r="E66" i="8"/>
  <c r="D66" i="8"/>
  <c r="E64" i="8"/>
  <c r="D64" i="8"/>
  <c r="E62" i="8"/>
  <c r="D62" i="8"/>
  <c r="E60" i="8"/>
  <c r="D60" i="8"/>
  <c r="E58" i="8"/>
  <c r="D58" i="8"/>
  <c r="E54" i="8"/>
  <c r="D54" i="8"/>
  <c r="E1004" i="8"/>
  <c r="E1000" i="8"/>
  <c r="E996" i="8"/>
  <c r="E992" i="8"/>
  <c r="E988" i="8"/>
  <c r="E984" i="8"/>
  <c r="E980" i="8"/>
  <c r="E976" i="8"/>
  <c r="E972" i="8"/>
  <c r="E968" i="8"/>
  <c r="E964" i="8"/>
  <c r="E960" i="8"/>
  <c r="E956" i="8"/>
  <c r="E952" i="8"/>
  <c r="E948" i="8"/>
  <c r="E168" i="8"/>
  <c r="E136" i="8"/>
  <c r="E104" i="8"/>
  <c r="E72" i="8"/>
  <c r="B1006" i="8"/>
  <c r="B1004" i="8"/>
  <c r="B1002" i="8"/>
  <c r="B1000" i="8"/>
  <c r="B998" i="8"/>
  <c r="B996" i="8"/>
  <c r="B994" i="8"/>
  <c r="B992" i="8"/>
  <c r="B990" i="8"/>
  <c r="B988" i="8"/>
  <c r="B986" i="8"/>
  <c r="B984" i="8"/>
  <c r="B982" i="8"/>
  <c r="B980" i="8"/>
  <c r="B978" i="8"/>
  <c r="B976" i="8"/>
  <c r="B974" i="8"/>
  <c r="B972" i="8"/>
  <c r="B970" i="8"/>
  <c r="B968" i="8"/>
  <c r="B966" i="8"/>
  <c r="B964" i="8"/>
  <c r="B962" i="8"/>
  <c r="B960" i="8"/>
  <c r="B958" i="8"/>
  <c r="B956" i="8"/>
  <c r="B954" i="8"/>
  <c r="B952" i="8"/>
  <c r="B950" i="8"/>
  <c r="B948" i="8"/>
  <c r="B946" i="8"/>
  <c r="B944" i="8"/>
  <c r="B942" i="8"/>
  <c r="B940" i="8"/>
  <c r="B938" i="8"/>
  <c r="B936" i="8"/>
  <c r="B934" i="8"/>
  <c r="B932" i="8"/>
  <c r="B930" i="8"/>
  <c r="B928" i="8"/>
  <c r="B926" i="8"/>
  <c r="B924" i="8"/>
  <c r="B922" i="8"/>
  <c r="B920" i="8"/>
  <c r="B918" i="8"/>
  <c r="B916" i="8"/>
  <c r="B914" i="8"/>
  <c r="B912" i="8"/>
  <c r="B910" i="8"/>
  <c r="B908" i="8"/>
  <c r="B906" i="8"/>
  <c r="B904" i="8"/>
  <c r="B902" i="8"/>
  <c r="B900" i="8"/>
  <c r="B898" i="8"/>
  <c r="B896" i="8"/>
  <c r="B894" i="8"/>
  <c r="B892" i="8"/>
  <c r="B890" i="8"/>
  <c r="B888" i="8"/>
  <c r="B886" i="8"/>
  <c r="B884" i="8"/>
  <c r="B882" i="8"/>
  <c r="B880" i="8"/>
  <c r="B878" i="8"/>
  <c r="B876" i="8"/>
  <c r="B874" i="8"/>
  <c r="B872" i="8"/>
  <c r="B870" i="8"/>
  <c r="B868" i="8"/>
  <c r="B866" i="8"/>
  <c r="B864" i="8"/>
  <c r="B862" i="8"/>
  <c r="B860" i="8"/>
  <c r="B858" i="8"/>
  <c r="B856" i="8"/>
  <c r="B854" i="8"/>
  <c r="B852" i="8"/>
  <c r="B850" i="8"/>
  <c r="B848" i="8"/>
  <c r="B846" i="8"/>
  <c r="B844" i="8"/>
  <c r="B842" i="8"/>
  <c r="B840" i="8"/>
  <c r="B838" i="8"/>
  <c r="B836" i="8"/>
  <c r="B834" i="8"/>
  <c r="B832" i="8"/>
  <c r="B830" i="8"/>
  <c r="B828" i="8"/>
  <c r="B826" i="8"/>
  <c r="B824" i="8"/>
  <c r="B822" i="8"/>
  <c r="B820" i="8"/>
  <c r="B818" i="8"/>
  <c r="B816" i="8"/>
  <c r="B814" i="8"/>
  <c r="B812" i="8"/>
  <c r="B810" i="8"/>
  <c r="B808" i="8"/>
  <c r="B806" i="8"/>
  <c r="B804" i="8"/>
  <c r="B802" i="8"/>
  <c r="B800" i="8"/>
  <c r="B798" i="8"/>
  <c r="B796" i="8"/>
  <c r="B794" i="8"/>
  <c r="B792" i="8"/>
  <c r="B790" i="8"/>
  <c r="B788" i="8"/>
  <c r="B786" i="8"/>
  <c r="B784" i="8"/>
  <c r="B782" i="8"/>
  <c r="B780" i="8"/>
  <c r="B778" i="8"/>
  <c r="B776" i="8"/>
  <c r="B774" i="8"/>
  <c r="B772" i="8"/>
  <c r="B770" i="8"/>
  <c r="B768" i="8"/>
  <c r="B766" i="8"/>
  <c r="B764" i="8"/>
  <c r="B762" i="8"/>
  <c r="B760" i="8"/>
  <c r="B758" i="8"/>
  <c r="B756" i="8"/>
  <c r="B754" i="8"/>
  <c r="B752" i="8"/>
  <c r="B750" i="8"/>
  <c r="B748" i="8"/>
  <c r="B746" i="8"/>
  <c r="B744" i="8"/>
  <c r="B742" i="8"/>
  <c r="B740" i="8"/>
  <c r="B738" i="8"/>
  <c r="B736" i="8"/>
  <c r="B734" i="8"/>
  <c r="B732" i="8"/>
  <c r="B730" i="8"/>
  <c r="B728" i="8"/>
  <c r="B726" i="8"/>
  <c r="B724" i="8"/>
  <c r="B722" i="8"/>
  <c r="B720" i="8"/>
  <c r="B718" i="8"/>
  <c r="B716" i="8"/>
  <c r="B714" i="8"/>
  <c r="B712" i="8"/>
  <c r="B710" i="8"/>
  <c r="B708" i="8"/>
  <c r="B706" i="8"/>
  <c r="B704" i="8"/>
  <c r="B702" i="8"/>
  <c r="B700" i="8"/>
  <c r="B698" i="8"/>
  <c r="B696" i="8"/>
  <c r="B694" i="8"/>
  <c r="B692" i="8"/>
  <c r="B690" i="8"/>
  <c r="B688" i="8"/>
  <c r="B686" i="8"/>
  <c r="B684" i="8"/>
  <c r="B682" i="8"/>
  <c r="B680" i="8"/>
  <c r="B678" i="8"/>
  <c r="B676" i="8"/>
  <c r="B674" i="8"/>
  <c r="B672" i="8"/>
  <c r="B670" i="8"/>
  <c r="B668" i="8"/>
  <c r="B666" i="8"/>
  <c r="B664" i="8"/>
  <c r="B662" i="8"/>
  <c r="B660" i="8"/>
  <c r="B658" i="8"/>
  <c r="B656" i="8"/>
  <c r="B654" i="8"/>
  <c r="B652" i="8"/>
  <c r="B650" i="8"/>
  <c r="B648" i="8"/>
  <c r="B646" i="8"/>
  <c r="B644" i="8"/>
  <c r="B642" i="8"/>
  <c r="B640" i="8"/>
  <c r="B638" i="8"/>
  <c r="B636" i="8"/>
  <c r="B634" i="8"/>
  <c r="B632" i="8"/>
  <c r="B630" i="8"/>
  <c r="B628" i="8"/>
  <c r="B626" i="8"/>
  <c r="B624" i="8"/>
  <c r="B622" i="8"/>
  <c r="B620" i="8"/>
  <c r="B618" i="8"/>
  <c r="B616" i="8"/>
  <c r="B614" i="8"/>
  <c r="B612" i="8"/>
  <c r="B610" i="8"/>
  <c r="B608" i="8"/>
  <c r="B606" i="8"/>
  <c r="B604" i="8"/>
  <c r="B602" i="8"/>
  <c r="B600" i="8"/>
  <c r="B598" i="8"/>
  <c r="B596" i="8"/>
  <c r="B594" i="8"/>
  <c r="B592" i="8"/>
  <c r="B590" i="8"/>
  <c r="B588" i="8"/>
  <c r="B586" i="8"/>
  <c r="B584" i="8"/>
  <c r="B582" i="8"/>
  <c r="B580" i="8"/>
  <c r="B578" i="8"/>
  <c r="B576" i="8"/>
  <c r="B574" i="8"/>
  <c r="B572" i="8"/>
  <c r="B570" i="8"/>
  <c r="B568" i="8"/>
  <c r="B566" i="8"/>
  <c r="B564" i="8"/>
  <c r="B562" i="8"/>
  <c r="B560" i="8"/>
  <c r="B558" i="8"/>
  <c r="B556" i="8"/>
  <c r="B554" i="8"/>
  <c r="B552" i="8"/>
  <c r="B550" i="8"/>
  <c r="B548" i="8"/>
  <c r="B546" i="8"/>
  <c r="B544" i="8"/>
  <c r="B542" i="8"/>
  <c r="B540" i="8"/>
  <c r="B538" i="8"/>
  <c r="B536" i="8"/>
  <c r="B534" i="8"/>
  <c r="B532" i="8"/>
  <c r="B530" i="8"/>
  <c r="B528" i="8"/>
  <c r="B526" i="8"/>
  <c r="B524" i="8"/>
  <c r="B522" i="8"/>
  <c r="B520" i="8"/>
  <c r="B518" i="8"/>
  <c r="B516" i="8"/>
  <c r="B514" i="8"/>
  <c r="B512" i="8"/>
  <c r="B510" i="8"/>
  <c r="B508" i="8"/>
  <c r="B506" i="8"/>
  <c r="B504" i="8"/>
  <c r="B502" i="8"/>
  <c r="B500" i="8"/>
  <c r="B498" i="8"/>
  <c r="B496" i="8"/>
  <c r="B494" i="8"/>
  <c r="B492" i="8"/>
  <c r="B490" i="8"/>
  <c r="B488" i="8"/>
  <c r="B486" i="8"/>
  <c r="B484" i="8"/>
  <c r="B482" i="8"/>
  <c r="B480" i="8"/>
  <c r="B478" i="8"/>
  <c r="B476" i="8"/>
  <c r="B474" i="8"/>
  <c r="B472" i="8"/>
  <c r="B470" i="8"/>
  <c r="B468" i="8"/>
  <c r="B466" i="8"/>
  <c r="B464" i="8"/>
  <c r="B462" i="8"/>
  <c r="B460" i="8"/>
  <c r="B458" i="8"/>
  <c r="B456" i="8"/>
  <c r="B454" i="8"/>
  <c r="B452" i="8"/>
  <c r="B450" i="8"/>
  <c r="B448" i="8"/>
  <c r="B446" i="8"/>
  <c r="B444" i="8"/>
  <c r="B442" i="8"/>
  <c r="B440" i="8"/>
  <c r="B438" i="8"/>
  <c r="B436" i="8"/>
  <c r="B434" i="8"/>
  <c r="B432" i="8"/>
  <c r="B430" i="8"/>
  <c r="B428" i="8"/>
  <c r="B426" i="8"/>
  <c r="B424" i="8"/>
  <c r="B422" i="8"/>
  <c r="B420" i="8"/>
  <c r="B418" i="8"/>
  <c r="B416" i="8"/>
  <c r="B414" i="8"/>
  <c r="B412" i="8"/>
  <c r="B410" i="8"/>
  <c r="B408" i="8"/>
  <c r="B406" i="8"/>
  <c r="B404" i="8"/>
  <c r="B402" i="8"/>
  <c r="B400" i="8"/>
  <c r="B398" i="8"/>
  <c r="B396" i="8"/>
  <c r="B394" i="8"/>
  <c r="B392" i="8"/>
  <c r="B390" i="8"/>
  <c r="B388" i="8"/>
  <c r="B386" i="8"/>
  <c r="B384" i="8"/>
  <c r="B382" i="8"/>
  <c r="B380" i="8"/>
  <c r="B378" i="8"/>
  <c r="B376" i="8"/>
  <c r="B374" i="8"/>
  <c r="B372" i="8"/>
  <c r="B370" i="8"/>
  <c r="B368" i="8"/>
  <c r="B366" i="8"/>
  <c r="B364" i="8"/>
  <c r="B362" i="8"/>
  <c r="B360" i="8"/>
  <c r="B358" i="8"/>
  <c r="B356" i="8"/>
  <c r="B354" i="8"/>
  <c r="B352" i="8"/>
  <c r="B350" i="8"/>
  <c r="B348" i="8"/>
  <c r="B346" i="8"/>
  <c r="B344" i="8"/>
  <c r="B342" i="8"/>
  <c r="B340" i="8"/>
  <c r="B338" i="8"/>
  <c r="B336" i="8"/>
  <c r="B334" i="8"/>
  <c r="B332" i="8"/>
  <c r="B330" i="8"/>
  <c r="B328" i="8"/>
  <c r="B326" i="8"/>
  <c r="B324" i="8"/>
  <c r="B322" i="8"/>
  <c r="B320" i="8"/>
  <c r="B318" i="8"/>
  <c r="B316" i="8"/>
  <c r="B314" i="8"/>
  <c r="B312" i="8"/>
  <c r="B310" i="8"/>
  <c r="B308" i="8"/>
  <c r="B306" i="8"/>
  <c r="B304" i="8"/>
  <c r="B302" i="8"/>
  <c r="B300" i="8"/>
  <c r="B298" i="8"/>
  <c r="B296" i="8"/>
  <c r="B294" i="8"/>
  <c r="B292" i="8"/>
  <c r="B290" i="8"/>
  <c r="B288" i="8"/>
  <c r="B286" i="8"/>
  <c r="B284" i="8"/>
  <c r="B282" i="8"/>
  <c r="B280" i="8"/>
  <c r="B278" i="8"/>
  <c r="B276" i="8"/>
  <c r="B274" i="8"/>
  <c r="B272" i="8"/>
  <c r="B270" i="8"/>
  <c r="B268" i="8"/>
  <c r="B266" i="8"/>
  <c r="B264" i="8"/>
  <c r="B262" i="8"/>
  <c r="B260" i="8"/>
  <c r="B258" i="8"/>
  <c r="B256" i="8"/>
  <c r="B254" i="8"/>
  <c r="B252" i="8"/>
  <c r="B250" i="8"/>
  <c r="B248" i="8"/>
  <c r="B246" i="8"/>
  <c r="B244" i="8"/>
  <c r="B242" i="8"/>
  <c r="B240" i="8"/>
  <c r="B238" i="8"/>
  <c r="B236" i="8"/>
  <c r="B234" i="8"/>
  <c r="B232" i="8"/>
  <c r="B230" i="8"/>
  <c r="B228" i="8"/>
  <c r="B226" i="8"/>
  <c r="B224" i="8"/>
  <c r="B222" i="8"/>
  <c r="B220" i="8"/>
  <c r="B218" i="8"/>
  <c r="B216" i="8"/>
  <c r="B214" i="8"/>
  <c r="B212" i="8"/>
  <c r="B210" i="8"/>
  <c r="B208" i="8"/>
  <c r="B206" i="8"/>
  <c r="B204" i="8"/>
  <c r="B202" i="8"/>
  <c r="B200" i="8"/>
  <c r="B198" i="8"/>
  <c r="B196" i="8"/>
  <c r="B194" i="8"/>
  <c r="B192" i="8"/>
  <c r="B190" i="8"/>
  <c r="B188" i="8"/>
  <c r="B186" i="8"/>
  <c r="B184" i="8"/>
  <c r="B182" i="8"/>
  <c r="B180" i="8"/>
  <c r="B178" i="8"/>
  <c r="B176" i="8"/>
  <c r="B174" i="8"/>
  <c r="B172" i="8"/>
  <c r="B170" i="8"/>
  <c r="B168" i="8"/>
  <c r="B166" i="8"/>
  <c r="B164" i="8"/>
  <c r="B162" i="8"/>
  <c r="B160" i="8"/>
  <c r="B158" i="8"/>
  <c r="B156" i="8"/>
  <c r="B154" i="8"/>
  <c r="B152" i="8"/>
  <c r="B150" i="8"/>
  <c r="B148" i="8"/>
  <c r="B146" i="8"/>
  <c r="B144" i="8"/>
  <c r="B142" i="8"/>
  <c r="B140" i="8"/>
  <c r="B138" i="8"/>
  <c r="B136" i="8"/>
  <c r="B134" i="8"/>
  <c r="B132" i="8"/>
  <c r="B130" i="8"/>
  <c r="B128" i="8"/>
  <c r="B126" i="8"/>
  <c r="B124" i="8"/>
  <c r="B122" i="8"/>
  <c r="B120" i="8"/>
  <c r="B118" i="8"/>
  <c r="B116" i="8"/>
  <c r="B114" i="8"/>
  <c r="B112" i="8"/>
  <c r="B110" i="8"/>
  <c r="B108" i="8"/>
  <c r="B106" i="8"/>
  <c r="B104" i="8"/>
  <c r="B102" i="8"/>
  <c r="B100" i="8"/>
  <c r="B98" i="8"/>
  <c r="B96" i="8"/>
  <c r="B94" i="8"/>
  <c r="B92" i="8"/>
  <c r="B90" i="8"/>
  <c r="B88" i="8"/>
  <c r="B86" i="8"/>
  <c r="B84" i="8"/>
  <c r="B82" i="8"/>
  <c r="B80" i="8"/>
  <c r="B78" i="8"/>
  <c r="B76" i="8"/>
  <c r="B74" i="8"/>
  <c r="B72" i="8"/>
  <c r="B70" i="8"/>
  <c r="B68" i="8"/>
  <c r="B66" i="8"/>
  <c r="B64" i="8"/>
  <c r="B62" i="8"/>
  <c r="B60" i="8"/>
  <c r="B58" i="8"/>
  <c r="B56" i="8"/>
  <c r="B54" i="8"/>
  <c r="B52" i="8"/>
  <c r="D52" i="8" s="1"/>
  <c r="B50" i="8"/>
  <c r="D50" i="8" s="1"/>
  <c r="B48" i="8"/>
  <c r="B46" i="8"/>
  <c r="B44" i="8"/>
  <c r="B42" i="8"/>
  <c r="B40" i="8"/>
  <c r="B38" i="8"/>
  <c r="B36" i="8"/>
  <c r="B34" i="8"/>
  <c r="B32" i="8"/>
  <c r="B30" i="8"/>
  <c r="B28" i="8"/>
  <c r="B26" i="8"/>
  <c r="B24" i="8"/>
  <c r="B22" i="8"/>
  <c r="B20" i="8"/>
  <c r="B18" i="8"/>
  <c r="B16" i="8"/>
  <c r="B14" i="8"/>
  <c r="B12" i="8"/>
  <c r="B10" i="8"/>
  <c r="B8" i="8"/>
  <c r="C1006" i="8"/>
  <c r="C1004" i="8"/>
  <c r="C1002" i="8"/>
  <c r="C1000" i="8"/>
  <c r="C998" i="8"/>
  <c r="C996" i="8"/>
  <c r="C994" i="8"/>
  <c r="C992" i="8"/>
  <c r="C990" i="8"/>
  <c r="C988" i="8"/>
  <c r="C986" i="8"/>
  <c r="C984" i="8"/>
  <c r="C982" i="8"/>
  <c r="C980" i="8"/>
  <c r="C978" i="8"/>
  <c r="C976" i="8"/>
  <c r="C974" i="8"/>
  <c r="C972" i="8"/>
  <c r="C970" i="8"/>
  <c r="C968" i="8"/>
  <c r="C966" i="8"/>
  <c r="C964" i="8"/>
  <c r="C962" i="8"/>
  <c r="C960" i="8"/>
  <c r="C958" i="8"/>
  <c r="C956" i="8"/>
  <c r="C954" i="8"/>
  <c r="C952" i="8"/>
  <c r="C950" i="8"/>
  <c r="C948" i="8"/>
  <c r="C946" i="8"/>
  <c r="C944" i="8"/>
  <c r="C942" i="8"/>
  <c r="C940" i="8"/>
  <c r="C938" i="8"/>
  <c r="C936" i="8"/>
  <c r="C934" i="8"/>
  <c r="C932" i="8"/>
  <c r="C930" i="8"/>
  <c r="C928" i="8"/>
  <c r="C926" i="8"/>
  <c r="C924" i="8"/>
  <c r="C922" i="8"/>
  <c r="C920" i="8"/>
  <c r="C918" i="8"/>
  <c r="C916" i="8"/>
  <c r="C914" i="8"/>
  <c r="C912" i="8"/>
  <c r="C910" i="8"/>
  <c r="C908" i="8"/>
  <c r="C906" i="8"/>
  <c r="C904" i="8"/>
  <c r="C902" i="8"/>
  <c r="C900" i="8"/>
  <c r="C898" i="8"/>
  <c r="C896" i="8"/>
  <c r="C894" i="8"/>
  <c r="C892" i="8"/>
  <c r="C890" i="8"/>
  <c r="C888" i="8"/>
  <c r="C886" i="8"/>
  <c r="C884" i="8"/>
  <c r="C882" i="8"/>
  <c r="C880" i="8"/>
  <c r="C878" i="8"/>
  <c r="C876" i="8"/>
  <c r="C874" i="8"/>
  <c r="C872" i="8"/>
  <c r="C870" i="8"/>
  <c r="C868" i="8"/>
  <c r="C866" i="8"/>
  <c r="C864" i="8"/>
  <c r="C862" i="8"/>
  <c r="C860" i="8"/>
  <c r="C858" i="8"/>
  <c r="C856" i="8"/>
  <c r="C854" i="8"/>
  <c r="C852" i="8"/>
  <c r="C850" i="8"/>
  <c r="C848" i="8"/>
  <c r="C846" i="8"/>
  <c r="C844" i="8"/>
  <c r="C842" i="8"/>
  <c r="C840" i="8"/>
  <c r="C838" i="8"/>
  <c r="C836" i="8"/>
  <c r="C834" i="8"/>
  <c r="C832" i="8"/>
  <c r="C830" i="8"/>
  <c r="C828" i="8"/>
  <c r="C826" i="8"/>
  <c r="C824" i="8"/>
  <c r="C822" i="8"/>
  <c r="C820" i="8"/>
  <c r="C818" i="8"/>
  <c r="C816" i="8"/>
  <c r="C814" i="8"/>
  <c r="C812" i="8"/>
  <c r="C810" i="8"/>
  <c r="C808" i="8"/>
  <c r="C806" i="8"/>
  <c r="C804" i="8"/>
  <c r="C802" i="8"/>
  <c r="C800" i="8"/>
  <c r="C798" i="8"/>
  <c r="C796" i="8"/>
  <c r="C794" i="8"/>
  <c r="C792" i="8"/>
  <c r="C790" i="8"/>
  <c r="C788" i="8"/>
  <c r="C786" i="8"/>
  <c r="C784" i="8"/>
  <c r="C782" i="8"/>
  <c r="C780" i="8"/>
  <c r="C778" i="8"/>
  <c r="C776" i="8"/>
  <c r="C774" i="8"/>
  <c r="C772" i="8"/>
  <c r="C770" i="8"/>
  <c r="C768" i="8"/>
  <c r="C766" i="8"/>
  <c r="C764" i="8"/>
  <c r="C762" i="8"/>
  <c r="C760" i="8"/>
  <c r="C758" i="8"/>
  <c r="C756" i="8"/>
  <c r="C754" i="8"/>
  <c r="C752" i="8"/>
  <c r="C750" i="8"/>
  <c r="C748" i="8"/>
  <c r="C746" i="8"/>
  <c r="C744" i="8"/>
  <c r="C742" i="8"/>
  <c r="C740" i="8"/>
  <c r="C738" i="8"/>
  <c r="C736" i="8"/>
  <c r="C734" i="8"/>
  <c r="C732" i="8"/>
  <c r="C730" i="8"/>
  <c r="C728" i="8"/>
  <c r="C726" i="8"/>
  <c r="C724" i="8"/>
  <c r="C722" i="8"/>
  <c r="C720" i="8"/>
  <c r="C718" i="8"/>
  <c r="C716" i="8"/>
  <c r="C714" i="8"/>
  <c r="C712" i="8"/>
  <c r="C710" i="8"/>
  <c r="C708" i="8"/>
  <c r="C706" i="8"/>
  <c r="C704" i="8"/>
  <c r="C702" i="8"/>
  <c r="C700" i="8"/>
  <c r="C698" i="8"/>
  <c r="C696" i="8"/>
  <c r="C694" i="8"/>
  <c r="C692" i="8"/>
  <c r="C690" i="8"/>
  <c r="C688" i="8"/>
  <c r="C686" i="8"/>
  <c r="C684" i="8"/>
  <c r="C682" i="8"/>
  <c r="C680" i="8"/>
  <c r="C678" i="8"/>
  <c r="C676" i="8"/>
  <c r="C674" i="8"/>
  <c r="C672" i="8"/>
  <c r="C670" i="8"/>
  <c r="C668" i="8"/>
  <c r="C666" i="8"/>
  <c r="C664" i="8"/>
  <c r="C662" i="8"/>
  <c r="C660" i="8"/>
  <c r="C658" i="8"/>
  <c r="C656" i="8"/>
  <c r="C654" i="8"/>
  <c r="C652" i="8"/>
  <c r="C650" i="8"/>
  <c r="C648" i="8"/>
  <c r="C646" i="8"/>
  <c r="C644" i="8"/>
  <c r="C642" i="8"/>
  <c r="C640" i="8"/>
  <c r="C638" i="8"/>
  <c r="C636" i="8"/>
  <c r="C634" i="8"/>
  <c r="C632" i="8"/>
  <c r="C630" i="8"/>
  <c r="C628" i="8"/>
  <c r="C626" i="8"/>
  <c r="C624" i="8"/>
  <c r="C622" i="8"/>
  <c r="C620" i="8"/>
  <c r="C618" i="8"/>
  <c r="C616" i="8"/>
  <c r="C614" i="8"/>
  <c r="C612" i="8"/>
  <c r="C610" i="8"/>
  <c r="C608" i="8"/>
  <c r="C606" i="8"/>
  <c r="C604" i="8"/>
  <c r="C602" i="8"/>
  <c r="C600" i="8"/>
  <c r="C598" i="8"/>
  <c r="C596" i="8"/>
  <c r="C594" i="8"/>
  <c r="C592" i="8"/>
  <c r="C590" i="8"/>
  <c r="C588" i="8"/>
  <c r="C586" i="8"/>
  <c r="C584" i="8"/>
  <c r="C582" i="8"/>
  <c r="C580" i="8"/>
  <c r="C578" i="8"/>
  <c r="C576" i="8"/>
  <c r="C574" i="8"/>
  <c r="C572" i="8"/>
  <c r="C570" i="8"/>
  <c r="C568" i="8"/>
  <c r="C566" i="8"/>
  <c r="C564" i="8"/>
  <c r="C562" i="8"/>
  <c r="C560" i="8"/>
  <c r="C558" i="8"/>
  <c r="C556" i="8"/>
  <c r="C554" i="8"/>
  <c r="C552" i="8"/>
  <c r="C550" i="8"/>
  <c r="C548" i="8"/>
  <c r="C546" i="8"/>
  <c r="C544" i="8"/>
  <c r="C542" i="8"/>
  <c r="C540" i="8"/>
  <c r="C538" i="8"/>
  <c r="C536" i="8"/>
  <c r="C534" i="8"/>
  <c r="C532" i="8"/>
  <c r="C530" i="8"/>
  <c r="C528" i="8"/>
  <c r="C526" i="8"/>
  <c r="C524" i="8"/>
  <c r="C522" i="8"/>
  <c r="C520" i="8"/>
  <c r="C518" i="8"/>
  <c r="C516" i="8"/>
  <c r="C514" i="8"/>
  <c r="C512" i="8"/>
  <c r="C510" i="8"/>
  <c r="C508" i="8"/>
  <c r="C506" i="8"/>
  <c r="C504" i="8"/>
  <c r="C502" i="8"/>
  <c r="C500" i="8"/>
  <c r="C498" i="8"/>
  <c r="C496" i="8"/>
  <c r="C494" i="8"/>
  <c r="C492" i="8"/>
  <c r="C490" i="8"/>
  <c r="C488" i="8"/>
  <c r="C486" i="8"/>
  <c r="C484" i="8"/>
  <c r="C482" i="8"/>
  <c r="C480" i="8"/>
  <c r="C478" i="8"/>
  <c r="C476" i="8"/>
  <c r="C474" i="8"/>
  <c r="C472" i="8"/>
  <c r="C470" i="8"/>
  <c r="C468" i="8"/>
  <c r="C466" i="8"/>
  <c r="C464" i="8"/>
  <c r="C462" i="8"/>
  <c r="C460" i="8"/>
  <c r="C458" i="8"/>
  <c r="C456" i="8"/>
  <c r="C454" i="8"/>
  <c r="C452" i="8"/>
  <c r="C450" i="8"/>
  <c r="C448" i="8"/>
  <c r="C446" i="8"/>
  <c r="C444" i="8"/>
  <c r="C442" i="8"/>
  <c r="C440" i="8"/>
  <c r="C438" i="8"/>
  <c r="C436" i="8"/>
  <c r="C434" i="8"/>
  <c r="C432" i="8"/>
  <c r="C430" i="8"/>
  <c r="C428" i="8"/>
  <c r="C426" i="8"/>
  <c r="C424" i="8"/>
  <c r="C422" i="8"/>
  <c r="C420" i="8"/>
  <c r="C418" i="8"/>
  <c r="C416" i="8"/>
  <c r="C414" i="8"/>
  <c r="C412" i="8"/>
  <c r="C410" i="8"/>
  <c r="C408" i="8"/>
  <c r="C406" i="8"/>
  <c r="C404" i="8"/>
  <c r="C402" i="8"/>
  <c r="C400" i="8"/>
  <c r="C398" i="8"/>
  <c r="C396" i="8"/>
  <c r="C394" i="8"/>
  <c r="C392" i="8"/>
  <c r="C390" i="8"/>
  <c r="C388" i="8"/>
  <c r="C386" i="8"/>
  <c r="C384" i="8"/>
  <c r="C382" i="8"/>
  <c r="C380" i="8"/>
  <c r="C378" i="8"/>
  <c r="C376" i="8"/>
  <c r="C374" i="8"/>
  <c r="C372" i="8"/>
  <c r="C370" i="8"/>
  <c r="C368" i="8"/>
  <c r="C366" i="8"/>
  <c r="C364" i="8"/>
  <c r="C362" i="8"/>
  <c r="C360" i="8"/>
  <c r="C358" i="8"/>
  <c r="C356" i="8"/>
  <c r="C354" i="8"/>
  <c r="C352" i="8"/>
  <c r="C350" i="8"/>
  <c r="C348" i="8"/>
  <c r="C346" i="8"/>
  <c r="C344" i="8"/>
  <c r="C342" i="8"/>
  <c r="C340" i="8"/>
  <c r="C338" i="8"/>
  <c r="C336" i="8"/>
  <c r="C334" i="8"/>
  <c r="C332" i="8"/>
  <c r="C330" i="8"/>
  <c r="C328" i="8"/>
  <c r="C326" i="8"/>
  <c r="C324" i="8"/>
  <c r="C322" i="8"/>
  <c r="C320" i="8"/>
  <c r="C318" i="8"/>
  <c r="C316" i="8"/>
  <c r="C314" i="8"/>
  <c r="C312" i="8"/>
  <c r="C310" i="8"/>
  <c r="C308" i="8"/>
  <c r="C306" i="8"/>
  <c r="C304" i="8"/>
  <c r="C302" i="8"/>
  <c r="C300" i="8"/>
  <c r="C298" i="8"/>
  <c r="C296" i="8"/>
  <c r="C294" i="8"/>
  <c r="C292" i="8"/>
  <c r="C290" i="8"/>
  <c r="C288" i="8"/>
  <c r="C286" i="8"/>
  <c r="C284" i="8"/>
  <c r="C282" i="8"/>
  <c r="C280" i="8"/>
  <c r="C278" i="8"/>
  <c r="C276" i="8"/>
  <c r="C274" i="8"/>
  <c r="C272" i="8"/>
  <c r="C270" i="8"/>
  <c r="C268" i="8"/>
  <c r="C266" i="8"/>
  <c r="C264" i="8"/>
  <c r="C262" i="8"/>
  <c r="C260" i="8"/>
  <c r="C258" i="8"/>
  <c r="C256" i="8"/>
  <c r="C254" i="8"/>
  <c r="C252" i="8"/>
  <c r="C250" i="8"/>
  <c r="C248" i="8"/>
  <c r="C246" i="8"/>
  <c r="C244" i="8"/>
  <c r="C242" i="8"/>
  <c r="C240" i="8"/>
  <c r="C238" i="8"/>
  <c r="C236" i="8"/>
  <c r="C234" i="8"/>
  <c r="C232" i="8"/>
  <c r="C230" i="8"/>
  <c r="C228" i="8"/>
  <c r="C226" i="8"/>
  <c r="C224" i="8"/>
  <c r="C222" i="8"/>
  <c r="C220" i="8"/>
  <c r="C218" i="8"/>
  <c r="C216" i="8"/>
  <c r="C214" i="8"/>
  <c r="C212" i="8"/>
  <c r="C210" i="8"/>
  <c r="C208" i="8"/>
  <c r="C206" i="8"/>
  <c r="C204" i="8"/>
  <c r="C202" i="8"/>
  <c r="C200" i="8"/>
  <c r="C198" i="8"/>
  <c r="C196" i="8"/>
  <c r="C194" i="8"/>
  <c r="C192" i="8"/>
  <c r="C190" i="8"/>
  <c r="C188" i="8"/>
  <c r="C186" i="8"/>
  <c r="C184" i="8"/>
  <c r="C182" i="8"/>
  <c r="C180" i="8"/>
  <c r="C178" i="8"/>
  <c r="C176" i="8"/>
  <c r="C174" i="8"/>
  <c r="C172" i="8"/>
  <c r="C170" i="8"/>
  <c r="C168" i="8"/>
  <c r="C166" i="8"/>
  <c r="C164" i="8"/>
  <c r="C162" i="8"/>
  <c r="C160" i="8"/>
  <c r="C158" i="8"/>
  <c r="C156" i="8"/>
  <c r="C154" i="8"/>
  <c r="C152" i="8"/>
  <c r="C150" i="8"/>
  <c r="C148" i="8"/>
  <c r="C146" i="8"/>
  <c r="C144" i="8"/>
  <c r="C142" i="8"/>
  <c r="C140" i="8"/>
  <c r="C138" i="8"/>
  <c r="C136" i="8"/>
  <c r="C134" i="8"/>
  <c r="C132" i="8"/>
  <c r="C130" i="8"/>
  <c r="C128" i="8"/>
  <c r="C126" i="8"/>
  <c r="C124" i="8"/>
  <c r="C122" i="8"/>
  <c r="C120" i="8"/>
  <c r="C118" i="8"/>
  <c r="C116" i="8"/>
  <c r="C114" i="8"/>
  <c r="C112" i="8"/>
  <c r="C110" i="8"/>
  <c r="C108" i="8"/>
  <c r="C106" i="8"/>
  <c r="C104" i="8"/>
  <c r="C102" i="8"/>
  <c r="C100" i="8"/>
  <c r="C98" i="8"/>
  <c r="C96" i="8"/>
  <c r="C94" i="8"/>
  <c r="C92" i="8"/>
  <c r="C90" i="8"/>
  <c r="C88" i="8"/>
  <c r="C86" i="8"/>
  <c r="C84" i="8"/>
  <c r="C82" i="8"/>
  <c r="C80" i="8"/>
  <c r="C78" i="8"/>
  <c r="C76" i="8"/>
  <c r="C74" i="8"/>
  <c r="C72" i="8"/>
  <c r="C70" i="8"/>
  <c r="C68" i="8"/>
  <c r="C66" i="8"/>
  <c r="C64" i="8"/>
  <c r="C62" i="8"/>
  <c r="C60" i="8"/>
  <c r="C58" i="8"/>
  <c r="C56" i="8"/>
  <c r="C54" i="8"/>
  <c r="C52" i="8"/>
  <c r="C50" i="8"/>
  <c r="D1006" i="8"/>
  <c r="D1002" i="8"/>
  <c r="D998" i="8"/>
  <c r="D994" i="8"/>
  <c r="D990" i="8"/>
  <c r="D986" i="8"/>
  <c r="D982" i="8"/>
  <c r="D978" i="8"/>
  <c r="D974" i="8"/>
  <c r="D970" i="8"/>
  <c r="E966" i="8"/>
  <c r="E962" i="8"/>
  <c r="E958" i="8"/>
  <c r="E954" i="8"/>
  <c r="E950" i="8"/>
  <c r="E946" i="8"/>
  <c r="E152" i="8"/>
  <c r="E120" i="8"/>
  <c r="E88" i="8"/>
  <c r="E56" i="8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5" i="7"/>
  <c r="C12" i="1" l="1"/>
  <c r="C7" i="1"/>
  <c r="F8" i="1"/>
  <c r="E52" i="8"/>
  <c r="E50" i="8"/>
  <c r="F11" i="1"/>
  <c r="F6" i="1"/>
  <c r="C6" i="1"/>
  <c r="F9" i="1"/>
  <c r="C9" i="1"/>
  <c r="C8" i="8"/>
  <c r="C9" i="8"/>
  <c r="C11" i="8"/>
  <c r="C10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B45" i="4" l="1"/>
  <c r="B44" i="4"/>
  <c r="B43" i="4"/>
  <c r="B42" i="4"/>
  <c r="B41" i="4"/>
  <c r="B40" i="4"/>
  <c r="L4" i="1" l="1"/>
  <c r="I2" i="1" s="1"/>
  <c r="B39" i="4"/>
  <c r="B4" i="4"/>
  <c r="B20" i="4"/>
  <c r="B21" i="4"/>
  <c r="B23" i="4"/>
  <c r="B30" i="4"/>
  <c r="B34" i="4"/>
  <c r="B6" i="4"/>
  <c r="B24" i="4"/>
  <c r="B19" i="4"/>
  <c r="B22" i="4"/>
  <c r="B25" i="4"/>
  <c r="B27" i="4"/>
  <c r="B29" i="4"/>
  <c r="B31" i="4"/>
  <c r="B33" i="4"/>
  <c r="B35" i="4"/>
  <c r="B37" i="4"/>
  <c r="B26" i="4"/>
  <c r="B28" i="4"/>
  <c r="B32" i="4"/>
  <c r="B36" i="4"/>
  <c r="B38" i="4"/>
  <c r="B5" i="4"/>
  <c r="I8" i="9" l="1"/>
  <c r="D47" i="8"/>
  <c r="E47" i="8" s="1"/>
  <c r="F4" i="1"/>
  <c r="C4" i="1"/>
  <c r="D16" i="8"/>
  <c r="E16" i="8" s="1"/>
  <c r="D22" i="8"/>
  <c r="E22" i="8" s="1"/>
  <c r="D12" i="8"/>
  <c r="E12" i="8" s="1"/>
  <c r="D40" i="8"/>
  <c r="E40" i="8" s="1"/>
  <c r="D34" i="8"/>
  <c r="E34" i="8" s="1"/>
  <c r="D25" i="8"/>
  <c r="E25" i="8" s="1"/>
  <c r="D19" i="8"/>
  <c r="E19" i="8" s="1"/>
  <c r="D13" i="8"/>
  <c r="E13" i="8" s="1"/>
  <c r="D45" i="8"/>
  <c r="E45" i="8" s="1"/>
  <c r="D39" i="8"/>
  <c r="E39" i="8" s="1"/>
  <c r="D36" i="8"/>
  <c r="E36" i="8" s="1"/>
  <c r="D14" i="8"/>
  <c r="E14" i="8" s="1"/>
  <c r="D46" i="8"/>
  <c r="E46" i="8" s="1"/>
  <c r="D24" i="8"/>
  <c r="E24" i="8" s="1"/>
  <c r="D26" i="8"/>
  <c r="E26" i="8" s="1"/>
  <c r="D17" i="8"/>
  <c r="E17" i="8" s="1"/>
  <c r="D11" i="8"/>
  <c r="E11" i="8" s="1"/>
  <c r="D43" i="8"/>
  <c r="E43" i="8" s="1"/>
  <c r="D37" i="8"/>
  <c r="E37" i="8" s="1"/>
  <c r="D31" i="8"/>
  <c r="E31" i="8" s="1"/>
  <c r="D20" i="8"/>
  <c r="E20" i="8" s="1"/>
  <c r="D48" i="8"/>
  <c r="E48" i="8" s="1"/>
  <c r="D38" i="8"/>
  <c r="E38" i="8" s="1"/>
  <c r="D44" i="8"/>
  <c r="E44" i="8" s="1"/>
  <c r="D18" i="8"/>
  <c r="E18" i="8" s="1"/>
  <c r="D9" i="8"/>
  <c r="E9" i="8" s="1"/>
  <c r="D41" i="8"/>
  <c r="E41" i="8" s="1"/>
  <c r="D35" i="8"/>
  <c r="E35" i="8" s="1"/>
  <c r="D29" i="8"/>
  <c r="E29" i="8" s="1"/>
  <c r="D23" i="8"/>
  <c r="E23" i="8" s="1"/>
  <c r="D8" i="8"/>
  <c r="E8" i="8" s="1"/>
  <c r="D32" i="8"/>
  <c r="E32" i="8" s="1"/>
  <c r="D30" i="8"/>
  <c r="E30" i="8" s="1"/>
  <c r="D28" i="8"/>
  <c r="E28" i="8" s="1"/>
  <c r="D10" i="8"/>
  <c r="E10" i="8" s="1"/>
  <c r="D42" i="8"/>
  <c r="E42" i="8" s="1"/>
  <c r="D33" i="8"/>
  <c r="E33" i="8" s="1"/>
  <c r="D27" i="8"/>
  <c r="E27" i="8" s="1"/>
  <c r="D21" i="8"/>
  <c r="E21" i="8" s="1"/>
  <c r="D15" i="8"/>
  <c r="E15" i="8" s="1"/>
  <c r="B16" i="4"/>
  <c r="B13" i="4"/>
  <c r="B9" i="4"/>
  <c r="B17" i="4"/>
  <c r="B14" i="4"/>
  <c r="B10" i="4"/>
  <c r="B18" i="4"/>
  <c r="B11" i="4"/>
  <c r="B7" i="4"/>
  <c r="B15" i="4"/>
  <c r="B12" i="4"/>
  <c r="B8" i="4"/>
  <c r="C42" i="4"/>
  <c r="C44" i="4"/>
  <c r="C43" i="4"/>
  <c r="C45" i="4"/>
  <c r="C41" i="4"/>
  <c r="C40" i="4"/>
  <c r="C39" i="4"/>
  <c r="C15" i="4"/>
  <c r="C18" i="4"/>
  <c r="C34" i="4"/>
  <c r="C10" i="4"/>
  <c r="C4" i="4"/>
  <c r="C31" i="4"/>
  <c r="C26" i="4"/>
  <c r="C7" i="4"/>
  <c r="C23" i="4"/>
  <c r="C35" i="4"/>
  <c r="C37" i="4"/>
  <c r="C6" i="4"/>
  <c r="C14" i="4"/>
  <c r="C22" i="4"/>
  <c r="C30" i="4"/>
  <c r="C38" i="4"/>
  <c r="C11" i="4"/>
  <c r="C19" i="4"/>
  <c r="C27" i="4"/>
  <c r="C8" i="4"/>
  <c r="C12" i="4"/>
  <c r="C16" i="4"/>
  <c r="C20" i="4"/>
  <c r="C24" i="4"/>
  <c r="C28" i="4"/>
  <c r="C32" i="4"/>
  <c r="C36" i="4"/>
  <c r="C5" i="4"/>
  <c r="C9" i="4"/>
  <c r="C13" i="4"/>
  <c r="C17" i="4"/>
  <c r="C21" i="4"/>
  <c r="C25" i="4"/>
  <c r="C29" i="4"/>
  <c r="C33" i="4"/>
  <c r="D12" i="1" l="1"/>
  <c r="E12" i="1" s="1"/>
  <c r="G12" i="1"/>
  <c r="H12" i="1" s="1"/>
  <c r="G4" i="1"/>
  <c r="H4" i="1" s="1"/>
  <c r="G8" i="1"/>
  <c r="H8" i="1" s="1"/>
  <c r="G10" i="1"/>
  <c r="G5" i="1"/>
  <c r="H5" i="1" s="1"/>
  <c r="G7" i="1"/>
  <c r="H7" i="1" s="1"/>
  <c r="G11" i="1"/>
  <c r="G9" i="1"/>
  <c r="H9" i="1" s="1"/>
  <c r="G6" i="1"/>
  <c r="H6" i="1" s="1"/>
  <c r="D4" i="1"/>
  <c r="E4" i="1" s="1"/>
  <c r="D5" i="1"/>
  <c r="D11" i="1"/>
  <c r="D7" i="1"/>
  <c r="E7" i="1" s="1"/>
  <c r="D10" i="1"/>
  <c r="E10" i="1" s="1"/>
  <c r="D8" i="1"/>
  <c r="E8" i="1" s="1"/>
  <c r="D6" i="1"/>
  <c r="E6" i="1" s="1"/>
  <c r="D9" i="1"/>
  <c r="E9" i="1" s="1"/>
  <c r="H10" i="1"/>
  <c r="E5" i="1"/>
  <c r="D4" i="4"/>
  <c r="F4" i="4" s="1"/>
  <c r="J5" i="4"/>
  <c r="L5" i="4" s="1"/>
  <c r="J4" i="4"/>
  <c r="K4" i="4" s="1"/>
  <c r="G9" i="4"/>
  <c r="G14" i="4"/>
  <c r="H14" i="4" s="1"/>
  <c r="D45" i="4"/>
  <c r="F45" i="4" s="1"/>
  <c r="J29" i="4"/>
  <c r="K29" i="4" s="1"/>
  <c r="D7" i="4"/>
  <c r="E7" i="4" s="1"/>
  <c r="D25" i="4"/>
  <c r="E25" i="4" s="1"/>
  <c r="G6" i="4"/>
  <c r="I6" i="4" s="1"/>
  <c r="J16" i="4"/>
  <c r="L16" i="4" s="1"/>
  <c r="J24" i="4"/>
  <c r="G16" i="4"/>
  <c r="D26" i="4"/>
  <c r="E26" i="4" s="1"/>
  <c r="D6" i="4"/>
  <c r="E6" i="4" s="1"/>
  <c r="D9" i="4"/>
  <c r="J12" i="4"/>
  <c r="K12" i="4" s="1"/>
  <c r="D17" i="4"/>
  <c r="J20" i="4"/>
  <c r="K20" i="4" s="1"/>
  <c r="J14" i="4"/>
  <c r="D18" i="4"/>
  <c r="F18" i="4" s="1"/>
  <c r="G11" i="4"/>
  <c r="H11" i="4" s="1"/>
  <c r="D30" i="4"/>
  <c r="F30" i="4" s="1"/>
  <c r="J11" i="4"/>
  <c r="L11" i="4" s="1"/>
  <c r="J7" i="4"/>
  <c r="G30" i="4"/>
  <c r="H30" i="4" s="1"/>
  <c r="J26" i="4"/>
  <c r="J22" i="4"/>
  <c r="L22" i="4" s="1"/>
  <c r="J34" i="4"/>
  <c r="D21" i="4"/>
  <c r="F21" i="4" s="1"/>
  <c r="J39" i="4"/>
  <c r="J17" i="4"/>
  <c r="G42" i="4"/>
  <c r="I42" i="4" s="1"/>
  <c r="J27" i="4"/>
  <c r="J13" i="4"/>
  <c r="K13" i="4" s="1"/>
  <c r="G32" i="4"/>
  <c r="H32" i="4" s="1"/>
  <c r="G39" i="4"/>
  <c r="G34" i="4"/>
  <c r="I34" i="4" s="1"/>
  <c r="J35" i="4"/>
  <c r="K35" i="4" s="1"/>
  <c r="D29" i="4"/>
  <c r="F29" i="4" s="1"/>
  <c r="D32" i="4"/>
  <c r="E32" i="4" s="1"/>
  <c r="D14" i="4"/>
  <c r="E14" i="4" s="1"/>
  <c r="G7" i="4"/>
  <c r="H7" i="4" s="1"/>
  <c r="D44" i="4"/>
  <c r="G43" i="4"/>
  <c r="G12" i="4"/>
  <c r="H12" i="4" s="1"/>
  <c r="G29" i="4"/>
  <c r="D36" i="4"/>
  <c r="D16" i="4"/>
  <c r="J40" i="4"/>
  <c r="G10" i="4"/>
  <c r="D13" i="4"/>
  <c r="F13" i="4" s="1"/>
  <c r="J10" i="4"/>
  <c r="D24" i="4"/>
  <c r="D5" i="4"/>
  <c r="E5" i="4" s="1"/>
  <c r="J21" i="4"/>
  <c r="K21" i="4" s="1"/>
  <c r="J41" i="4"/>
  <c r="D22" i="4"/>
  <c r="D23" i="4"/>
  <c r="F23" i="4" s="1"/>
  <c r="D8" i="4"/>
  <c r="G5" i="4"/>
  <c r="H5" i="4" s="1"/>
  <c r="G25" i="4"/>
  <c r="G35" i="4"/>
  <c r="I35" i="4" s="1"/>
  <c r="J9" i="4"/>
  <c r="J15" i="4"/>
  <c r="J36" i="4"/>
  <c r="G23" i="4"/>
  <c r="H23" i="4" s="1"/>
  <c r="G38" i="4"/>
  <c r="G22" i="4"/>
  <c r="H22" i="4" s="1"/>
  <c r="D27" i="4"/>
  <c r="D15" i="4"/>
  <c r="J33" i="4"/>
  <c r="L33" i="4" s="1"/>
  <c r="G28" i="4"/>
  <c r="I28" i="4" s="1"/>
  <c r="G26" i="4"/>
  <c r="G8" i="4"/>
  <c r="J8" i="4"/>
  <c r="K8" i="4" s="1"/>
  <c r="D35" i="4"/>
  <c r="J42" i="4"/>
  <c r="L42" i="4" s="1"/>
  <c r="D10" i="4"/>
  <c r="D38" i="4"/>
  <c r="J32" i="4"/>
  <c r="L32" i="4" s="1"/>
  <c r="J38" i="4"/>
  <c r="G37" i="4"/>
  <c r="I37" i="4" s="1"/>
  <c r="G45" i="4"/>
  <c r="H45" i="4" s="1"/>
  <c r="D41" i="4"/>
  <c r="F41" i="4" s="1"/>
  <c r="G4" i="4"/>
  <c r="G17" i="4"/>
  <c r="I17" i="4" s="1"/>
  <c r="G33" i="4"/>
  <c r="D39" i="4"/>
  <c r="G31" i="4"/>
  <c r="I31" i="4" s="1"/>
  <c r="G41" i="4"/>
  <c r="D43" i="4"/>
  <c r="J19" i="4"/>
  <c r="L19" i="4" s="1"/>
  <c r="D12" i="4"/>
  <c r="E12" i="4" s="1"/>
  <c r="G40" i="4"/>
  <c r="G15" i="4"/>
  <c r="G36" i="4"/>
  <c r="H36" i="4" s="1"/>
  <c r="G19" i="4"/>
  <c r="G21" i="4"/>
  <c r="I21" i="4" s="1"/>
  <c r="J6" i="4"/>
  <c r="J28" i="4"/>
  <c r="L28" i="4" s="1"/>
  <c r="J30" i="4"/>
  <c r="D37" i="4"/>
  <c r="E37" i="4" s="1"/>
  <c r="G13" i="4"/>
  <c r="D40" i="4"/>
  <c r="E40" i="4" s="1"/>
  <c r="D42" i="4"/>
  <c r="E42" i="4" s="1"/>
  <c r="D20" i="4"/>
  <c r="G20" i="4"/>
  <c r="I20" i="4" s="1"/>
  <c r="G27" i="4"/>
  <c r="D33" i="4"/>
  <c r="G24" i="4"/>
  <c r="I24" i="4" s="1"/>
  <c r="J31" i="4"/>
  <c r="J37" i="4"/>
  <c r="L37" i="4" s="1"/>
  <c r="J45" i="4"/>
  <c r="G44" i="4"/>
  <c r="I44" i="4" s="1"/>
  <c r="G18" i="4"/>
  <c r="H18" i="4" s="1"/>
  <c r="D28" i="4"/>
  <c r="D31" i="4"/>
  <c r="J23" i="4"/>
  <c r="D34" i="4"/>
  <c r="F34" i="4" s="1"/>
  <c r="J18" i="4"/>
  <c r="K18" i="4" s="1"/>
  <c r="J44" i="4"/>
  <c r="D11" i="4"/>
  <c r="F11" i="4" s="1"/>
  <c r="J43" i="4"/>
  <c r="L43" i="4" s="1"/>
  <c r="J25" i="4"/>
  <c r="K25" i="4" s="1"/>
  <c r="D19" i="4"/>
  <c r="K43" i="4" l="1"/>
  <c r="E34" i="4"/>
  <c r="I18" i="4"/>
  <c r="H20" i="4"/>
  <c r="F42" i="4"/>
  <c r="F12" i="4"/>
  <c r="H31" i="4"/>
  <c r="I45" i="4"/>
  <c r="K42" i="4"/>
  <c r="L8" i="4"/>
  <c r="K33" i="4"/>
  <c r="L21" i="4"/>
  <c r="E13" i="4"/>
  <c r="I12" i="4"/>
  <c r="F14" i="4"/>
  <c r="E29" i="4"/>
  <c r="H34" i="4"/>
  <c r="I32" i="4"/>
  <c r="E21" i="4"/>
  <c r="K22" i="4"/>
  <c r="I30" i="4"/>
  <c r="K11" i="4"/>
  <c r="I11" i="4"/>
  <c r="F26" i="4"/>
  <c r="H6" i="4"/>
  <c r="F7" i="4"/>
  <c r="E45" i="4"/>
  <c r="L25" i="4"/>
  <c r="E11" i="4"/>
  <c r="L18" i="4"/>
  <c r="H44" i="4"/>
  <c r="K37" i="4"/>
  <c r="H24" i="4"/>
  <c r="F40" i="4"/>
  <c r="F37" i="4"/>
  <c r="K28" i="4"/>
  <c r="H21" i="4"/>
  <c r="I36" i="4"/>
  <c r="K19" i="4"/>
  <c r="H17" i="4"/>
  <c r="E41" i="4"/>
  <c r="H37" i="4"/>
  <c r="K32" i="4"/>
  <c r="H28" i="4"/>
  <c r="I22" i="4"/>
  <c r="I23" i="4"/>
  <c r="H35" i="4"/>
  <c r="I5" i="4"/>
  <c r="E23" i="4"/>
  <c r="F5" i="4"/>
  <c r="I7" i="4"/>
  <c r="F32" i="4"/>
  <c r="L35" i="4"/>
  <c r="L13" i="4"/>
  <c r="H42" i="4"/>
  <c r="E30" i="4"/>
  <c r="E18" i="4"/>
  <c r="L20" i="4"/>
  <c r="L12" i="4"/>
  <c r="F6" i="4"/>
  <c r="K16" i="4"/>
  <c r="F25" i="4"/>
  <c r="L29" i="4"/>
  <c r="I14" i="4"/>
  <c r="K5" i="4"/>
  <c r="K23" i="4"/>
  <c r="L23" i="4"/>
  <c r="E31" i="4"/>
  <c r="F31" i="4"/>
  <c r="L45" i="4"/>
  <c r="K45" i="4"/>
  <c r="E33" i="4"/>
  <c r="F33" i="4"/>
  <c r="I27" i="4"/>
  <c r="H27" i="4"/>
  <c r="F20" i="4"/>
  <c r="E20" i="4"/>
  <c r="E43" i="4"/>
  <c r="F43" i="4"/>
  <c r="H41" i="4"/>
  <c r="I41" i="4"/>
  <c r="I33" i="4"/>
  <c r="H33" i="4"/>
  <c r="F10" i="4"/>
  <c r="E10" i="4"/>
  <c r="F35" i="4"/>
  <c r="E35" i="4"/>
  <c r="F15" i="4"/>
  <c r="E15" i="4"/>
  <c r="E27" i="4"/>
  <c r="F27" i="4"/>
  <c r="I38" i="4"/>
  <c r="H38" i="4"/>
  <c r="L36" i="4"/>
  <c r="K36" i="4"/>
  <c r="L15" i="4"/>
  <c r="K15" i="4"/>
  <c r="K9" i="4"/>
  <c r="L9" i="4"/>
  <c r="F8" i="4"/>
  <c r="E8" i="4"/>
  <c r="F22" i="4"/>
  <c r="E22" i="4"/>
  <c r="K41" i="4"/>
  <c r="L41" i="4"/>
  <c r="E36" i="4"/>
  <c r="F36" i="4"/>
  <c r="H29" i="4"/>
  <c r="I29" i="4"/>
  <c r="H43" i="4"/>
  <c r="I43" i="4"/>
  <c r="K27" i="4"/>
  <c r="L27" i="4"/>
  <c r="L34" i="4"/>
  <c r="K34" i="4"/>
  <c r="K14" i="4"/>
  <c r="L14" i="4"/>
  <c r="E17" i="4"/>
  <c r="F17" i="4"/>
  <c r="F9" i="4"/>
  <c r="E9" i="4"/>
  <c r="H16" i="4"/>
  <c r="I16" i="4"/>
  <c r="F19" i="4"/>
  <c r="E19" i="4"/>
  <c r="K44" i="4"/>
  <c r="L44" i="4"/>
  <c r="F28" i="4"/>
  <c r="E28" i="4"/>
  <c r="K31" i="4"/>
  <c r="L31" i="4"/>
  <c r="H13" i="4"/>
  <c r="I13" i="4"/>
  <c r="L30" i="4"/>
  <c r="K30" i="4"/>
  <c r="K6" i="4"/>
  <c r="L6" i="4"/>
  <c r="H19" i="4"/>
  <c r="I19" i="4"/>
  <c r="H15" i="4"/>
  <c r="I15" i="4"/>
  <c r="H40" i="4"/>
  <c r="I40" i="4"/>
  <c r="E39" i="4"/>
  <c r="F39" i="4"/>
  <c r="I4" i="4"/>
  <c r="H4" i="4"/>
  <c r="L38" i="4"/>
  <c r="K38" i="4"/>
  <c r="F38" i="4"/>
  <c r="E38" i="4"/>
  <c r="I8" i="4"/>
  <c r="H8" i="4"/>
  <c r="I26" i="4"/>
  <c r="H26" i="4"/>
  <c r="I25" i="4"/>
  <c r="H25" i="4"/>
  <c r="F24" i="4"/>
  <c r="E24" i="4"/>
  <c r="L10" i="4"/>
  <c r="K10" i="4"/>
  <c r="H10" i="4"/>
  <c r="I10" i="4"/>
  <c r="K40" i="4"/>
  <c r="L40" i="4"/>
  <c r="E16" i="4"/>
  <c r="F16" i="4"/>
  <c r="E44" i="4"/>
  <c r="F44" i="4"/>
  <c r="I39" i="4"/>
  <c r="H39" i="4"/>
  <c r="L17" i="4"/>
  <c r="K17" i="4"/>
  <c r="L39" i="4"/>
  <c r="K39" i="4"/>
  <c r="L26" i="4"/>
  <c r="K26" i="4"/>
  <c r="K7" i="4"/>
  <c r="L7" i="4"/>
  <c r="L24" i="4"/>
  <c r="K24" i="4"/>
  <c r="H9" i="4"/>
  <c r="I9" i="4"/>
  <c r="E4" i="4"/>
  <c r="L4" i="4"/>
  <c r="F1006" i="8"/>
  <c r="F1004" i="8"/>
  <c r="F1002" i="8"/>
  <c r="F1000" i="8"/>
  <c r="F998" i="8"/>
  <c r="F996" i="8"/>
  <c r="F994" i="8"/>
  <c r="F992" i="8"/>
  <c r="F990" i="8"/>
  <c r="F988" i="8"/>
  <c r="F986" i="8"/>
  <c r="F984" i="8"/>
  <c r="F982" i="8"/>
  <c r="F980" i="8"/>
  <c r="F978" i="8"/>
  <c r="F976" i="8"/>
  <c r="F974" i="8"/>
  <c r="F972" i="8"/>
  <c r="F970" i="8"/>
  <c r="F968" i="8"/>
  <c r="F966" i="8"/>
  <c r="F964" i="8"/>
  <c r="F958" i="8"/>
  <c r="F950" i="8"/>
  <c r="F942" i="8"/>
  <c r="F934" i="8"/>
  <c r="F926" i="8"/>
  <c r="F918" i="8"/>
  <c r="F909" i="8"/>
  <c r="F907" i="8"/>
  <c r="F905" i="8"/>
  <c r="F903" i="8"/>
  <c r="F899" i="8"/>
  <c r="F897" i="8"/>
  <c r="F895" i="8"/>
  <c r="F893" i="8"/>
  <c r="F891" i="8"/>
  <c r="F889" i="8"/>
  <c r="F887" i="8"/>
  <c r="F885" i="8"/>
  <c r="F881" i="8"/>
  <c r="F877" i="8"/>
  <c r="F873" i="8"/>
  <c r="F869" i="8"/>
  <c r="F861" i="8"/>
  <c r="F853" i="8"/>
  <c r="F845" i="8"/>
  <c r="F837" i="8"/>
  <c r="F829" i="8"/>
  <c r="F821" i="8"/>
  <c r="F813" i="8"/>
  <c r="F809" i="8"/>
  <c r="F805" i="8"/>
  <c r="F801" i="8"/>
  <c r="F797" i="8"/>
  <c r="F793" i="8"/>
  <c r="F789" i="8"/>
  <c r="F785" i="8"/>
  <c r="F781" i="8"/>
  <c r="F777" i="8"/>
  <c r="F773" i="8"/>
  <c r="F769" i="8"/>
  <c r="F765" i="8"/>
  <c r="F761" i="8"/>
  <c r="F757" i="8"/>
  <c r="F753" i="8"/>
  <c r="F749" i="8"/>
  <c r="F745" i="8"/>
  <c r="F741" i="8"/>
  <c r="F737" i="8"/>
  <c r="F735" i="8"/>
  <c r="F733" i="8"/>
  <c r="F723" i="8"/>
  <c r="F715" i="8"/>
  <c r="F709" i="8"/>
  <c r="F705" i="8"/>
  <c r="F701" i="8"/>
  <c r="F697" i="8"/>
  <c r="F693" i="8"/>
  <c r="F689" i="8"/>
  <c r="F685" i="8"/>
  <c r="F681" i="8"/>
  <c r="F677" i="8"/>
  <c r="F673" i="8"/>
  <c r="F667" i="8"/>
  <c r="F663" i="8"/>
  <c r="F659" i="8"/>
  <c r="F655" i="8"/>
  <c r="F651" i="8"/>
  <c r="F647" i="8"/>
  <c r="F643" i="8"/>
  <c r="F641" i="8"/>
  <c r="F639" i="8"/>
  <c r="F515" i="8"/>
  <c r="F509" i="8"/>
  <c r="F505" i="8"/>
  <c r="F501" i="8"/>
  <c r="F497" i="8"/>
  <c r="F493" i="8"/>
  <c r="F489" i="8"/>
  <c r="F487" i="8"/>
  <c r="F483" i="8"/>
  <c r="F479" i="8"/>
  <c r="F475" i="8"/>
  <c r="F471" i="8"/>
  <c r="F467" i="8"/>
  <c r="F463" i="8"/>
  <c r="F459" i="8"/>
  <c r="F455" i="8"/>
  <c r="F451" i="8"/>
  <c r="F447" i="8"/>
  <c r="F443" i="8"/>
  <c r="F439" i="8"/>
  <c r="F435" i="8"/>
  <c r="F431" i="8"/>
  <c r="F427" i="8"/>
  <c r="F423" i="8"/>
  <c r="F419" i="8"/>
  <c r="F415" i="8"/>
  <c r="F411" i="8"/>
  <c r="F407" i="8"/>
  <c r="F403" i="8"/>
  <c r="F399" i="8"/>
  <c r="F395" i="8"/>
  <c r="F391" i="8"/>
  <c r="F387" i="8"/>
  <c r="F383" i="8"/>
  <c r="F379" i="8"/>
  <c r="F375" i="8"/>
  <c r="F371" i="8"/>
  <c r="F367" i="8"/>
  <c r="F363" i="8"/>
  <c r="F359" i="8"/>
  <c r="F355" i="8"/>
  <c r="F351" i="8"/>
  <c r="F343" i="8"/>
  <c r="F335" i="8"/>
  <c r="F327" i="8"/>
  <c r="F319" i="8"/>
  <c r="F311" i="8"/>
  <c r="F303" i="8"/>
  <c r="F295" i="8"/>
  <c r="F287" i="8"/>
  <c r="F279" i="8"/>
  <c r="F271" i="8"/>
  <c r="F263" i="8"/>
  <c r="F255" i="8"/>
  <c r="F247" i="8"/>
  <c r="F239" i="8"/>
  <c r="F231" i="8"/>
  <c r="F223" i="8"/>
  <c r="F215" i="8"/>
  <c r="F207" i="8"/>
  <c r="F199" i="8"/>
  <c r="F191" i="8"/>
  <c r="F183" i="8"/>
  <c r="F175" i="8"/>
  <c r="F163" i="8"/>
  <c r="F161" i="8"/>
  <c r="F159" i="8"/>
  <c r="F157" i="8"/>
  <c r="F155" i="8"/>
  <c r="F153" i="8"/>
  <c r="F151" i="8"/>
  <c r="F149" i="8"/>
  <c r="F147" i="8"/>
  <c r="F145" i="8"/>
  <c r="F143" i="8"/>
  <c r="F141" i="8"/>
  <c r="F139" i="8"/>
  <c r="F137" i="8"/>
  <c r="F133" i="8"/>
  <c r="F129" i="8"/>
  <c r="F125" i="8"/>
  <c r="F121" i="8"/>
  <c r="F117" i="8"/>
  <c r="F113" i="8"/>
  <c r="F109" i="8"/>
  <c r="F104" i="8"/>
  <c r="F101" i="8"/>
  <c r="F98" i="8"/>
  <c r="F90" i="8"/>
  <c r="F82" i="8"/>
  <c r="F74" i="8"/>
  <c r="F66" i="8"/>
  <c r="F58" i="8"/>
  <c r="F50" i="8"/>
  <c r="F1005" i="8"/>
  <c r="F1003" i="8"/>
  <c r="F1001" i="8"/>
  <c r="F999" i="8"/>
  <c r="F997" i="8"/>
  <c r="F995" i="8"/>
  <c r="F993" i="8"/>
  <c r="F991" i="8"/>
  <c r="F989" i="8"/>
  <c r="F987" i="8"/>
  <c r="F985" i="8"/>
  <c r="F981" i="8"/>
  <c r="F977" i="8"/>
  <c r="F973" i="8"/>
  <c r="F969" i="8"/>
  <c r="F965" i="8"/>
  <c r="F960" i="8"/>
  <c r="F952" i="8"/>
  <c r="F944" i="8"/>
  <c r="F936" i="8"/>
  <c r="F928" i="8"/>
  <c r="F920" i="8"/>
  <c r="F913" i="8"/>
  <c r="F910" i="8"/>
  <c r="F908" i="8"/>
  <c r="F906" i="8"/>
  <c r="F904" i="8"/>
  <c r="F902" i="8"/>
  <c r="F900" i="8"/>
  <c r="F898" i="8"/>
  <c r="F896" i="8"/>
  <c r="F894" i="8"/>
  <c r="F892" i="8"/>
  <c r="F890" i="8"/>
  <c r="F888" i="8"/>
  <c r="F886" i="8"/>
  <c r="F884" i="8"/>
  <c r="F882" i="8"/>
  <c r="F880" i="8"/>
  <c r="F878" i="8"/>
  <c r="F876" i="8"/>
  <c r="F874" i="8"/>
  <c r="F872" i="8"/>
  <c r="F870" i="8"/>
  <c r="F868" i="8"/>
  <c r="F866" i="8"/>
  <c r="F864" i="8"/>
  <c r="F862" i="8"/>
  <c r="F860" i="8"/>
  <c r="F858" i="8"/>
  <c r="F856" i="8"/>
  <c r="F854" i="8"/>
  <c r="F852" i="8"/>
  <c r="F850" i="8"/>
  <c r="F848" i="8"/>
  <c r="F846" i="8"/>
  <c r="F844" i="8"/>
  <c r="F842" i="8"/>
  <c r="F840" i="8"/>
  <c r="F838" i="8"/>
  <c r="F836" i="8"/>
  <c r="F834" i="8"/>
  <c r="F832" i="8"/>
  <c r="F830" i="8"/>
  <c r="F828" i="8"/>
  <c r="F826" i="8"/>
  <c r="F820" i="8"/>
  <c r="F816" i="8"/>
  <c r="F812" i="8"/>
  <c r="F808" i="8"/>
  <c r="F804" i="8"/>
  <c r="F800" i="8"/>
  <c r="F796" i="8"/>
  <c r="F792" i="8"/>
  <c r="F788" i="8"/>
  <c r="F784" i="8"/>
  <c r="F780" i="8"/>
  <c r="F776" i="8"/>
  <c r="F772" i="8"/>
  <c r="F768" i="8"/>
  <c r="F764" i="8"/>
  <c r="F760" i="8"/>
  <c r="F756" i="8"/>
  <c r="F752" i="8"/>
  <c r="F748" i="8"/>
  <c r="F744" i="8"/>
  <c r="F740" i="8"/>
  <c r="F736" i="8"/>
  <c r="F732" i="8"/>
  <c r="F728" i="8"/>
  <c r="F726" i="8"/>
  <c r="F724" i="8"/>
  <c r="F722" i="8"/>
  <c r="F720" i="8"/>
  <c r="F718" i="8"/>
  <c r="F716" i="8"/>
  <c r="F714" i="8"/>
  <c r="F513" i="8"/>
  <c r="F510" i="8"/>
  <c r="F506" i="8"/>
  <c r="F502" i="8"/>
  <c r="F498" i="8"/>
  <c r="F494" i="8"/>
  <c r="F490" i="8"/>
  <c r="F486" i="8"/>
  <c r="F482" i="8"/>
  <c r="F478" i="8"/>
  <c r="F474" i="8"/>
  <c r="F470" i="8"/>
  <c r="F466" i="8"/>
  <c r="F462" i="8"/>
  <c r="F458" i="8"/>
  <c r="F454" i="8"/>
  <c r="F450" i="8"/>
  <c r="F446" i="8"/>
  <c r="F442" i="8"/>
  <c r="F438" i="8"/>
  <c r="F434" i="8"/>
  <c r="F430" i="8"/>
  <c r="F426" i="8"/>
  <c r="F422" i="8"/>
  <c r="F418" i="8"/>
  <c r="F414" i="8"/>
  <c r="F410" i="8"/>
  <c r="F406" i="8"/>
  <c r="F402" i="8"/>
  <c r="F394" i="8"/>
  <c r="F386" i="8"/>
  <c r="F378" i="8"/>
  <c r="F370" i="8"/>
  <c r="F362" i="8"/>
  <c r="F354" i="8"/>
  <c r="F341" i="8"/>
  <c r="F325" i="8"/>
  <c r="F309" i="8"/>
  <c r="F293" i="8"/>
  <c r="F277" i="8"/>
  <c r="F261" i="8"/>
  <c r="F245" i="8"/>
  <c r="F229" i="8"/>
  <c r="F213" i="8"/>
  <c r="F197" i="8"/>
  <c r="F181" i="8"/>
  <c r="F165" i="8"/>
  <c r="F156" i="8"/>
  <c r="F152" i="8"/>
  <c r="F148" i="8"/>
  <c r="F144" i="8"/>
  <c r="F140" i="8"/>
  <c r="F136" i="8"/>
  <c r="F132" i="8"/>
  <c r="F128" i="8"/>
  <c r="F124" i="8"/>
  <c r="F120" i="8"/>
  <c r="F116" i="8"/>
  <c r="F112" i="8"/>
  <c r="F108" i="8"/>
  <c r="F400" i="8"/>
  <c r="F392" i="8"/>
  <c r="F384" i="8"/>
  <c r="F376" i="8"/>
  <c r="F368" i="8"/>
  <c r="F360" i="8"/>
  <c r="F352" i="8"/>
  <c r="F337" i="8"/>
  <c r="F321" i="8"/>
  <c r="F305" i="8"/>
  <c r="F289" i="8"/>
  <c r="F273" i="8"/>
  <c r="F257" i="8"/>
  <c r="F241" i="8"/>
  <c r="F225" i="8"/>
  <c r="F209" i="8"/>
  <c r="F193" i="8"/>
  <c r="F177" i="8"/>
  <c r="F162" i="8"/>
  <c r="F154" i="8"/>
  <c r="F146" i="8"/>
  <c r="F138" i="8"/>
  <c r="F130" i="8"/>
  <c r="F122" i="8"/>
  <c r="F114" i="8"/>
  <c r="F105" i="8"/>
  <c r="F84" i="8"/>
  <c r="F68" i="8"/>
  <c r="F52" i="8"/>
  <c r="F53" i="8"/>
  <c r="F65" i="8"/>
  <c r="F73" i="8"/>
  <c r="F81" i="8"/>
  <c r="F89" i="8"/>
  <c r="F97" i="8"/>
  <c r="F55" i="8"/>
  <c r="F63" i="8"/>
  <c r="F71" i="8"/>
  <c r="F79" i="8"/>
  <c r="F87" i="8"/>
  <c r="F95" i="8"/>
  <c r="F103" i="8"/>
  <c r="F164" i="8"/>
  <c r="F168" i="8"/>
  <c r="F172" i="8"/>
  <c r="F176" i="8"/>
  <c r="F180" i="8"/>
  <c r="F184" i="8"/>
  <c r="F188" i="8"/>
  <c r="F192" i="8"/>
  <c r="F196" i="8"/>
  <c r="F200" i="8"/>
  <c r="F204" i="8"/>
  <c r="F208" i="8"/>
  <c r="F212" i="8"/>
  <c r="F216" i="8"/>
  <c r="F220" i="8"/>
  <c r="F224" i="8"/>
  <c r="F228" i="8"/>
  <c r="F232" i="8"/>
  <c r="F284" i="8"/>
  <c r="F288" i="8"/>
  <c r="F292" i="8"/>
  <c r="F296" i="8"/>
  <c r="F300" i="8"/>
  <c r="F304" i="8"/>
  <c r="F308" i="8"/>
  <c r="F312" i="8"/>
  <c r="F316" i="8"/>
  <c r="F320" i="8"/>
  <c r="F324" i="8"/>
  <c r="F328" i="8"/>
  <c r="F332" i="8"/>
  <c r="F336" i="8"/>
  <c r="F340" i="8"/>
  <c r="F344" i="8"/>
  <c r="F348" i="8"/>
  <c r="F512" i="8"/>
  <c r="F514" i="8"/>
  <c r="F911" i="8"/>
  <c r="F917" i="8"/>
  <c r="F921" i="8"/>
  <c r="F923" i="8"/>
  <c r="F925" i="8"/>
  <c r="F929" i="8"/>
  <c r="F931" i="8"/>
  <c r="F933" i="8"/>
  <c r="F937" i="8"/>
  <c r="F939" i="8"/>
  <c r="F941" i="8"/>
  <c r="F945" i="8"/>
  <c r="F947" i="8"/>
  <c r="F949" i="8"/>
  <c r="F953" i="8"/>
  <c r="F955" i="8"/>
  <c r="F957" i="8"/>
  <c r="F961" i="8"/>
  <c r="F916" i="8" l="1"/>
  <c r="F635" i="8"/>
  <c r="F633" i="8"/>
  <c r="F631" i="8"/>
  <c r="F629" i="8"/>
  <c r="F627" i="8"/>
  <c r="F625" i="8"/>
  <c r="F623" i="8"/>
  <c r="F621" i="8"/>
  <c r="F619" i="8"/>
  <c r="F617" i="8"/>
  <c r="F615" i="8"/>
  <c r="F613" i="8"/>
  <c r="F611" i="8"/>
  <c r="F609" i="8"/>
  <c r="F607" i="8"/>
  <c r="F605" i="8"/>
  <c r="F603" i="8"/>
  <c r="F601" i="8"/>
  <c r="F599" i="8"/>
  <c r="F597" i="8"/>
  <c r="F595" i="8"/>
  <c r="F593" i="8"/>
  <c r="F591" i="8"/>
  <c r="F589" i="8"/>
  <c r="F587" i="8"/>
  <c r="F585" i="8"/>
  <c r="F583" i="8"/>
  <c r="F581" i="8"/>
  <c r="F579" i="8"/>
  <c r="F577" i="8"/>
  <c r="F575" i="8"/>
  <c r="F573" i="8"/>
  <c r="F571" i="8"/>
  <c r="F569" i="8"/>
  <c r="F567" i="8"/>
  <c r="F565" i="8"/>
  <c r="F563" i="8"/>
  <c r="F561" i="8"/>
  <c r="F559" i="8"/>
  <c r="F557" i="8"/>
  <c r="F555" i="8"/>
  <c r="F553" i="8"/>
  <c r="F551" i="8"/>
  <c r="F549" i="8"/>
  <c r="F547" i="8"/>
  <c r="F545" i="8"/>
  <c r="F543" i="8"/>
  <c r="F541" i="8"/>
  <c r="F539" i="8"/>
  <c r="F537" i="8"/>
  <c r="F535" i="8"/>
  <c r="F533" i="8"/>
  <c r="F531" i="8"/>
  <c r="F529" i="8"/>
  <c r="F527" i="8"/>
  <c r="F525" i="8"/>
  <c r="F523" i="8"/>
  <c r="F521" i="8"/>
  <c r="F519" i="8"/>
  <c r="F517" i="8"/>
  <c r="F282" i="8"/>
  <c r="F280" i="8"/>
  <c r="F278" i="8"/>
  <c r="F276" i="8"/>
  <c r="F274" i="8"/>
  <c r="F272" i="8"/>
  <c r="F270" i="8"/>
  <c r="F268" i="8"/>
  <c r="F266" i="8"/>
  <c r="F264" i="8"/>
  <c r="F262" i="8"/>
  <c r="F260" i="8"/>
  <c r="F258" i="8"/>
  <c r="F256" i="8"/>
  <c r="F254" i="8"/>
  <c r="F252" i="8"/>
  <c r="F250" i="8"/>
  <c r="F248" i="8"/>
  <c r="F246" i="8"/>
  <c r="F244" i="8"/>
  <c r="F242" i="8"/>
  <c r="F240" i="8"/>
  <c r="F238" i="8"/>
  <c r="F236" i="8"/>
  <c r="F234" i="8"/>
  <c r="F99" i="8"/>
  <c r="F91" i="8"/>
  <c r="F83" i="8"/>
  <c r="F75" i="8"/>
  <c r="F67" i="8"/>
  <c r="F59" i="8"/>
  <c r="F51" i="8"/>
  <c r="F93" i="8"/>
  <c r="F85" i="8"/>
  <c r="F77" i="8"/>
  <c r="F69" i="8"/>
  <c r="F57" i="8"/>
  <c r="F49" i="8"/>
  <c r="F100" i="8"/>
  <c r="F110" i="8"/>
  <c r="F118" i="8"/>
  <c r="F126" i="8"/>
  <c r="F134" i="8"/>
  <c r="F142" i="8"/>
  <c r="F150" i="8"/>
  <c r="F158" i="8"/>
  <c r="F169" i="8"/>
  <c r="F185" i="8"/>
  <c r="F201" i="8"/>
  <c r="F217" i="8"/>
  <c r="F233" i="8"/>
  <c r="F249" i="8"/>
  <c r="F265" i="8"/>
  <c r="F281" i="8"/>
  <c r="F297" i="8"/>
  <c r="F313" i="8"/>
  <c r="F329" i="8"/>
  <c r="F345" i="8"/>
  <c r="F356" i="8"/>
  <c r="F364" i="8"/>
  <c r="F372" i="8"/>
  <c r="F380" i="8"/>
  <c r="F388" i="8"/>
  <c r="F396" i="8"/>
  <c r="F1007" i="8"/>
  <c r="F959" i="8"/>
  <c r="F951" i="8"/>
  <c r="F943" i="8"/>
  <c r="F935" i="8"/>
  <c r="F927" i="8"/>
  <c r="F919" i="8"/>
  <c r="F350" i="8"/>
  <c r="F346" i="8"/>
  <c r="F342" i="8"/>
  <c r="F338" i="8"/>
  <c r="F334" i="8"/>
  <c r="F330" i="8"/>
  <c r="F326" i="8"/>
  <c r="F322" i="8"/>
  <c r="F318" i="8"/>
  <c r="F314" i="8"/>
  <c r="F310" i="8"/>
  <c r="F306" i="8"/>
  <c r="F302" i="8"/>
  <c r="F298" i="8"/>
  <c r="F294" i="8"/>
  <c r="F290" i="8"/>
  <c r="F286" i="8"/>
  <c r="F230" i="8"/>
  <c r="F226" i="8"/>
  <c r="F222" i="8"/>
  <c r="F218" i="8"/>
  <c r="F214" i="8"/>
  <c r="F210" i="8"/>
  <c r="F206" i="8"/>
  <c r="F202" i="8"/>
  <c r="F198" i="8"/>
  <c r="F194" i="8"/>
  <c r="F190" i="8"/>
  <c r="F186" i="8"/>
  <c r="F182" i="8"/>
  <c r="F178" i="8"/>
  <c r="F174" i="8"/>
  <c r="F170" i="8"/>
  <c r="F166" i="8"/>
  <c r="F107" i="8"/>
  <c r="F61" i="8"/>
  <c r="F60" i="8"/>
  <c r="F76" i="8"/>
  <c r="F92" i="8"/>
  <c r="F64" i="8"/>
  <c r="F80" i="8"/>
  <c r="F96" i="8"/>
  <c r="F102" i="8"/>
  <c r="F160" i="8"/>
  <c r="F173" i="8"/>
  <c r="F189" i="8"/>
  <c r="F205" i="8"/>
  <c r="F221" i="8"/>
  <c r="F237" i="8"/>
  <c r="F253" i="8"/>
  <c r="F269" i="8"/>
  <c r="F285" i="8"/>
  <c r="F301" i="8"/>
  <c r="F317" i="8"/>
  <c r="F333" i="8"/>
  <c r="F349" i="8"/>
  <c r="F358" i="8"/>
  <c r="F366" i="8"/>
  <c r="F374" i="8"/>
  <c r="F382" i="8"/>
  <c r="F390" i="8"/>
  <c r="F398" i="8"/>
  <c r="F516" i="8"/>
  <c r="F524" i="8"/>
  <c r="F532" i="8"/>
  <c r="F540" i="8"/>
  <c r="F548" i="8"/>
  <c r="F556" i="8"/>
  <c r="F564" i="8"/>
  <c r="F572" i="8"/>
  <c r="F580" i="8"/>
  <c r="F588" i="8"/>
  <c r="F596" i="8"/>
  <c r="F604" i="8"/>
  <c r="F612" i="8"/>
  <c r="F620" i="8"/>
  <c r="F628" i="8"/>
  <c r="F636" i="8"/>
  <c r="F638" i="8"/>
  <c r="F640" i="8"/>
  <c r="F642" i="8"/>
  <c r="F644" i="8"/>
  <c r="F646" i="8"/>
  <c r="F648" i="8"/>
  <c r="F650" i="8"/>
  <c r="F652" i="8"/>
  <c r="F654" i="8"/>
  <c r="F656" i="8"/>
  <c r="F658" i="8"/>
  <c r="F660" i="8"/>
  <c r="F662" i="8"/>
  <c r="F664" i="8"/>
  <c r="F666" i="8"/>
  <c r="F668" i="8"/>
  <c r="F670" i="8"/>
  <c r="F672" i="8"/>
  <c r="F674" i="8"/>
  <c r="F676" i="8"/>
  <c r="F678" i="8"/>
  <c r="F680" i="8"/>
  <c r="F682" i="8"/>
  <c r="F684" i="8"/>
  <c r="F686" i="8"/>
  <c r="F688" i="8"/>
  <c r="F690" i="8"/>
  <c r="F692" i="8"/>
  <c r="F694" i="8"/>
  <c r="F696" i="8"/>
  <c r="F698" i="8"/>
  <c r="F700" i="8"/>
  <c r="F702" i="8"/>
  <c r="F704" i="8"/>
  <c r="F706" i="8"/>
  <c r="F708" i="8"/>
  <c r="F710" i="8"/>
  <c r="F712" i="8"/>
  <c r="F730" i="8"/>
  <c r="F734" i="8"/>
  <c r="F738" i="8"/>
  <c r="F742" i="8"/>
  <c r="F746" i="8"/>
  <c r="F750" i="8"/>
  <c r="F754" i="8"/>
  <c r="F758" i="8"/>
  <c r="F762" i="8"/>
  <c r="F766" i="8"/>
  <c r="F770" i="8"/>
  <c r="F774" i="8"/>
  <c r="F778" i="8"/>
  <c r="F824" i="8"/>
  <c r="F56" i="8"/>
  <c r="F72" i="8"/>
  <c r="F88" i="8"/>
  <c r="F404" i="8"/>
  <c r="F408" i="8"/>
  <c r="F412" i="8"/>
  <c r="F416" i="8"/>
  <c r="F420" i="8"/>
  <c r="F424" i="8"/>
  <c r="F428" i="8"/>
  <c r="F432" i="8"/>
  <c r="F436" i="8"/>
  <c r="F440" i="8"/>
  <c r="F444" i="8"/>
  <c r="F448" i="8"/>
  <c r="F452" i="8"/>
  <c r="F456" i="8"/>
  <c r="F460" i="8"/>
  <c r="F464" i="8"/>
  <c r="F468" i="8"/>
  <c r="F472" i="8"/>
  <c r="F476" i="8"/>
  <c r="F480" i="8"/>
  <c r="F484" i="8"/>
  <c r="F488" i="8"/>
  <c r="F492" i="8"/>
  <c r="F496" i="8"/>
  <c r="F500" i="8"/>
  <c r="F504" i="8"/>
  <c r="F508" i="8"/>
  <c r="F520" i="8"/>
  <c r="F528" i="8"/>
  <c r="F536" i="8"/>
  <c r="F544" i="8"/>
  <c r="F552" i="8"/>
  <c r="F560" i="8"/>
  <c r="F568" i="8"/>
  <c r="F576" i="8"/>
  <c r="F584" i="8"/>
  <c r="F592" i="8"/>
  <c r="F600" i="8"/>
  <c r="F608" i="8"/>
  <c r="F616" i="8"/>
  <c r="F624" i="8"/>
  <c r="F632" i="8"/>
  <c r="F782" i="8"/>
  <c r="F786" i="8"/>
  <c r="F790" i="8"/>
  <c r="F794" i="8"/>
  <c r="F798" i="8"/>
  <c r="F802" i="8"/>
  <c r="F806" i="8"/>
  <c r="F810" i="8"/>
  <c r="F814" i="8"/>
  <c r="F818" i="8"/>
  <c r="F822" i="8"/>
  <c r="F915" i="8"/>
  <c r="F924" i="8"/>
  <c r="F932" i="8"/>
  <c r="F940" i="8"/>
  <c r="F948" i="8"/>
  <c r="F956" i="8"/>
  <c r="F963" i="8"/>
  <c r="F967" i="8"/>
  <c r="F971" i="8"/>
  <c r="F975" i="8"/>
  <c r="F979" i="8"/>
  <c r="F983" i="8"/>
  <c r="F167" i="8"/>
  <c r="F135" i="8"/>
  <c r="F54" i="8"/>
  <c r="F62" i="8"/>
  <c r="F70" i="8"/>
  <c r="F78" i="8"/>
  <c r="F86" i="8"/>
  <c r="F94" i="8"/>
  <c r="F111" i="8"/>
  <c r="F115" i="8"/>
  <c r="F119" i="8"/>
  <c r="F123" i="8"/>
  <c r="F127" i="8"/>
  <c r="F131" i="8"/>
  <c r="F171" i="8"/>
  <c r="F179" i="8"/>
  <c r="F187" i="8"/>
  <c r="F195" i="8"/>
  <c r="F203" i="8"/>
  <c r="F211" i="8"/>
  <c r="F219" i="8"/>
  <c r="F227" i="8"/>
  <c r="F235" i="8"/>
  <c r="F243" i="8"/>
  <c r="F251" i="8"/>
  <c r="F259" i="8"/>
  <c r="F267" i="8"/>
  <c r="F275" i="8"/>
  <c r="F283" i="8"/>
  <c r="F291" i="8"/>
  <c r="F299" i="8"/>
  <c r="F307" i="8"/>
  <c r="F315" i="8"/>
  <c r="F323" i="8"/>
  <c r="F331" i="8"/>
  <c r="F339" i="8"/>
  <c r="F347" i="8"/>
  <c r="F353" i="8"/>
  <c r="F357" i="8"/>
  <c r="F361" i="8"/>
  <c r="F365" i="8"/>
  <c r="F369" i="8"/>
  <c r="F373" i="8"/>
  <c r="F377" i="8"/>
  <c r="F381" i="8"/>
  <c r="F385" i="8"/>
  <c r="F389" i="8"/>
  <c r="F393" i="8"/>
  <c r="F397" i="8"/>
  <c r="F401" i="8"/>
  <c r="F405" i="8"/>
  <c r="F409" i="8"/>
  <c r="F413" i="8"/>
  <c r="F417" i="8"/>
  <c r="F421" i="8"/>
  <c r="F425" i="8"/>
  <c r="F429" i="8"/>
  <c r="F433" i="8"/>
  <c r="F437" i="8"/>
  <c r="F441" i="8"/>
  <c r="F445" i="8"/>
  <c r="F449" i="8"/>
  <c r="F453" i="8"/>
  <c r="F457" i="8"/>
  <c r="F461" i="8"/>
  <c r="F465" i="8"/>
  <c r="F469" i="8"/>
  <c r="F473" i="8"/>
  <c r="F477" i="8"/>
  <c r="F481" i="8"/>
  <c r="F485" i="8"/>
  <c r="F491" i="8"/>
  <c r="F495" i="8"/>
  <c r="F499" i="8"/>
  <c r="F106" i="8"/>
  <c r="F503" i="8"/>
  <c r="F507" i="8"/>
  <c r="F511" i="8"/>
  <c r="F522" i="8"/>
  <c r="F530" i="8"/>
  <c r="F538" i="8"/>
  <c r="F546" i="8"/>
  <c r="F554" i="8"/>
  <c r="F562" i="8"/>
  <c r="F570" i="8"/>
  <c r="F578" i="8"/>
  <c r="F586" i="8"/>
  <c r="F594" i="8"/>
  <c r="F602" i="8"/>
  <c r="F610" i="8"/>
  <c r="F618" i="8"/>
  <c r="F626" i="8"/>
  <c r="F634" i="8"/>
  <c r="F637" i="8"/>
  <c r="F669" i="8"/>
  <c r="F671" i="8"/>
  <c r="F675" i="8"/>
  <c r="F679" i="8"/>
  <c r="F683" i="8"/>
  <c r="F687" i="8"/>
  <c r="F691" i="8"/>
  <c r="F695" i="8"/>
  <c r="F699" i="8"/>
  <c r="F703" i="8"/>
  <c r="F707" i="8"/>
  <c r="F711" i="8"/>
  <c r="F713" i="8"/>
  <c r="F717" i="8"/>
  <c r="F719" i="8"/>
  <c r="F721" i="8"/>
  <c r="F725" i="8"/>
  <c r="F727" i="8"/>
  <c r="F731" i="8"/>
  <c r="F739" i="8"/>
  <c r="F518" i="8"/>
  <c r="F526" i="8"/>
  <c r="F534" i="8"/>
  <c r="F542" i="8"/>
  <c r="F550" i="8"/>
  <c r="F558" i="8"/>
  <c r="F566" i="8"/>
  <c r="F574" i="8"/>
  <c r="F582" i="8"/>
  <c r="F590" i="8"/>
  <c r="F598" i="8"/>
  <c r="F606" i="8"/>
  <c r="F614" i="8"/>
  <c r="F622" i="8"/>
  <c r="F630" i="8"/>
  <c r="F645" i="8"/>
  <c r="F649" i="8"/>
  <c r="F653" i="8"/>
  <c r="F657" i="8"/>
  <c r="F661" i="8"/>
  <c r="F665" i="8"/>
  <c r="F729" i="8"/>
  <c r="F747" i="8"/>
  <c r="F763" i="8"/>
  <c r="F771" i="8"/>
  <c r="F779" i="8"/>
  <c r="F783" i="8"/>
  <c r="F787" i="8"/>
  <c r="F791" i="8"/>
  <c r="F795" i="8"/>
  <c r="F799" i="8"/>
  <c r="F803" i="8"/>
  <c r="F807" i="8"/>
  <c r="F817" i="8"/>
  <c r="F825" i="8"/>
  <c r="F833" i="8"/>
  <c r="F841" i="8"/>
  <c r="F849" i="8"/>
  <c r="F857" i="8"/>
  <c r="F865" i="8"/>
  <c r="F871" i="8"/>
  <c r="F875" i="8"/>
  <c r="F879" i="8"/>
  <c r="F883" i="8"/>
  <c r="F743" i="8"/>
  <c r="F751" i="8"/>
  <c r="F755" i="8"/>
  <c r="F759" i="8"/>
  <c r="F767" i="8"/>
  <c r="F775" i="8"/>
  <c r="F811" i="8"/>
  <c r="F815" i="8"/>
  <c r="F819" i="8"/>
  <c r="F823" i="8"/>
  <c r="F827" i="8"/>
  <c r="F831" i="8"/>
  <c r="F835" i="8"/>
  <c r="F839" i="8"/>
  <c r="F843" i="8"/>
  <c r="F847" i="8"/>
  <c r="F851" i="8"/>
  <c r="F855" i="8"/>
  <c r="F859" i="8"/>
  <c r="F863" i="8"/>
  <c r="F867" i="8"/>
  <c r="F901" i="8"/>
  <c r="F912" i="8"/>
  <c r="F914" i="8"/>
  <c r="F922" i="8"/>
  <c r="F938" i="8"/>
  <c r="F946" i="8"/>
  <c r="F954" i="8"/>
  <c r="F930" i="8"/>
  <c r="F962" i="8"/>
  <c r="H716" i="8"/>
  <c r="G227" i="7"/>
  <c r="H129" i="8"/>
  <c r="G840" i="7"/>
  <c r="G559" i="7"/>
  <c r="G748" i="7"/>
  <c r="H798" i="8"/>
  <c r="H172" i="8"/>
  <c r="H607" i="8"/>
  <c r="G489" i="7"/>
  <c r="H656" i="8"/>
  <c r="H403" i="8"/>
  <c r="H280" i="8"/>
  <c r="H821" i="8"/>
  <c r="H809" i="8"/>
  <c r="G307" i="7"/>
  <c r="G885" i="7"/>
  <c r="H59" i="8"/>
  <c r="H418" i="8"/>
  <c r="G847" i="7"/>
  <c r="G343" i="7"/>
  <c r="G54" i="7"/>
  <c r="G905" i="7"/>
  <c r="G933" i="7"/>
  <c r="H998" i="8"/>
  <c r="H637" i="8"/>
  <c r="H398" i="8"/>
  <c r="G853" i="7"/>
  <c r="G767" i="7"/>
  <c r="G30" i="7"/>
  <c r="G891" i="7"/>
  <c r="H301" i="8"/>
  <c r="G594" i="7"/>
  <c r="H52" i="8"/>
  <c r="H238" i="8"/>
  <c r="G419" i="7"/>
  <c r="G844" i="7"/>
  <c r="H369" i="8"/>
  <c r="H213" i="8"/>
  <c r="G722" i="7"/>
  <c r="H345" i="8"/>
  <c r="H489" i="8"/>
  <c r="H463" i="8"/>
  <c r="H9" i="8"/>
  <c r="G384" i="7"/>
  <c r="G117" i="7"/>
  <c r="H34" i="8"/>
  <c r="G181" i="7"/>
  <c r="H551" i="8"/>
  <c r="H601" i="8"/>
  <c r="H92" i="8"/>
  <c r="G746" i="7"/>
  <c r="G465" i="7"/>
  <c r="H745" i="8"/>
  <c r="H502" i="8"/>
  <c r="G235" i="7"/>
  <c r="H181" i="8"/>
  <c r="G18" i="7"/>
  <c r="H598" i="8"/>
  <c r="H827" i="8"/>
  <c r="G800" i="7"/>
  <c r="H152" i="8"/>
  <c r="G969" i="7"/>
  <c r="H933" i="8"/>
  <c r="H644" i="8"/>
  <c r="H419" i="8"/>
  <c r="G302" i="7"/>
  <c r="G679" i="7"/>
  <c r="G366" i="7"/>
  <c r="G273" i="7"/>
  <c r="G974" i="7"/>
  <c r="G155" i="7"/>
  <c r="G135" i="7"/>
  <c r="G524" i="7"/>
  <c r="H829" i="8"/>
  <c r="G873" i="7"/>
  <c r="H702" i="8"/>
  <c r="G34" i="7"/>
  <c r="H778" i="8"/>
  <c r="H593" i="8"/>
  <c r="H712" i="8"/>
  <c r="H464" i="8"/>
  <c r="H707" i="8"/>
  <c r="H892" i="8"/>
  <c r="H346" i="8"/>
  <c r="H404" i="8"/>
  <c r="G575" i="7"/>
  <c r="H80" i="8"/>
  <c r="H245" i="8"/>
  <c r="H282" i="8"/>
  <c r="H423" i="8"/>
  <c r="H128" i="8"/>
  <c r="G287" i="7"/>
  <c r="H279" i="8"/>
  <c r="H42" i="8"/>
  <c r="G396" i="7"/>
  <c r="H187" i="8"/>
  <c r="H228" i="8"/>
  <c r="G663" i="7"/>
  <c r="H140" i="8"/>
  <c r="H51" i="8"/>
  <c r="H700" i="8"/>
  <c r="G279" i="7"/>
  <c r="G389" i="7"/>
  <c r="H857" i="8"/>
  <c r="G196" i="7"/>
  <c r="G136" i="7"/>
  <c r="G188" i="7"/>
  <c r="H382" i="8"/>
  <c r="H482" i="8"/>
  <c r="G913" i="7"/>
  <c r="G687" i="7"/>
  <c r="G151" i="7"/>
  <c r="H635" i="8"/>
  <c r="G783" i="7"/>
  <c r="H415" i="8"/>
  <c r="G703" i="7"/>
  <c r="H216" i="8"/>
  <c r="H984" i="8"/>
  <c r="G623" i="7"/>
  <c r="H74" i="8"/>
  <c r="G390" i="7"/>
  <c r="G473" i="7"/>
  <c r="H838" i="8"/>
  <c r="G966" i="7"/>
  <c r="H891" i="8"/>
  <c r="H744" i="8"/>
  <c r="G529" i="7"/>
  <c r="H934" i="8"/>
  <c r="G261" i="7"/>
  <c r="H91" i="8"/>
  <c r="G69" i="7"/>
  <c r="H302" i="8"/>
  <c r="H462" i="8"/>
  <c r="G803" i="7"/>
  <c r="H988" i="8"/>
  <c r="G21" i="7"/>
  <c r="G738" i="7"/>
  <c r="H247" i="8"/>
  <c r="H641" i="8"/>
  <c r="H13" i="8"/>
  <c r="H995" i="8"/>
  <c r="H359" i="8"/>
  <c r="G868" i="7"/>
  <c r="H286" i="8"/>
  <c r="G507" i="7"/>
  <c r="G23" i="7"/>
  <c r="G497" i="7"/>
  <c r="G41" i="7"/>
  <c r="H939" i="8"/>
  <c r="G647" i="7"/>
  <c r="G624" i="7"/>
  <c r="H66" i="8"/>
  <c r="H117" i="8"/>
  <c r="G353" i="7"/>
  <c r="H193" i="8"/>
  <c r="H1002" i="8"/>
  <c r="H919" i="8"/>
  <c r="G161" i="7"/>
  <c r="H808" i="8"/>
  <c r="H911" i="8"/>
  <c r="G543" i="7"/>
  <c r="G727" i="7"/>
  <c r="H10" i="8"/>
  <c r="H611" i="8"/>
  <c r="H174" i="8"/>
  <c r="G93" i="7"/>
  <c r="G356" i="7"/>
  <c r="G178" i="7"/>
  <c r="H465" i="8"/>
  <c r="H358" i="8"/>
  <c r="H289" i="8"/>
  <c r="G348" i="7"/>
  <c r="G926" i="7"/>
  <c r="H479" i="8"/>
  <c r="G809" i="7"/>
  <c r="G463" i="7"/>
  <c r="H897" i="8"/>
  <c r="G918" i="7"/>
  <c r="G324" i="7"/>
  <c r="G750" i="7"/>
  <c r="H532" i="8"/>
  <c r="H733" i="8"/>
  <c r="G613" i="7"/>
  <c r="G9" i="7"/>
  <c r="H930" i="8"/>
  <c r="H445" i="8"/>
  <c r="H413" i="8"/>
  <c r="H790" i="8"/>
  <c r="H323" i="8"/>
  <c r="H616" i="8"/>
  <c r="H267" i="8"/>
  <c r="G984" i="7"/>
  <c r="G668" i="7"/>
  <c r="G381" i="7"/>
  <c r="H691" i="8"/>
  <c r="G73" i="7"/>
  <c r="G92" i="7"/>
  <c r="G321" i="7"/>
  <c r="G199" i="7"/>
  <c r="H623" i="8"/>
  <c r="G471" i="7"/>
  <c r="G749" i="7"/>
  <c r="G612" i="7"/>
  <c r="H819" i="8"/>
  <c r="G622" i="7"/>
  <c r="G616" i="7"/>
  <c r="G210" i="7"/>
  <c r="H31" i="8"/>
  <c r="G13" i="7"/>
  <c r="H86" i="8"/>
  <c r="H525" i="8"/>
  <c r="H170" i="8"/>
  <c r="G122" i="7"/>
  <c r="G229" i="7"/>
  <c r="H784" i="8"/>
  <c r="H189" i="8"/>
  <c r="H914" i="8"/>
  <c r="G827" i="7"/>
  <c r="G508" i="7"/>
  <c r="G818" i="7"/>
  <c r="H471" i="8"/>
  <c r="H101" i="8"/>
  <c r="H873" i="8"/>
  <c r="H839" i="8"/>
  <c r="H945" i="8"/>
  <c r="H861" i="8"/>
  <c r="H983" i="8"/>
  <c r="G520" i="7"/>
  <c r="G67" i="7"/>
  <c r="H780" i="8"/>
  <c r="H570" i="8"/>
  <c r="H943" i="8"/>
  <c r="H599" i="8"/>
  <c r="H936" i="8"/>
  <c r="H991" i="8"/>
  <c r="H931" i="8"/>
  <c r="H822" i="8"/>
  <c r="H179" i="8"/>
  <c r="H580" i="8"/>
  <c r="H536" i="8"/>
  <c r="G940" i="7"/>
  <c r="G510" i="7"/>
  <c r="H629" i="8"/>
  <c r="H314" i="8"/>
  <c r="H506" i="8"/>
  <c r="G867" i="7"/>
  <c r="G539" i="7"/>
  <c r="G267" i="7"/>
  <c r="G665" i="7"/>
  <c r="H591" i="8"/>
  <c r="G340" i="7"/>
  <c r="G166" i="7"/>
  <c r="H230" i="8"/>
  <c r="G283" i="7"/>
  <c r="G299" i="7"/>
  <c r="G532" i="7"/>
  <c r="G257" i="7"/>
  <c r="G845" i="7"/>
  <c r="G805" i="7"/>
  <c r="H94" i="8"/>
  <c r="H24" i="8"/>
  <c r="H749" i="8"/>
  <c r="H848" i="8"/>
  <c r="H356" i="8"/>
  <c r="H281" i="8"/>
  <c r="G224" i="7"/>
  <c r="G605" i="7"/>
  <c r="H169" i="8"/>
  <c r="G364" i="7"/>
  <c r="H674" i="8"/>
  <c r="H483" i="8"/>
  <c r="G523" i="7"/>
  <c r="G472" i="7"/>
  <c r="G251" i="7"/>
  <c r="H399" i="8"/>
  <c r="H841" i="8"/>
  <c r="G20" i="7"/>
  <c r="G887" i="7"/>
  <c r="G675" i="7"/>
  <c r="H666" i="8"/>
  <c r="G11" i="7"/>
  <c r="G268" i="7"/>
  <c r="H600" i="8"/>
  <c r="G715" i="7"/>
  <c r="G882" i="7"/>
  <c r="H766" i="8"/>
  <c r="H340" i="8"/>
  <c r="G114" i="7"/>
  <c r="H704" i="8"/>
  <c r="H609" i="8"/>
  <c r="G550" i="7"/>
  <c r="G591" i="7"/>
  <c r="G549" i="7"/>
  <c r="H326" i="8"/>
  <c r="H955" i="8"/>
  <c r="H236" i="8"/>
  <c r="G430" i="7"/>
  <c r="H973" i="8"/>
  <c r="H384" i="8"/>
  <c r="H391" i="8"/>
  <c r="G195" i="7"/>
  <c r="G464" i="7"/>
  <c r="G142" i="7"/>
  <c r="G875" i="7"/>
  <c r="H549" i="8"/>
  <c r="G17" i="7"/>
  <c r="H687" i="8"/>
  <c r="H944" i="8"/>
  <c r="G547" i="7"/>
  <c r="H223" i="8"/>
  <c r="G526" i="7"/>
  <c r="H167" i="8"/>
  <c r="H126" i="8"/>
  <c r="G732" i="7"/>
  <c r="H235" i="8"/>
  <c r="H60" i="8"/>
  <c r="H1000" i="8"/>
  <c r="H803" i="8"/>
  <c r="H435" i="8"/>
  <c r="H426" i="8"/>
  <c r="H717" i="8"/>
  <c r="H977" i="8"/>
  <c r="H731" i="8"/>
  <c r="H192" i="8"/>
  <c r="G686" i="7"/>
  <c r="G156" i="7"/>
  <c r="G792" i="7"/>
  <c r="H285" i="8"/>
  <c r="H437" i="8"/>
  <c r="H47" i="8"/>
  <c r="H407" i="8"/>
  <c r="H318" i="8"/>
  <c r="H850" i="8"/>
  <c r="G266" i="7"/>
  <c r="G416" i="7"/>
  <c r="G445" i="7"/>
  <c r="H904" i="8"/>
  <c r="G269" i="7"/>
  <c r="H206" i="8"/>
  <c r="H619" i="8"/>
  <c r="H533" i="8"/>
  <c r="H810" i="8"/>
  <c r="H878" i="8"/>
  <c r="H498" i="8"/>
  <c r="G42" i="7"/>
  <c r="G154" i="7"/>
  <c r="H317" i="8"/>
  <c r="H583" i="8"/>
  <c r="G40" i="7"/>
  <c r="H964" i="8"/>
  <c r="H710" i="8"/>
  <c r="H218" i="8"/>
  <c r="H673" i="8"/>
  <c r="G380" i="7"/>
  <c r="G625" i="7"/>
  <c r="H197" i="8"/>
  <c r="G670" i="7"/>
  <c r="G304" i="7"/>
  <c r="G371" i="7"/>
  <c r="G876" i="7"/>
  <c r="G1000" i="7"/>
  <c r="H448" i="8"/>
  <c r="G1004" i="7"/>
  <c r="G788" i="7"/>
  <c r="G892" i="7"/>
  <c r="H243" i="8"/>
  <c r="H401" i="8"/>
  <c r="G201" i="7"/>
  <c r="H594" i="8"/>
  <c r="H429" i="8"/>
  <c r="G362" i="7"/>
  <c r="H158" i="8"/>
  <c r="G88" i="7"/>
  <c r="G995" i="7"/>
  <c r="H703" i="8"/>
  <c r="H157" i="8"/>
  <c r="H355" i="8"/>
  <c r="G950" i="7"/>
  <c r="G425" i="7"/>
  <c r="H989" i="8"/>
  <c r="H284" i="8"/>
  <c r="H590" i="8"/>
  <c r="H98" i="8"/>
  <c r="H963" i="8"/>
  <c r="H959" i="8"/>
  <c r="G962" i="7"/>
  <c r="G961" i="7"/>
  <c r="H541" i="8"/>
  <c r="H201" i="8"/>
  <c r="H874" i="8"/>
  <c r="G303" i="7"/>
  <c r="H535" i="8"/>
  <c r="H688" i="8"/>
  <c r="H924" i="8"/>
  <c r="H538" i="8"/>
  <c r="G946" i="7"/>
  <c r="H734" i="8"/>
  <c r="H572" i="8"/>
  <c r="H207" i="8"/>
  <c r="H948" i="8"/>
  <c r="G1003" i="7"/>
  <c r="G834" i="7"/>
  <c r="H555" i="8"/>
  <c r="G295" i="7"/>
  <c r="G87" i="7"/>
  <c r="G481" i="7"/>
  <c r="G620" i="7"/>
  <c r="H735" i="8"/>
  <c r="G444" i="7"/>
  <c r="H759" i="8"/>
  <c r="G86" i="7"/>
  <c r="G254" i="7"/>
  <c r="G599" i="7"/>
  <c r="H272" i="8"/>
  <c r="H540" i="8"/>
  <c r="G386" i="7"/>
  <c r="G360" i="7"/>
  <c r="H466" i="8"/>
  <c r="H975" i="8"/>
  <c r="H902" i="8"/>
  <c r="H870" i="8"/>
  <c r="G877" i="7"/>
  <c r="G226" i="7"/>
  <c r="H667" i="8"/>
  <c r="G78" i="7"/>
  <c r="G182" i="7"/>
  <c r="H373" i="8"/>
  <c r="H14" i="8"/>
  <c r="G202" i="7"/>
  <c r="G915" i="7"/>
  <c r="H221" i="8"/>
  <c r="G1007" i="7"/>
  <c r="G350" i="7"/>
  <c r="H823" i="8"/>
  <c r="H380" i="8"/>
  <c r="H212" i="8"/>
  <c r="H78" i="8"/>
  <c r="G262" i="7"/>
  <c r="G958" i="7"/>
  <c r="G810" i="7"/>
  <c r="H869" i="8"/>
  <c r="H913" i="8"/>
  <c r="H903" i="8"/>
  <c r="G906" i="7"/>
  <c r="G212" i="7"/>
  <c r="G374" i="7"/>
  <c r="G710" i="7"/>
  <c r="H265" i="8"/>
  <c r="H315" i="8"/>
  <c r="G270" i="7"/>
  <c r="G453" i="7"/>
  <c r="G636" i="7"/>
  <c r="H186" i="8"/>
  <c r="H856" i="8"/>
  <c r="G174" i="7"/>
  <c r="G570" i="7"/>
  <c r="H30" i="8"/>
  <c r="H523" i="8"/>
  <c r="G236" i="7"/>
  <c r="G296" i="7"/>
  <c r="G909" i="7"/>
  <c r="G76" i="7"/>
  <c r="H64" i="8"/>
  <c r="G96" i="7"/>
  <c r="H484" i="8"/>
  <c r="H417" i="8"/>
  <c r="H107" i="8"/>
  <c r="G397" i="7"/>
  <c r="G963" i="7"/>
  <c r="H335" i="8"/>
  <c r="H547" i="8"/>
  <c r="G808" i="7"/>
  <c r="G469" i="7"/>
  <c r="H898" i="8"/>
  <c r="H300" i="8"/>
  <c r="G551" i="7"/>
  <c r="G98" i="7"/>
  <c r="G71" i="7"/>
  <c r="H956" i="8"/>
  <c r="G12" i="7"/>
  <c r="H453" i="8"/>
  <c r="H439" i="8"/>
  <c r="H727" i="8"/>
  <c r="H33" i="8"/>
  <c r="H654" i="8"/>
  <c r="H801" i="8"/>
  <c r="H393" i="8"/>
  <c r="G191" i="7"/>
  <c r="G573" i="7"/>
  <c r="H1007" i="8"/>
  <c r="G39" i="7"/>
  <c r="G999" i="7"/>
  <c r="H39" i="8"/>
  <c r="G125" i="7"/>
  <c r="G952" i="7"/>
  <c r="H675" i="8"/>
  <c r="H432" i="8"/>
  <c r="G533" i="7"/>
  <c r="H815" i="8"/>
  <c r="G515" i="7"/>
  <c r="G772" i="7"/>
  <c r="H802" i="8"/>
  <c r="H720" i="8"/>
  <c r="G476" i="7"/>
  <c r="G65" i="7"/>
  <c r="H322" i="8"/>
  <c r="H932" i="8"/>
  <c r="H310" i="8"/>
  <c r="H606" i="8"/>
  <c r="H895" i="8"/>
  <c r="G806" i="7"/>
  <c r="H383" i="8"/>
  <c r="H628" i="8"/>
  <c r="H93" i="8"/>
  <c r="H824" i="8"/>
  <c r="G305" i="7"/>
  <c r="H597" i="8"/>
  <c r="H844" i="8"/>
  <c r="H219" i="8"/>
  <c r="G466" i="7"/>
  <c r="G813" i="7"/>
  <c r="G450" i="7"/>
  <c r="G252" i="7"/>
  <c r="G488" i="7"/>
  <c r="H257" i="8"/>
  <c r="H25" i="8"/>
  <c r="H713" i="8"/>
  <c r="H517" i="8"/>
  <c r="H82" i="8"/>
  <c r="H130" i="8"/>
  <c r="G399" i="7"/>
  <c r="G437" i="7"/>
  <c r="G535" i="7"/>
  <c r="G902" i="7"/>
  <c r="G585" i="7"/>
  <c r="H621" i="8"/>
  <c r="G695" i="7"/>
  <c r="H475" i="8"/>
  <c r="G113" i="7"/>
  <c r="H966" i="8"/>
  <c r="G222" i="7"/>
  <c r="G292" i="7"/>
  <c r="G377" i="7"/>
  <c r="G907" i="7"/>
  <c r="G503" i="7"/>
  <c r="H655" i="8"/>
  <c r="H779" i="8"/>
  <c r="G55" i="7"/>
  <c r="H642" i="8"/>
  <c r="H217" i="8"/>
  <c r="G193" i="7"/>
  <c r="H967" i="8"/>
  <c r="G144" i="7"/>
  <c r="G327" i="7"/>
  <c r="G552" i="7"/>
  <c r="G773" i="7"/>
  <c r="H685" i="8"/>
  <c r="H194" i="8"/>
  <c r="H909" i="8"/>
  <c r="H958" i="8"/>
  <c r="G309" i="7"/>
  <c r="H37" i="8"/>
  <c r="H786" i="8"/>
  <c r="H509" i="8"/>
  <c r="H566" i="8"/>
  <c r="G29" i="7"/>
  <c r="H215" i="8"/>
  <c r="G185" i="7"/>
  <c r="H928" i="8"/>
  <c r="H828" i="8"/>
  <c r="G237" i="7"/>
  <c r="H859" i="8"/>
  <c r="H361" i="8"/>
  <c r="G664" i="7"/>
  <c r="G617" i="7"/>
  <c r="G1002" i="7"/>
  <c r="G571" i="7"/>
  <c r="H38" i="8"/>
  <c r="H797" i="8"/>
  <c r="H747" i="8"/>
  <c r="G294" i="7"/>
  <c r="H321" i="8"/>
  <c r="H41" i="8"/>
  <c r="H414" i="8"/>
  <c r="H567" i="8"/>
  <c r="H63" i="8"/>
  <c r="H406" i="8"/>
  <c r="H18" i="8"/>
  <c r="G89" i="7"/>
  <c r="G208" i="7"/>
  <c r="G769" i="7"/>
  <c r="H660" i="8"/>
  <c r="H696" i="8"/>
  <c r="G709" i="7"/>
  <c r="G863" i="7"/>
  <c r="G401" i="7"/>
  <c r="H46" i="8"/>
  <c r="G409" i="7"/>
  <c r="H412" i="8"/>
  <c r="G58" i="7"/>
  <c r="H926" i="8"/>
  <c r="G777" i="7"/>
  <c r="H705" i="8"/>
  <c r="G849" i="7"/>
  <c r="G491" i="7"/>
  <c r="G433" i="7"/>
  <c r="H244" i="8"/>
  <c r="G233" i="7"/>
  <c r="H774" i="8"/>
  <c r="G420" i="7"/>
  <c r="G762" i="7"/>
  <c r="H451" i="8"/>
  <c r="G315" i="7"/>
  <c r="G137" i="7"/>
  <c r="H23" i="8"/>
  <c r="H807" i="8"/>
  <c r="H896" i="8"/>
  <c r="H214" i="8"/>
  <c r="G163" i="7"/>
  <c r="H732" i="8"/>
  <c r="G176" i="7"/>
  <c r="G209" i="7"/>
  <c r="G357" i="7"/>
  <c r="G531" i="7"/>
  <c r="H781" i="8"/>
  <c r="H729" i="8"/>
  <c r="G985" i="7"/>
  <c r="G391" i="7"/>
  <c r="G897" i="7"/>
  <c r="G513" i="7"/>
  <c r="H831" i="8"/>
  <c r="G456" i="7"/>
  <c r="G483" i="7"/>
  <c r="G246" i="7"/>
  <c r="G288" i="7"/>
  <c r="H693" i="8"/>
  <c r="G344" i="7"/>
  <c r="H163" i="8"/>
  <c r="H436" i="8"/>
  <c r="G650" i="7"/>
  <c r="G91" i="7"/>
  <c r="G603" i="7"/>
  <c r="G429" i="7"/>
  <c r="H519" i="8"/>
  <c r="G301" i="7"/>
  <c r="G799" i="7"/>
  <c r="G685" i="7"/>
  <c r="H123" i="8"/>
  <c r="H843" i="8"/>
  <c r="G898" i="7"/>
  <c r="H918" i="8"/>
  <c r="H155" i="8"/>
  <c r="G990" i="7"/>
  <c r="G988" i="7"/>
  <c r="G601" i="7"/>
  <c r="H20" i="8"/>
  <c r="H715" i="8"/>
  <c r="H860" i="8"/>
  <c r="H109" i="8"/>
  <c r="H457" i="8"/>
  <c r="G567" i="7"/>
  <c r="H636" i="8"/>
  <c r="H754" i="8"/>
  <c r="H561" i="8"/>
  <c r="G108" i="7"/>
  <c r="H15" i="8"/>
  <c r="G406" i="7"/>
  <c r="G216" i="7"/>
  <c r="H872" i="8"/>
  <c r="H907" i="8"/>
  <c r="H362" i="8"/>
  <c r="G378" i="7"/>
  <c r="H618" i="8"/>
  <c r="H227" i="8"/>
  <c r="H239" i="8"/>
  <c r="H144" i="8"/>
  <c r="G864" i="7"/>
  <c r="G128" i="7"/>
  <c r="G104" i="7"/>
  <c r="H971" i="8"/>
  <c r="H960" i="8"/>
  <c r="H175" i="8"/>
  <c r="G484" i="7"/>
  <c r="H76" i="8"/>
  <c r="G460" i="7"/>
  <c r="H351" i="8"/>
  <c r="H577" i="8"/>
  <c r="H527" i="8"/>
  <c r="H104" i="8"/>
  <c r="G162" i="7"/>
  <c r="H539" i="8"/>
  <c r="G771" i="7"/>
  <c r="G865" i="7"/>
  <c r="G879" i="7"/>
  <c r="G33" i="7"/>
  <c r="H487" i="8"/>
  <c r="G821" i="7"/>
  <c r="G204" i="7"/>
  <c r="G740" i="7"/>
  <c r="G621" i="7"/>
  <c r="G245" i="7"/>
  <c r="H586" i="8"/>
  <c r="H836" i="8"/>
  <c r="H416" i="8"/>
  <c r="G57" i="7"/>
  <c r="H544" i="8"/>
  <c r="G335" i="7"/>
  <c r="H320" i="8"/>
  <c r="G855" i="7"/>
  <c r="G553" i="7"/>
  <c r="H791" i="8"/>
  <c r="G725" i="7"/>
  <c r="G276" i="7"/>
  <c r="H643" i="8"/>
  <c r="G220" i="7"/>
  <c r="H728" i="8"/>
  <c r="G555" i="7"/>
  <c r="H114" i="8"/>
  <c r="G333" i="7"/>
  <c r="G888" i="7"/>
  <c r="G609" i="7"/>
  <c r="H942" i="8"/>
  <c r="H266" i="8"/>
  <c r="H332" i="8"/>
  <c r="G139" i="7"/>
  <c r="G95" i="7"/>
  <c r="G109" i="7"/>
  <c r="H514" i="8"/>
  <c r="G846" i="7"/>
  <c r="G596" i="7"/>
  <c r="G81" i="7"/>
  <c r="G583" i="7"/>
  <c r="H353" i="8"/>
  <c r="G544" i="7"/>
  <c r="H65" i="8"/>
  <c r="G880" i="7"/>
  <c r="H650" i="8"/>
  <c r="H883" i="8"/>
  <c r="G862" i="7"/>
  <c r="G338" i="7"/>
  <c r="G247" i="7"/>
  <c r="H665" i="8"/>
  <c r="H102" i="8"/>
  <c r="G203" i="7"/>
  <c r="H814" i="8"/>
  <c r="G724" i="7"/>
  <c r="H553" i="8"/>
  <c r="G194" i="7"/>
  <c r="H229" i="8"/>
  <c r="H477" i="8"/>
  <c r="G393" i="7"/>
  <c r="G751" i="7"/>
  <c r="G546" i="7"/>
  <c r="G494" i="7"/>
  <c r="G382" i="7"/>
  <c r="G200" i="7"/>
  <c r="H472" i="8"/>
  <c r="H344" i="8"/>
  <c r="G899" i="7"/>
  <c r="H288" i="8"/>
  <c r="H968" i="8"/>
  <c r="G743" i="7"/>
  <c r="H338" i="8"/>
  <c r="H132" i="8"/>
  <c r="G971" i="7"/>
  <c r="H250" i="8"/>
  <c r="G654" i="7"/>
  <c r="H96" i="8"/>
  <c r="G19" i="7"/>
  <c r="G744" i="7"/>
  <c r="G417" i="7"/>
  <c r="G957" i="7"/>
  <c r="G519" i="7"/>
  <c r="H146" i="8"/>
  <c r="G272" i="7"/>
  <c r="G728" i="7"/>
  <c r="H627" i="8"/>
  <c r="G514" i="7"/>
  <c r="G143" i="7"/>
  <c r="G35" i="7"/>
  <c r="G658" i="7"/>
  <c r="G345" i="7"/>
  <c r="H912" i="8"/>
  <c r="H740" i="8"/>
  <c r="G698" i="7"/>
  <c r="G1005" i="7"/>
  <c r="G814" i="7"/>
  <c r="G446" i="7"/>
  <c r="G197" i="7"/>
  <c r="G153" i="7"/>
  <c r="G979" i="7"/>
  <c r="G602" i="7"/>
  <c r="H133" i="8"/>
  <c r="G737" i="7"/>
  <c r="G970" i="7"/>
  <c r="G198" i="7"/>
  <c r="H585" i="8"/>
  <c r="G27" i="7"/>
  <c r="G157" i="7"/>
  <c r="H205" i="8"/>
  <c r="H156" i="8"/>
  <c r="H425" i="8"/>
  <c r="G100" i="7"/>
  <c r="G922" i="7"/>
  <c r="G221" i="7"/>
  <c r="G610" i="7"/>
  <c r="H511" i="8"/>
  <c r="H646" i="8"/>
  <c r="G277" i="7"/>
  <c r="H659" i="8"/>
  <c r="G830" i="7"/>
  <c r="H389" i="8"/>
  <c r="H61" i="8"/>
  <c r="H240" i="8"/>
  <c r="H442" i="8"/>
  <c r="G493" i="7"/>
  <c r="G375" i="7"/>
  <c r="G871" i="7"/>
  <c r="G59" i="7"/>
  <c r="H329" i="8"/>
  <c r="H961" i="8"/>
  <c r="G509" i="7"/>
  <c r="G684" i="7"/>
  <c r="G1006" i="7"/>
  <c r="G319" i="7"/>
  <c r="H721" i="8"/>
  <c r="G747" i="7"/>
  <c r="H337" i="8"/>
  <c r="G931" i="7"/>
  <c r="G123" i="7"/>
  <c r="G615" i="7"/>
  <c r="H409" i="8"/>
  <c r="G111" i="7"/>
  <c r="G258" i="7"/>
  <c r="H999" i="8"/>
  <c r="G541" i="7"/>
  <c r="H893" i="8"/>
  <c r="H388" i="8"/>
  <c r="H568" i="8"/>
  <c r="H887" i="8"/>
  <c r="G930" i="7"/>
  <c r="H497" i="8"/>
  <c r="H142" i="8"/>
  <c r="H753" i="8"/>
  <c r="G278" i="7"/>
  <c r="H562" i="8"/>
  <c r="H569" i="8"/>
  <c r="G457" i="7"/>
  <c r="H682" i="8"/>
  <c r="G797" i="7"/>
  <c r="H290" i="8"/>
  <c r="G789" i="7"/>
  <c r="G467" i="7"/>
  <c r="H183" i="8"/>
  <c r="H249" i="8"/>
  <c r="G383" i="7"/>
  <c r="H410" i="8"/>
  <c r="H253" i="8"/>
  <c r="G704" i="7"/>
  <c r="H143" i="8"/>
  <c r="H75" i="8"/>
  <c r="H366" i="8"/>
  <c r="G661" i="7"/>
  <c r="G316" i="7"/>
  <c r="H546" i="8"/>
  <c r="G116" i="7"/>
  <c r="H120" i="8"/>
  <c r="H293" i="8"/>
  <c r="G68" i="7"/>
  <c r="G714" i="7"/>
  <c r="H725" i="8"/>
  <c r="H79" i="8"/>
  <c r="H473" i="8"/>
  <c r="G407" i="7"/>
  <c r="G754" i="7"/>
  <c r="H709" i="8"/>
  <c r="H970" i="8"/>
  <c r="H202" i="8"/>
  <c r="H242" i="8"/>
  <c r="H751" i="8"/>
  <c r="G230" i="7"/>
  <c r="H626" i="8"/>
  <c r="G298" i="7"/>
  <c r="G16" i="7"/>
  <c r="G779" i="7"/>
  <c r="G667" i="7"/>
  <c r="G790" i="7"/>
  <c r="G768" i="7"/>
  <c r="G312" i="7"/>
  <c r="H560" i="8"/>
  <c r="G474" i="7"/>
  <c r="H467" i="8"/>
  <c r="G215" i="7"/>
  <c r="H27" i="8"/>
  <c r="H115" i="8"/>
  <c r="H55" i="8"/>
  <c r="G895" i="7"/>
  <c r="H49" i="8"/>
  <c r="H211" i="8"/>
  <c r="G914" i="7"/>
  <c r="G250" i="7"/>
  <c r="G435" i="7"/>
  <c r="H119" i="8"/>
  <c r="G838" i="7"/>
  <c r="H485" i="8"/>
  <c r="G8" i="7"/>
  <c r="G455" i="7"/>
  <c r="G511" i="7"/>
  <c r="H103" i="8"/>
  <c r="H865" i="8"/>
  <c r="G351" i="7"/>
  <c r="H237" i="8"/>
  <c r="G468" i="7"/>
  <c r="G842" i="7"/>
  <c r="H325" i="8"/>
  <c r="H503" i="8"/>
  <c r="G442" i="7"/>
  <c r="G314" i="7"/>
  <c r="G795" i="7"/>
  <c r="H177" i="8"/>
  <c r="G43" i="7"/>
  <c r="H385" i="8"/>
  <c r="H72" i="8"/>
  <c r="G499" i="7"/>
  <c r="G223" i="7"/>
  <c r="H854" i="8"/>
  <c r="G213" i="7"/>
  <c r="H87" i="8"/>
  <c r="G919" i="7"/>
  <c r="G574" i="7"/>
  <c r="H985" i="8"/>
  <c r="H792" i="8"/>
  <c r="G184" i="7"/>
  <c r="H387" i="8"/>
  <c r="G124" i="7"/>
  <c r="G635" i="7"/>
  <c r="H364" i="8"/>
  <c r="H739" i="8"/>
  <c r="H645" i="8"/>
  <c r="H820" i="8"/>
  <c r="G404" i="7"/>
  <c r="H574" i="8"/>
  <c r="H307" i="8"/>
  <c r="G500" i="7"/>
  <c r="H69" i="8"/>
  <c r="G696" i="7"/>
  <c r="H22" i="8"/>
  <c r="G282" i="7"/>
  <c r="G458" i="7"/>
  <c r="G183" i="7"/>
  <c r="G651" i="7"/>
  <c r="H738" i="8"/>
  <c r="G656" i="7"/>
  <c r="G989" i="7"/>
  <c r="G487" i="7"/>
  <c r="H670" i="8"/>
  <c r="G243" i="7"/>
  <c r="H486" i="8"/>
  <c r="H698" i="8"/>
  <c r="G851" i="7"/>
  <c r="H127" i="8"/>
  <c r="G376" i="7"/>
  <c r="H367" i="8"/>
  <c r="G347" i="7"/>
  <c r="G400" i="7"/>
  <c r="H982" i="8"/>
  <c r="H748" i="8"/>
  <c r="H661" i="8"/>
  <c r="G329" i="7"/>
  <c r="G708" i="7"/>
  <c r="G159" i="7"/>
  <c r="G741" i="7"/>
  <c r="G52" i="7"/>
  <c r="H89" i="8"/>
  <c r="H564" i="8"/>
  <c r="G692" i="7"/>
  <c r="G164" i="7"/>
  <c r="H232" i="8"/>
  <c r="H793" i="8"/>
  <c r="G211" i="7"/>
  <c r="G614" i="7"/>
  <c r="G896" i="7"/>
  <c r="G239" i="7"/>
  <c r="G956" i="7"/>
  <c r="H736" i="8"/>
  <c r="G936" i="7"/>
  <c r="H986" i="8"/>
  <c r="H630" i="8"/>
  <c r="H495" i="8"/>
  <c r="G341" i="7"/>
  <c r="G752" i="7"/>
  <c r="G331" i="7"/>
  <c r="G590" i="7"/>
  <c r="H160" i="8"/>
  <c r="G80" i="7"/>
  <c r="H488" i="8"/>
  <c r="H481" i="8"/>
  <c r="G45" i="7"/>
  <c r="G925" i="7"/>
  <c r="H894" i="8"/>
  <c r="H584" i="8"/>
  <c r="G941" i="7"/>
  <c r="H28" i="8"/>
  <c r="G28" i="7"/>
  <c r="G702" i="7"/>
  <c r="H923" i="8"/>
  <c r="G528" i="7"/>
  <c r="G831" i="7"/>
  <c r="G643" i="7"/>
  <c r="H150" i="8"/>
  <c r="H154" i="8"/>
  <c r="G369" i="7"/>
  <c r="G259" i="7"/>
  <c r="H461" i="8"/>
  <c r="G289" i="7"/>
  <c r="G983" i="7"/>
  <c r="H767" i="8"/>
  <c r="H978" i="8"/>
  <c r="H131" i="8"/>
  <c r="G597" i="7"/>
  <c r="G112" i="7"/>
  <c r="G736" i="7"/>
  <c r="G175" i="7"/>
  <c r="G180" i="7"/>
  <c r="G192" i="7"/>
  <c r="G496" i="7"/>
  <c r="H336" i="8"/>
  <c r="G716" i="7"/>
  <c r="G632" i="7"/>
  <c r="G31" i="7"/>
  <c r="H969" i="8"/>
  <c r="G418" i="7"/>
  <c r="H543" i="8"/>
  <c r="G996" i="7"/>
  <c r="H976" i="8"/>
  <c r="H469" i="8"/>
  <c r="G49" i="7"/>
  <c r="G322" i="7"/>
  <c r="G408" i="7"/>
  <c r="G564" i="7"/>
  <c r="H742" i="8"/>
  <c r="G859" i="7"/>
  <c r="H35" i="8"/>
  <c r="H900" i="8"/>
  <c r="H916" i="8"/>
  <c r="G886" i="7"/>
  <c r="H53" i="8"/>
  <c r="G115" i="7"/>
  <c r="G106" i="7"/>
  <c r="H165" i="8"/>
  <c r="G421" i="7"/>
  <c r="G707" i="7"/>
  <c r="H648" i="8"/>
  <c r="G66" i="7"/>
  <c r="G733" i="7"/>
  <c r="G505" i="7"/>
  <c r="H929" i="8"/>
  <c r="H581" i="8"/>
  <c r="H36" i="8"/>
  <c r="G242" i="7"/>
  <c r="G556" i="7"/>
  <c r="G480" i="7"/>
  <c r="G172" i="7"/>
  <c r="G640" i="7"/>
  <c r="G857" i="7"/>
  <c r="H135" i="8"/>
  <c r="H350" i="8"/>
  <c r="G102" i="7"/>
  <c r="G264" i="7"/>
  <c r="G730" i="7"/>
  <c r="H615" i="8"/>
  <c r="H490" i="8"/>
  <c r="G313" i="7"/>
  <c r="H868" i="8"/>
  <c r="H499" i="8"/>
  <c r="H159" i="8"/>
  <c r="H112" i="8"/>
  <c r="G427" i="7"/>
  <c r="H29" i="8"/>
  <c r="G545" i="7"/>
  <c r="H312" i="8"/>
  <c r="H708" i="8"/>
  <c r="H106" i="8"/>
  <c r="G644" i="7"/>
  <c r="H368" i="8"/>
  <c r="H651" i="8"/>
  <c r="H492" i="8"/>
  <c r="G140" i="7"/>
  <c r="H375" i="8"/>
  <c r="H1003" i="8"/>
  <c r="H149" i="8"/>
  <c r="G47" i="7"/>
  <c r="H371" i="8"/>
  <c r="G271" i="7"/>
  <c r="G649" i="7"/>
  <c r="H110" i="8"/>
  <c r="H77" i="8"/>
  <c r="G943" i="7"/>
  <c r="G786" i="7"/>
  <c r="H313" i="8"/>
  <c r="H576" i="8"/>
  <c r="H996" i="8"/>
  <c r="H402" i="8"/>
  <c r="G820" i="7"/>
  <c r="G755" i="7"/>
  <c r="G94" i="7"/>
  <c r="G935" i="7"/>
  <c r="G932" i="7"/>
  <c r="G711" i="7"/>
  <c r="H124" i="8"/>
  <c r="H940" i="8"/>
  <c r="H578" i="8"/>
  <c r="H138" i="8"/>
  <c r="H198" i="8"/>
  <c r="G900" i="7"/>
  <c r="H278" i="8"/>
  <c r="H579" i="8"/>
  <c r="G739" i="7"/>
  <c r="H222" i="8"/>
  <c r="G991" i="7"/>
  <c r="H494" i="8"/>
  <c r="H84" i="8"/>
  <c r="H885" i="8"/>
  <c r="G677" i="7"/>
  <c r="H446" i="8"/>
  <c r="G841" i="7"/>
  <c r="H520" i="8"/>
  <c r="H294" i="8"/>
  <c r="H762" i="8"/>
  <c r="H965" i="8"/>
  <c r="G311" i="7"/>
  <c r="H299" i="8"/>
  <c r="G99" i="7"/>
  <c r="H664" i="8"/>
  <c r="G629" i="7"/>
  <c r="G669" i="7"/>
  <c r="H185" i="8"/>
  <c r="G858" i="7"/>
  <c r="G332" i="7"/>
  <c r="H979" i="8"/>
  <c r="H852" i="8"/>
  <c r="H818" i="8"/>
  <c r="G118" i="7"/>
  <c r="G784" i="7"/>
  <c r="G619" i="7"/>
  <c r="H842" i="8"/>
  <c r="G659" i="7"/>
  <c r="G637" i="7"/>
  <c r="H545" i="8"/>
  <c r="G726" i="7"/>
  <c r="H394" i="8"/>
  <c r="H695" i="8"/>
  <c r="H847" i="8"/>
  <c r="G657" i="7"/>
  <c r="H668" i="8"/>
  <c r="H763" i="8"/>
  <c r="H251" i="8"/>
  <c r="H90" i="8"/>
  <c r="H884" i="8"/>
  <c r="H672" i="8"/>
  <c r="H669" i="8"/>
  <c r="H834" i="8"/>
  <c r="H504" i="8"/>
  <c r="G870" i="7"/>
  <c r="H686" i="8"/>
  <c r="H304" i="8"/>
  <c r="H922" i="8"/>
  <c r="G817" i="7"/>
  <c r="G525" i="7"/>
  <c r="H305" i="8"/>
  <c r="H287" i="8"/>
  <c r="G260" i="7"/>
  <c r="H512" i="8"/>
  <c r="H188" i="8"/>
  <c r="H298" i="8"/>
  <c r="H308" i="8"/>
  <c r="H452" i="8"/>
  <c r="H862" i="8"/>
  <c r="G160" i="7"/>
  <c r="G807" i="7"/>
  <c r="H888" i="8"/>
  <c r="H26" i="8"/>
  <c r="H722" i="8"/>
  <c r="H348" i="8"/>
  <c r="H246" i="8"/>
  <c r="H208" i="8"/>
  <c r="G171" i="7"/>
  <c r="G354" i="7"/>
  <c r="G652" i="7"/>
  <c r="G85" i="7"/>
  <c r="H662" i="8"/>
  <c r="G325" i="7"/>
  <c r="G964" i="7"/>
  <c r="H876" i="8"/>
  <c r="G671" i="7"/>
  <c r="H431" i="8"/>
  <c r="H54" i="8"/>
  <c r="G655" i="7"/>
  <c r="G490" i="7"/>
  <c r="H657" i="8"/>
  <c r="G662" i="7"/>
  <c r="H468" i="8"/>
  <c r="G828" i="7"/>
  <c r="H196" i="8"/>
  <c r="G734" i="7"/>
  <c r="H755" i="8"/>
  <c r="G90" i="7"/>
  <c r="G676" i="7"/>
  <c r="G627" i="7"/>
  <c r="G994" i="7"/>
  <c r="H521" i="8"/>
  <c r="H863" i="8"/>
  <c r="G431" i="7"/>
  <c r="H515" i="8"/>
  <c r="H962" i="8"/>
  <c r="G256" i="7"/>
  <c r="G653" i="7"/>
  <c r="G542" i="7"/>
  <c r="H333" i="8"/>
  <c r="H168" i="8"/>
  <c r="H125" i="8"/>
  <c r="H17" i="8"/>
  <c r="G948" i="7"/>
  <c r="H987" i="8"/>
  <c r="H396" i="8"/>
  <c r="H730" i="8"/>
  <c r="H997" i="8"/>
  <c r="G477" i="7"/>
  <c r="G504" i="7"/>
  <c r="H993" i="8"/>
  <c r="G719" i="7"/>
  <c r="G782" i="7"/>
  <c r="G582" i="7"/>
  <c r="G944" i="7"/>
  <c r="H309" i="8"/>
  <c r="G538" i="7"/>
  <c r="H800" i="8"/>
  <c r="H220" i="8"/>
  <c r="H275" i="8"/>
  <c r="G349" i="7"/>
  <c r="H777" i="8"/>
  <c r="H701" i="8"/>
  <c r="H613" i="8"/>
  <c r="G339" i="7"/>
  <c r="G942" i="7"/>
  <c r="G774" i="7"/>
  <c r="G133" i="7"/>
  <c r="G911" i="7"/>
  <c r="G890" i="7"/>
  <c r="H917" i="8"/>
  <c r="G700" i="7"/>
  <c r="H460" i="8"/>
  <c r="H845" i="8"/>
  <c r="G346" i="7"/>
  <c r="H689" i="8"/>
  <c r="G105" i="7"/>
  <c r="G563" i="7"/>
  <c r="G330" i="7"/>
  <c r="H306" i="8"/>
  <c r="H262" i="8"/>
  <c r="G255" i="7"/>
  <c r="H121" i="8"/>
  <c r="H835" i="8"/>
  <c r="H906" i="8"/>
  <c r="G660" i="7"/>
  <c r="G951" i="7"/>
  <c r="G395" i="7"/>
  <c r="H604" i="8"/>
  <c r="H676" i="8"/>
  <c r="H433" i="8"/>
  <c r="H283" i="8"/>
  <c r="G798" i="7"/>
  <c r="G598" i="7"/>
  <c r="G77" i="7"/>
  <c r="G150" i="7"/>
  <c r="H8" i="8"/>
  <c r="H724" i="8"/>
  <c r="H430" i="8"/>
  <c r="H440" i="8"/>
  <c r="G26" i="7"/>
  <c r="H816" i="8"/>
  <c r="G796" i="7"/>
  <c r="H658" i="8"/>
  <c r="H770" i="8"/>
  <c r="G411" i="7"/>
  <c r="G293" i="7"/>
  <c r="G631" i="7"/>
  <c r="H947" i="8"/>
  <c r="H510" i="8"/>
  <c r="G189" i="7"/>
  <c r="H58" i="8"/>
  <c r="G64" i="7"/>
  <c r="G823" i="7"/>
  <c r="G578" i="7"/>
  <c r="G742" i="7"/>
  <c r="H57" i="8"/>
  <c r="G735" i="7"/>
  <c r="G392" i="7"/>
  <c r="G723" i="7"/>
  <c r="G883" i="7"/>
  <c r="G522" i="7"/>
  <c r="H899" i="8"/>
  <c r="H573" i="8"/>
  <c r="G959" i="7"/>
  <c r="H692" i="8"/>
  <c r="G207" i="7"/>
  <c r="H516" i="8"/>
  <c r="H67" i="8"/>
  <c r="G328" i="7"/>
  <c r="G32" i="7"/>
  <c r="G562" i="7"/>
  <c r="G866" i="7"/>
  <c r="G25" i="7"/>
  <c r="H723" i="8"/>
  <c r="H339" i="8"/>
  <c r="H528" i="8"/>
  <c r="H550" i="8"/>
  <c r="H226" i="8"/>
  <c r="H851" i="8"/>
  <c r="H476" i="8"/>
  <c r="G149" i="7"/>
  <c r="H395" i="8"/>
  <c r="H758" i="8"/>
  <c r="H750" i="8"/>
  <c r="H920" i="8"/>
  <c r="G179" i="7"/>
  <c r="G848" i="7"/>
  <c r="H866" i="8"/>
  <c r="G240" i="7"/>
  <c r="G403" i="7"/>
  <c r="G568" i="7"/>
  <c r="G60" i="7"/>
  <c r="H428" i="8"/>
  <c r="H690" i="8"/>
  <c r="H804" i="8"/>
  <c r="H614" i="8"/>
  <c r="H632" i="8"/>
  <c r="H634" i="8"/>
  <c r="G15" i="7"/>
  <c r="H166" i="8"/>
  <c r="G587" i="7"/>
  <c r="G912" i="7"/>
  <c r="G947" i="7"/>
  <c r="G217" i="7"/>
  <c r="H529" i="8"/>
  <c r="H148" i="8"/>
  <c r="H231" i="8"/>
  <c r="H972" i="8"/>
  <c r="G398" i="7"/>
  <c r="H372" i="8"/>
  <c r="H677" i="8"/>
  <c r="G787" i="7"/>
  <c r="H953" i="8"/>
  <c r="G336" i="7"/>
  <c r="H379" i="8"/>
  <c r="H19" i="8"/>
  <c r="H73" i="8"/>
  <c r="H274" i="8"/>
  <c r="G618" i="7"/>
  <c r="H108" i="8"/>
  <c r="H434" i="8"/>
  <c r="H343" i="8"/>
  <c r="G432" i="7"/>
  <c r="G297" i="7"/>
  <c r="G757" i="7"/>
  <c r="H813" i="8"/>
  <c r="G901" i="7"/>
  <c r="G586" i="7"/>
  <c r="H608" i="8"/>
  <c r="G626" i="7"/>
  <c r="H447" i="8"/>
  <c r="H16" i="8"/>
  <c r="G130" i="7"/>
  <c r="G373" i="7"/>
  <c r="G589" i="7"/>
  <c r="G422" i="7"/>
  <c r="H592" i="8"/>
  <c r="G639" i="7"/>
  <c r="H296" i="8"/>
  <c r="G527" i="7"/>
  <c r="H825" i="8"/>
  <c r="H316" i="8"/>
  <c r="G565" i="7"/>
  <c r="H62" i="8"/>
  <c r="G141" i="7"/>
  <c r="G451" i="7"/>
  <c r="G826" i="7"/>
  <c r="G694" i="7"/>
  <c r="G916" i="7"/>
  <c r="G557" i="7"/>
  <c r="G765" i="7"/>
  <c r="G566" i="7"/>
  <c r="G856" i="7"/>
  <c r="G975" i="7"/>
  <c r="H441" i="8"/>
  <c r="H652" i="8"/>
  <c r="H612" i="8"/>
  <c r="H633" i="8"/>
  <c r="G688" i="7"/>
  <c r="H456" i="8"/>
  <c r="H191" i="8"/>
  <c r="H575" i="8"/>
  <c r="G479" i="7"/>
  <c r="G815" i="7"/>
  <c r="G428" i="7"/>
  <c r="H927" i="8"/>
  <c r="G517" i="7"/>
  <c r="G470" i="7"/>
  <c r="G300" i="7"/>
  <c r="G285" i="7"/>
  <c r="H653" i="8"/>
  <c r="H297" i="8"/>
  <c r="H450" i="8"/>
  <c r="G611" i="7"/>
  <c r="G924" i="7"/>
  <c r="G843" i="7"/>
  <c r="G170" i="7"/>
  <c r="H795" i="8"/>
  <c r="H256" i="8"/>
  <c r="G358" i="7"/>
  <c r="H291" i="8"/>
  <c r="G606" i="7"/>
  <c r="G832" i="7"/>
  <c r="G760" i="7"/>
  <c r="H557" i="8"/>
  <c r="G889" i="7"/>
  <c r="G642" i="7"/>
  <c r="H173" i="8"/>
  <c r="G775" i="7"/>
  <c r="G833" i="7"/>
  <c r="H531" i="8"/>
  <c r="G758" i="7"/>
  <c r="H769" i="8"/>
  <c r="H234" i="8"/>
  <c r="H268" i="8"/>
  <c r="H840" i="8"/>
  <c r="G638" i="7"/>
  <c r="G881" i="7"/>
  <c r="H915" i="8"/>
  <c r="H99" i="8"/>
  <c r="G588" i="7"/>
  <c r="G110" i="7"/>
  <c r="H255" i="8"/>
  <c r="H620" i="8"/>
  <c r="G320" i="7"/>
  <c r="H921" i="8"/>
  <c r="G231" i="7"/>
  <c r="G214" i="7"/>
  <c r="H273" i="8"/>
  <c r="H365" i="8"/>
  <c r="H264" i="8"/>
  <c r="H507" i="8"/>
  <c r="G107" i="7"/>
  <c r="G850" i="7"/>
  <c r="H164" i="8"/>
  <c r="H56" i="8"/>
  <c r="G84" i="7"/>
  <c r="H258" i="8"/>
  <c r="G584" i="7"/>
  <c r="H711" i="8"/>
  <c r="G731" i="7"/>
  <c r="G177" i="7"/>
  <c r="G794" i="7"/>
  <c r="G678" i="7"/>
  <c r="G987" i="7"/>
  <c r="H886" i="8"/>
  <c r="G478" i="7"/>
  <c r="H663" i="8"/>
  <c r="G976" i="7"/>
  <c r="G119" i="7"/>
  <c r="G405" i="7"/>
  <c r="G248" i="7"/>
  <c r="H97" i="8"/>
  <c r="G37" i="7"/>
  <c r="G79" i="7"/>
  <c r="H757" i="8"/>
  <c r="G801" i="7"/>
  <c r="H141" i="8"/>
  <c r="G705" i="7"/>
  <c r="H32" i="8"/>
  <c r="G997" i="7"/>
  <c r="G923" i="7"/>
  <c r="H833" i="8"/>
  <c r="H454" i="8"/>
  <c r="G281" i="7"/>
  <c r="G712" i="7"/>
  <c r="G633" i="7"/>
  <c r="H324" i="8"/>
  <c r="H424" i="8"/>
  <c r="H726" i="8"/>
  <c r="H858" i="8"/>
  <c r="G852" i="7"/>
  <c r="G147" i="7"/>
  <c r="H392" i="8"/>
  <c r="H370" i="8"/>
  <c r="G878" i="7"/>
  <c r="G581" i="7"/>
  <c r="H952" i="8"/>
  <c r="G352" i="7"/>
  <c r="G436" i="7"/>
  <c r="H270" i="8"/>
  <c r="G424" i="7"/>
  <c r="H151" i="8"/>
  <c r="H145" i="8"/>
  <c r="G998" i="7"/>
  <c r="G720" i="7"/>
  <c r="G763" i="7"/>
  <c r="G334" i="7"/>
  <c r="H649" i="8"/>
  <c r="G986" i="7"/>
  <c r="H259" i="8"/>
  <c r="G770" i="7"/>
  <c r="H276" i="8"/>
  <c r="G286" i="7"/>
  <c r="H881" i="8"/>
  <c r="H311" i="8"/>
  <c r="G274" i="7"/>
  <c r="G516" i="7"/>
  <c r="G904" i="7"/>
  <c r="H768" i="8"/>
  <c r="H765" i="8"/>
  <c r="H139" i="8"/>
  <c r="G439" i="7"/>
  <c r="H697" i="8"/>
  <c r="G475" i="7"/>
  <c r="H719" i="8"/>
  <c r="G569" i="7"/>
  <c r="G894" i="7"/>
  <c r="G706" i="7"/>
  <c r="G131" i="7"/>
  <c r="H699" i="8"/>
  <c r="G448" i="7"/>
  <c r="G811" i="7"/>
  <c r="G560" i="7"/>
  <c r="G825" i="7"/>
  <c r="G634" i="7"/>
  <c r="G938" i="7"/>
  <c r="H617" i="8"/>
  <c r="H85" i="8"/>
  <c r="H889" i="8"/>
  <c r="H537" i="8"/>
  <c r="H681" i="8"/>
  <c r="G572" i="7"/>
  <c r="H776" i="8"/>
  <c r="G802" i="7"/>
  <c r="H474" i="8"/>
  <c r="H785" i="8"/>
  <c r="G48" i="7"/>
  <c r="H788" i="8"/>
  <c r="H327" i="8"/>
  <c r="H263" i="8"/>
  <c r="H718" i="8"/>
  <c r="G426" i="7"/>
  <c r="H596" i="8"/>
  <c r="G717" i="7"/>
  <c r="H224" i="8"/>
  <c r="H640" i="8"/>
  <c r="G51" i="7"/>
  <c r="H671" i="8"/>
  <c r="G592" i="7"/>
  <c r="G459" i="7"/>
  <c r="G121" i="7"/>
  <c r="G146" i="7"/>
  <c r="H554" i="8"/>
  <c r="H526" i="8"/>
  <c r="H203" i="8"/>
  <c r="G308" i="7"/>
  <c r="H400" i="8"/>
  <c r="H743" i="8"/>
  <c r="G793" i="7"/>
  <c r="H449" i="8"/>
  <c r="G232" i="7"/>
  <c r="G63" i="7"/>
  <c r="G206" i="7"/>
  <c r="G50" i="7"/>
  <c r="G225" i="7"/>
  <c r="G238" i="7"/>
  <c r="H328" i="8"/>
  <c r="H817" i="8"/>
  <c r="H347" i="8"/>
  <c r="H458" i="8"/>
  <c r="G440" i="7"/>
  <c r="H45" i="8"/>
  <c r="G689" i="7"/>
  <c r="G501" i="7"/>
  <c r="H853" i="8"/>
  <c r="G449" i="7"/>
  <c r="G387" i="7"/>
  <c r="G579" i="7"/>
  <c r="H12" i="8"/>
  <c r="G363" i="7"/>
  <c r="H752" i="8"/>
  <c r="G186" i="7"/>
  <c r="G839" i="7"/>
  <c r="G701" i="7"/>
  <c r="G965" i="7"/>
  <c r="G438" i="7"/>
  <c r="H771" i="8"/>
  <c r="H100" i="8"/>
  <c r="G600" i="7"/>
  <c r="G580" i="7"/>
  <c r="H864" i="8"/>
  <c r="H111" i="8"/>
  <c r="G955" i="7"/>
  <c r="G101" i="7"/>
  <c r="H880" i="8"/>
  <c r="G917" i="7"/>
  <c r="G275" i="7"/>
  <c r="G729" i="7"/>
  <c r="H363" i="8"/>
  <c r="H994" i="8"/>
  <c r="G24" i="7"/>
  <c r="H951" i="8"/>
  <c r="G56" i="7"/>
  <c r="H624" i="8"/>
  <c r="H427" i="8"/>
  <c r="G861" i="7"/>
  <c r="H890" i="8"/>
  <c r="H1001" i="8"/>
  <c r="G540" i="7"/>
  <c r="H992" i="8"/>
  <c r="G423" i="7"/>
  <c r="H812" i="8"/>
  <c r="G454" i="7"/>
  <c r="G241" i="7"/>
  <c r="G576" i="7"/>
  <c r="G82" i="7"/>
  <c r="H44" i="8"/>
  <c r="G169" i="7"/>
  <c r="H937" i="8"/>
  <c r="H204" i="8"/>
  <c r="H505" i="8"/>
  <c r="G317" i="7"/>
  <c r="G103" i="7"/>
  <c r="H210" i="8"/>
  <c r="H522" i="8"/>
  <c r="H1006" i="8"/>
  <c r="H882" i="8"/>
  <c r="G534" i="7"/>
  <c r="G561" i="7"/>
  <c r="G595" i="7"/>
  <c r="G982" i="7"/>
  <c r="H756" i="8"/>
  <c r="G152" i="7"/>
  <c r="G721" i="7"/>
  <c r="H88" i="8"/>
  <c r="G908" i="7"/>
  <c r="H990" i="8"/>
  <c r="H849" i="8"/>
  <c r="H518" i="8"/>
  <c r="H303" i="8"/>
  <c r="G872" i="7"/>
  <c r="G903" i="7"/>
  <c r="G485" i="7"/>
  <c r="H496" i="8"/>
  <c r="G929" i="7"/>
  <c r="H248" i="8"/>
  <c r="G165" i="7"/>
  <c r="H354" i="8"/>
  <c r="G412" i="7"/>
  <c r="H559" i="8"/>
  <c r="G648" i="7"/>
  <c r="G837" i="7"/>
  <c r="G641" i="7"/>
  <c r="H470" i="8"/>
  <c r="H376" i="8"/>
  <c r="G158" i="7"/>
  <c r="G869" i="7"/>
  <c r="G355" i="7"/>
  <c r="G129" i="7"/>
  <c r="G778" i="7"/>
  <c r="G394" i="7"/>
  <c r="H605" i="8"/>
  <c r="G927" i="7"/>
  <c r="H588" i="8"/>
  <c r="G44" i="7"/>
  <c r="G280" i="7"/>
  <c r="G645" i="7"/>
  <c r="G486" i="7"/>
  <c r="G145" i="7"/>
  <c r="H137" i="8"/>
  <c r="H775" i="8"/>
  <c r="H443" i="8"/>
  <c r="G368" i="7"/>
  <c r="G804" i="7"/>
  <c r="G219" i="7"/>
  <c r="G753" i="7"/>
  <c r="H508" i="8"/>
  <c r="G263" i="7"/>
  <c r="G234" i="7"/>
  <c r="G683" i="7"/>
  <c r="H397" i="8"/>
  <c r="G993" i="7"/>
  <c r="G674" i="7"/>
  <c r="H794" i="8"/>
  <c r="G361" i="7"/>
  <c r="G981" i="7"/>
  <c r="H837" i="8"/>
  <c r="H846" i="8"/>
  <c r="G120" i="7"/>
  <c r="G992" i="7"/>
  <c r="H199" i="8"/>
  <c r="G22" i="7"/>
  <c r="H746" i="8"/>
  <c r="G284" i="7"/>
  <c r="H271" i="8"/>
  <c r="H153" i="8"/>
  <c r="H783" i="8"/>
  <c r="G577" i="7"/>
  <c r="H357" i="8"/>
  <c r="H171" i="8"/>
  <c r="G167" i="7"/>
  <c r="G75" i="7"/>
  <c r="G97" i="7"/>
  <c r="H180" i="8"/>
  <c r="H105" i="8"/>
  <c r="H459" i="8"/>
  <c r="H261" i="8"/>
  <c r="H631" i="8"/>
  <c r="G628" i="7"/>
  <c r="G359" i="7"/>
  <c r="H209" i="8"/>
  <c r="G554" i="7"/>
  <c r="H334" i="8"/>
  <c r="G756" i="7"/>
  <c r="H411" i="8"/>
  <c r="G83" i="7"/>
  <c r="G434" i="7"/>
  <c r="H378" i="8"/>
  <c r="G812" i="7"/>
  <c r="H563" i="8"/>
  <c r="H1005" i="8"/>
  <c r="G323" i="7"/>
  <c r="G447" i="7"/>
  <c r="H610" i="8"/>
  <c r="H161" i="8"/>
  <c r="H957" i="8"/>
  <c r="G680" i="7"/>
  <c r="G785" i="7"/>
  <c r="G72" i="7"/>
  <c r="G537" i="7"/>
  <c r="G379" i="7"/>
  <c r="G960" i="7"/>
  <c r="G874" i="7"/>
  <c r="G920" i="7"/>
  <c r="G461" i="7"/>
  <c r="G10" i="7"/>
  <c r="G190" i="7"/>
  <c r="G74" i="7"/>
  <c r="G672" i="7"/>
  <c r="G385" i="7"/>
  <c r="G781" i="7"/>
  <c r="G1001" i="7"/>
  <c r="H582" i="8"/>
  <c r="G766" i="7"/>
  <c r="H444" i="8"/>
  <c r="H277" i="8"/>
  <c r="H233" i="8"/>
  <c r="H789" i="8"/>
  <c r="H500" i="8"/>
  <c r="H805" i="8"/>
  <c r="G326" i="7"/>
  <c r="H122" i="8"/>
  <c r="H638" i="8"/>
  <c r="H877" i="8"/>
  <c r="H760" i="8"/>
  <c r="H622" i="8"/>
  <c r="H941" i="8"/>
  <c r="G910" i="7"/>
  <c r="H405" i="8"/>
  <c r="H349" i="8"/>
  <c r="G173" i="7"/>
  <c r="H571" i="8"/>
  <c r="H252" i="8"/>
  <c r="H773" i="8"/>
  <c r="G860" i="7"/>
  <c r="H796" i="8"/>
  <c r="H558" i="8"/>
  <c r="H908" i="8"/>
  <c r="G512" i="7"/>
  <c r="G70" i="7"/>
  <c r="G218" i="7"/>
  <c r="G410" i="7"/>
  <c r="G62" i="7"/>
  <c r="G548" i="7"/>
  <c r="G492" i="7"/>
  <c r="H68" i="8"/>
  <c r="G441" i="7"/>
  <c r="H981" i="8"/>
  <c r="H438" i="8"/>
  <c r="H871" i="8"/>
  <c r="H647" i="8"/>
  <c r="G365" i="7"/>
  <c r="H162" i="8"/>
  <c r="G968" i="7"/>
  <c r="G835" i="7"/>
  <c r="G367" i="7"/>
  <c r="H782" i="8"/>
  <c r="G249" i="7"/>
  <c r="H455" i="8"/>
  <c r="G265" i="7"/>
  <c r="G928" i="7"/>
  <c r="H200" i="8"/>
  <c r="H491" i="8"/>
  <c r="H737" i="8"/>
  <c r="H386" i="8"/>
  <c r="H408" i="8"/>
  <c r="H602" i="8"/>
  <c r="H946" i="8"/>
  <c r="G415" i="7"/>
  <c r="H241" i="8"/>
  <c r="G693" i="7"/>
  <c r="H40" i="8"/>
  <c r="G939" i="7"/>
  <c r="G967" i="7"/>
  <c r="H421" i="8"/>
  <c r="G681" i="7"/>
  <c r="G126" i="7"/>
  <c r="H493" i="8"/>
  <c r="G558" i="7"/>
  <c r="H43" i="8"/>
  <c r="H83" i="8"/>
  <c r="H381" i="8"/>
  <c r="H741" i="8"/>
  <c r="H71" i="8"/>
  <c r="G604" i="7"/>
  <c r="G973" i="7"/>
  <c r="G824" i="7"/>
  <c r="H761" i="8"/>
  <c r="H190" i="8"/>
  <c r="H341" i="8"/>
  <c r="H806" i="8"/>
  <c r="G791" i="7"/>
  <c r="H422" i="8"/>
  <c r="G718" i="7"/>
  <c r="H714" i="8"/>
  <c r="H352" i="8"/>
  <c r="H260" i="8"/>
  <c r="H184" i="8"/>
  <c r="H377" i="8"/>
  <c r="G745" i="7"/>
  <c r="G836" i="7"/>
  <c r="G506" i="7"/>
  <c r="G945" i="7"/>
  <c r="G310" i="7"/>
  <c r="G949" i="7"/>
  <c r="G697" i="7"/>
  <c r="G761" i="7"/>
  <c r="G608" i="7"/>
  <c r="H867" i="8"/>
  <c r="H118" i="8"/>
  <c r="G921" i="7"/>
  <c r="G646" i="7"/>
  <c r="H980" i="8"/>
  <c r="G244" i="7"/>
  <c r="H501" i="8"/>
  <c r="H534" i="8"/>
  <c r="G607" i="7"/>
  <c r="G893" i="7"/>
  <c r="H826" i="8"/>
  <c r="G682" i="7"/>
  <c r="H855" i="8"/>
  <c r="H910" i="8"/>
  <c r="G370" i="7"/>
  <c r="G290" i="7"/>
  <c r="H269" i="8"/>
  <c r="G666" i="7"/>
  <c r="G306" i="7"/>
  <c r="H678" i="8"/>
  <c r="H50" i="8"/>
  <c r="G413" i="7"/>
  <c r="H706" i="8"/>
  <c r="G521" i="7"/>
  <c r="G61" i="7"/>
  <c r="G138" i="7"/>
  <c r="G691" i="7"/>
  <c r="G530" i="7"/>
  <c r="H949" i="8"/>
  <c r="G822" i="7"/>
  <c r="H772" i="8"/>
  <c r="G780" i="7"/>
  <c r="H542" i="8"/>
  <c r="H70" i="8"/>
  <c r="H565" i="8"/>
  <c r="H830" i="8"/>
  <c r="H974" i="8"/>
  <c r="H254" i="8"/>
  <c r="G518" i="7"/>
  <c r="H950" i="8"/>
  <c r="G498" i="7"/>
  <c r="G502" i="7"/>
  <c r="H811" i="8"/>
  <c r="H295" i="8"/>
  <c r="H694" i="8"/>
  <c r="G977" i="7"/>
  <c r="G187" i="7"/>
  <c r="G14" i="7"/>
  <c r="H225" i="8"/>
  <c r="H95" i="8"/>
  <c r="H147" i="8"/>
  <c r="H374" i="8"/>
  <c r="G38" i="7"/>
  <c r="G495" i="7"/>
  <c r="H625" i="8"/>
  <c r="H195" i="8"/>
  <c r="G673" i="7"/>
  <c r="G205" i="7"/>
  <c r="H331" i="8"/>
  <c r="H176" i="8"/>
  <c r="H639" i="8"/>
  <c r="G337" i="7"/>
  <c r="H420" i="8"/>
  <c r="G759" i="7"/>
  <c r="G342" i="7"/>
  <c r="G819" i="7"/>
  <c r="G829" i="7"/>
  <c r="H552" i="8"/>
  <c r="H799" i="8"/>
  <c r="H556" i="8"/>
  <c r="H935" i="8"/>
  <c r="G934" i="7"/>
  <c r="H925" i="8"/>
  <c r="G443" i="7"/>
  <c r="H113" i="8"/>
  <c r="H587" i="8"/>
  <c r="G46" i="7"/>
  <c r="H548" i="8"/>
  <c r="H595" i="8"/>
  <c r="H603" i="8"/>
  <c r="H21" i="8"/>
  <c r="H875" i="8"/>
  <c r="G854" i="7"/>
  <c r="H679" i="8"/>
  <c r="H478" i="8"/>
  <c r="H319" i="8"/>
  <c r="G482" i="7"/>
  <c r="H530" i="8"/>
  <c r="H683" i="8"/>
  <c r="H134" i="8"/>
  <c r="G127" i="7"/>
  <c r="G132" i="7"/>
  <c r="G414" i="7"/>
  <c r="H905" i="8"/>
  <c r="H879" i="8"/>
  <c r="H787" i="8"/>
  <c r="G462" i="7"/>
  <c r="G884" i="7"/>
  <c r="G452" i="7"/>
  <c r="H832" i="8"/>
  <c r="G318" i="7"/>
  <c r="G388" i="7"/>
  <c r="H954" i="8"/>
  <c r="G593" i="7"/>
  <c r="H901" i="8"/>
  <c r="H360" i="8"/>
  <c r="G148" i="7"/>
  <c r="G980" i="7"/>
  <c r="G253" i="7"/>
  <c r="H48" i="8"/>
  <c r="G402" i="7"/>
  <c r="H11" i="8"/>
  <c r="H524" i="8"/>
  <c r="G53" i="7"/>
  <c r="H342" i="8"/>
  <c r="G937" i="7"/>
  <c r="H81" i="8"/>
  <c r="H178" i="8"/>
  <c r="H684" i="8"/>
  <c r="G816" i="7"/>
  <c r="H680" i="8"/>
  <c r="H136" i="8"/>
  <c r="G978" i="7"/>
  <c r="G228" i="7"/>
  <c r="G953" i="7"/>
  <c r="G36" i="7"/>
  <c r="G764" i="7"/>
  <c r="H480" i="8"/>
  <c r="H764" i="8"/>
  <c r="H182" i="8"/>
  <c r="G372" i="7"/>
  <c r="G134" i="7"/>
  <c r="H589" i="8"/>
  <c r="G690" i="7"/>
  <c r="H390" i="8"/>
  <c r="G630" i="7"/>
  <c r="G954" i="7"/>
  <c r="H513" i="8"/>
  <c r="G776" i="7"/>
  <c r="G699" i="7"/>
  <c r="H1004" i="8"/>
  <c r="G972" i="7"/>
  <c r="H938" i="8"/>
  <c r="G291" i="7"/>
  <c r="H330" i="8"/>
  <c r="G536" i="7"/>
  <c r="H292" i="8"/>
  <c r="G168" i="7"/>
  <c r="G713" i="7"/>
  <c r="H116" i="8"/>
  <c r="H14" i="2" l="1"/>
  <c r="M13" i="1" l="1"/>
  <c r="I12" i="9"/>
  <c r="I16" i="9"/>
  <c r="I20" i="9"/>
  <c r="I24" i="9"/>
  <c r="I13" i="9"/>
  <c r="I17" i="9"/>
  <c r="I21" i="9"/>
  <c r="I14" i="9"/>
  <c r="I18" i="9"/>
  <c r="I22" i="9"/>
  <c r="I11" i="9"/>
  <c r="I15" i="9"/>
  <c r="I19" i="9"/>
  <c r="I23" i="9"/>
  <c r="B11" i="1"/>
  <c r="B7" i="1"/>
  <c r="B10" i="1"/>
  <c r="I14" i="2"/>
  <c r="N13" i="1" s="1"/>
  <c r="J12" i="9" l="1"/>
  <c r="J16" i="9"/>
  <c r="J20" i="9"/>
  <c r="J24" i="9"/>
  <c r="J13" i="9"/>
  <c r="J17" i="9"/>
  <c r="J21" i="9"/>
  <c r="J14" i="9"/>
  <c r="J18" i="9"/>
  <c r="J22" i="9"/>
  <c r="J11" i="9"/>
  <c r="J15" i="9"/>
  <c r="J19" i="9"/>
  <c r="J23" i="9"/>
  <c r="G4" i="6"/>
  <c r="G8" i="6"/>
  <c r="G12" i="6"/>
  <c r="G7" i="6"/>
  <c r="G11" i="6"/>
  <c r="G15" i="6"/>
  <c r="G16" i="6"/>
  <c r="G6" i="6"/>
  <c r="G10" i="6"/>
  <c r="G5" i="6"/>
  <c r="G9" i="6"/>
  <c r="G13" i="6"/>
  <c r="G14" i="6"/>
  <c r="H11" i="1"/>
  <c r="B5" i="1"/>
  <c r="L12" i="9" l="1"/>
  <c r="K12" i="9"/>
  <c r="P13" i="9"/>
  <c r="P17" i="9"/>
  <c r="P21" i="9"/>
  <c r="O11" i="9"/>
  <c r="O15" i="9"/>
  <c r="O19" i="9"/>
  <c r="O23" i="9"/>
  <c r="N13" i="9"/>
  <c r="N17" i="9"/>
  <c r="N21" i="9"/>
  <c r="M11" i="9"/>
  <c r="M15" i="9"/>
  <c r="M19" i="9"/>
  <c r="M23" i="9"/>
  <c r="L13" i="9"/>
  <c r="L17" i="9"/>
  <c r="L21" i="9"/>
  <c r="K11" i="9"/>
  <c r="K15" i="9"/>
  <c r="K19" i="9"/>
  <c r="K23" i="9"/>
  <c r="P14" i="9"/>
  <c r="P18" i="9"/>
  <c r="P22" i="9"/>
  <c r="O12" i="9"/>
  <c r="O16" i="9"/>
  <c r="O20" i="9"/>
  <c r="O24" i="9"/>
  <c r="N14" i="9"/>
  <c r="N18" i="9"/>
  <c r="N22" i="9"/>
  <c r="M12" i="9"/>
  <c r="M16" i="9"/>
  <c r="M20" i="9"/>
  <c r="M24" i="9"/>
  <c r="L14" i="9"/>
  <c r="L22" i="9"/>
  <c r="K16" i="9"/>
  <c r="K24" i="9"/>
  <c r="L20" i="9"/>
  <c r="K14" i="9"/>
  <c r="K22" i="9"/>
  <c r="P11" i="9"/>
  <c r="P15" i="9"/>
  <c r="P19" i="9"/>
  <c r="P23" i="9"/>
  <c r="O13" i="9"/>
  <c r="O17" i="9"/>
  <c r="O21" i="9"/>
  <c r="N11" i="9"/>
  <c r="N15" i="9"/>
  <c r="N19" i="9"/>
  <c r="N23" i="9"/>
  <c r="M13" i="9"/>
  <c r="M17" i="9"/>
  <c r="M21" i="9"/>
  <c r="L11" i="9"/>
  <c r="L15" i="9"/>
  <c r="L19" i="9"/>
  <c r="L23" i="9"/>
  <c r="K13" i="9"/>
  <c r="K17" i="9"/>
  <c r="K21" i="9"/>
  <c r="P12" i="9"/>
  <c r="P16" i="9"/>
  <c r="P20" i="9"/>
  <c r="P24" i="9"/>
  <c r="O14" i="9"/>
  <c r="O18" i="9"/>
  <c r="O22" i="9"/>
  <c r="N12" i="9"/>
  <c r="N16" i="9"/>
  <c r="N20" i="9"/>
  <c r="N24" i="9"/>
  <c r="M14" i="9"/>
  <c r="M18" i="9"/>
  <c r="M22" i="9"/>
  <c r="L18" i="9"/>
  <c r="K20" i="9"/>
  <c r="L16" i="9"/>
  <c r="L24" i="9"/>
  <c r="K18" i="9"/>
  <c r="E11" i="1"/>
  <c r="B993" i="7"/>
  <c r="B565" i="7"/>
  <c r="B633" i="7"/>
  <c r="B966" i="7"/>
  <c r="B945" i="7"/>
  <c r="B600" i="7"/>
  <c r="B108" i="7"/>
  <c r="B125" i="7"/>
  <c r="B818" i="7"/>
  <c r="B642" i="7"/>
  <c r="B992" i="7"/>
  <c r="B973" i="7"/>
  <c r="B617" i="7"/>
  <c r="B930" i="7"/>
  <c r="B873" i="7"/>
  <c r="B754" i="7"/>
  <c r="B1001" i="7"/>
  <c r="B889" i="7"/>
  <c r="B376" i="7"/>
  <c r="B996" i="7"/>
  <c r="B965" i="7"/>
  <c r="B730" i="7"/>
  <c r="B817" i="7"/>
  <c r="B517" i="7"/>
  <c r="B257" i="7"/>
  <c r="B60" i="7"/>
  <c r="B140" i="7"/>
  <c r="B61" i="7"/>
  <c r="B150" i="7"/>
  <c r="B568" i="7"/>
  <c r="B649" i="7"/>
  <c r="B898" i="7"/>
  <c r="B729" i="7"/>
  <c r="B960" i="7"/>
  <c r="B974" i="7"/>
  <c r="B874" i="7"/>
  <c r="B786" i="7"/>
  <c r="B977" i="7"/>
  <c r="B184" i="7"/>
  <c r="B674" i="7"/>
  <c r="B405" i="7"/>
  <c r="B980" i="7"/>
  <c r="B997" i="7"/>
  <c r="B794" i="7"/>
  <c r="B881" i="7"/>
  <c r="B625" i="7"/>
  <c r="B344" i="7"/>
  <c r="B44" i="7"/>
  <c r="B124" i="7"/>
  <c r="B29" i="7"/>
  <c r="B954" i="7"/>
  <c r="B681" i="7"/>
  <c r="B905" i="7"/>
  <c r="B985" i="7"/>
  <c r="B857" i="7"/>
  <c r="B248" i="7"/>
  <c r="B1006" i="7"/>
  <c r="B938" i="7"/>
  <c r="B682" i="7"/>
  <c r="B769" i="7"/>
  <c r="B421" i="7"/>
  <c r="B8" i="7"/>
  <c r="B72" i="7"/>
  <c r="B136" i="7"/>
  <c r="B53" i="7"/>
  <c r="B173" i="7"/>
  <c r="B239" i="7"/>
  <c r="B90" i="7"/>
  <c r="B89" i="7"/>
  <c r="B261" i="7"/>
  <c r="B131" i="7"/>
  <c r="B218" i="7"/>
  <c r="B282" i="7"/>
  <c r="B346" i="7"/>
  <c r="B410" i="7"/>
  <c r="B474" i="7"/>
  <c r="B538" i="7"/>
  <c r="B14" i="7"/>
  <c r="B185" i="7"/>
  <c r="B180" i="7"/>
  <c r="B308" i="7"/>
  <c r="B436" i="7"/>
  <c r="B564" i="7"/>
  <c r="B307" i="7"/>
  <c r="B371" i="7"/>
  <c r="B435" i="7"/>
  <c r="B499" i="7"/>
  <c r="B227" i="7"/>
  <c r="B66" i="7"/>
  <c r="B41" i="7"/>
  <c r="B237" i="7"/>
  <c r="B107" i="7"/>
  <c r="B206" i="7"/>
  <c r="B270" i="7"/>
  <c r="B334" i="7"/>
  <c r="B398" i="7"/>
  <c r="B462" i="7"/>
  <c r="B526" i="7"/>
  <c r="B590" i="7"/>
  <c r="B97" i="7"/>
  <c r="B135" i="7"/>
  <c r="B284" i="7"/>
  <c r="B412" i="7"/>
  <c r="B540" i="7"/>
  <c r="B295" i="7"/>
  <c r="B359" i="7"/>
  <c r="B423" i="7"/>
  <c r="B487" i="7"/>
  <c r="B551" i="7"/>
  <c r="B615" i="7"/>
  <c r="B679" i="7"/>
  <c r="B743" i="7"/>
  <c r="B807" i="7"/>
  <c r="B871" i="7"/>
  <c r="B935" i="7"/>
  <c r="B656" i="7"/>
  <c r="B720" i="7"/>
  <c r="B784" i="7"/>
  <c r="B848" i="7"/>
  <c r="B912" i="7"/>
  <c r="B209" i="7"/>
  <c r="B320" i="7"/>
  <c r="B576" i="7"/>
  <c r="B377" i="7"/>
  <c r="B505" i="7"/>
  <c r="B995" i="7"/>
  <c r="B746" i="7"/>
  <c r="B833" i="7"/>
  <c r="B549" i="7"/>
  <c r="B127" i="7"/>
  <c r="B56" i="7"/>
  <c r="B120" i="7"/>
  <c r="B21" i="7"/>
  <c r="B149" i="7"/>
  <c r="B223" i="7"/>
  <c r="B58" i="7"/>
  <c r="B25" i="7"/>
  <c r="B229" i="7"/>
  <c r="B99" i="7"/>
  <c r="B202" i="7"/>
  <c r="B266" i="7"/>
  <c r="B330" i="7"/>
  <c r="B394" i="7"/>
  <c r="B458" i="7"/>
  <c r="B522" i="7"/>
  <c r="B586" i="7"/>
  <c r="B65" i="7"/>
  <c r="B119" i="7"/>
  <c r="B276" i="7"/>
  <c r="B404" i="7"/>
  <c r="B532" i="7"/>
  <c r="B291" i="7"/>
  <c r="B355" i="7"/>
  <c r="B419" i="7"/>
  <c r="B483" i="7"/>
  <c r="B211" i="7"/>
  <c r="B34" i="7"/>
  <c r="B162" i="7"/>
  <c r="B205" i="7"/>
  <c r="B75" i="7"/>
  <c r="B190" i="7"/>
  <c r="B254" i="7"/>
  <c r="B318" i="7"/>
  <c r="B382" i="7"/>
  <c r="B446" i="7"/>
  <c r="B510" i="7"/>
  <c r="B574" i="7"/>
  <c r="B158" i="7"/>
  <c r="B71" i="7"/>
  <c r="B252" i="7"/>
  <c r="B380" i="7"/>
  <c r="B508" i="7"/>
  <c r="B279" i="7"/>
  <c r="B343" i="7"/>
  <c r="B407" i="7"/>
  <c r="B471" i="7"/>
  <c r="B535" i="7"/>
  <c r="B599" i="7"/>
  <c r="B663" i="7"/>
  <c r="B727" i="7"/>
  <c r="B791" i="7"/>
  <c r="B855" i="7"/>
  <c r="B919" i="7"/>
  <c r="B640" i="7"/>
  <c r="B704" i="7"/>
  <c r="B768" i="7"/>
  <c r="B832" i="7"/>
  <c r="B896" i="7"/>
  <c r="B166" i="7"/>
  <c r="B256" i="7"/>
  <c r="B512" i="7"/>
  <c r="B345" i="7"/>
  <c r="B473" i="7"/>
  <c r="B601" i="7"/>
  <c r="B947" i="7"/>
  <c r="B822" i="7"/>
  <c r="B694" i="7"/>
  <c r="B909" i="7"/>
  <c r="B781" i="7"/>
  <c r="B653" i="7"/>
  <c r="B445" i="7"/>
  <c r="B456" i="7"/>
  <c r="B54" i="7"/>
  <c r="B563" i="7"/>
  <c r="B627" i="7"/>
  <c r="B691" i="7"/>
  <c r="B755" i="7"/>
  <c r="B819" i="7"/>
  <c r="B883" i="7"/>
  <c r="B604" i="7"/>
  <c r="B668" i="7"/>
  <c r="B732" i="7"/>
  <c r="B796" i="7"/>
  <c r="B860" i="7"/>
  <c r="B924" i="7"/>
  <c r="B47" i="7"/>
  <c r="B368" i="7"/>
  <c r="B273" i="7"/>
  <c r="B401" i="7"/>
  <c r="B529" i="7"/>
  <c r="B983" i="7"/>
  <c r="B894" i="7"/>
  <c r="B766" i="7"/>
  <c r="B638" i="7"/>
  <c r="B853" i="7"/>
  <c r="B725" i="7"/>
  <c r="B589" i="7"/>
  <c r="B333" i="7"/>
  <c r="B232" i="7"/>
  <c r="B914" i="7"/>
  <c r="B978" i="7"/>
  <c r="B309" i="7"/>
  <c r="B738" i="7"/>
  <c r="B533" i="7"/>
  <c r="B972" i="7"/>
  <c r="B950" i="7"/>
  <c r="B826" i="7"/>
  <c r="B913" i="7"/>
  <c r="B657" i="7"/>
  <c r="B472" i="7"/>
  <c r="B36" i="7"/>
  <c r="B100" i="7"/>
  <c r="B164" i="7"/>
  <c r="B109" i="7"/>
  <c r="B722" i="7"/>
  <c r="B944" i="7"/>
  <c r="B22" i="7"/>
  <c r="B706" i="7"/>
  <c r="B469" i="7"/>
  <c r="B984" i="7"/>
  <c r="B989" i="7"/>
  <c r="B778" i="7"/>
  <c r="B865" i="7"/>
  <c r="B609" i="7"/>
  <c r="B280" i="7"/>
  <c r="B48" i="7"/>
  <c r="B112" i="7"/>
  <c r="B176" i="7"/>
  <c r="B133" i="7"/>
  <c r="B215" i="7"/>
  <c r="B42" i="7"/>
  <c r="B170" i="7"/>
  <c r="B918" i="7"/>
  <c r="B790" i="7"/>
  <c r="B662" i="7"/>
  <c r="B877" i="7"/>
  <c r="B749" i="7"/>
  <c r="B621" i="7"/>
  <c r="B381" i="7"/>
  <c r="B328" i="7"/>
  <c r="B515" i="7"/>
  <c r="B579" i="7"/>
  <c r="B643" i="7"/>
  <c r="B707" i="7"/>
  <c r="B771" i="7"/>
  <c r="B835" i="7"/>
  <c r="B899" i="7"/>
  <c r="B620" i="7"/>
  <c r="B684" i="7"/>
  <c r="B748" i="7"/>
  <c r="B812" i="7"/>
  <c r="B876" i="7"/>
  <c r="B940" i="7"/>
  <c r="B175" i="7"/>
  <c r="B432" i="7"/>
  <c r="B305" i="7"/>
  <c r="B433" i="7"/>
  <c r="B561" i="7"/>
  <c r="B967" i="7"/>
  <c r="B862" i="7"/>
  <c r="B734" i="7"/>
  <c r="B606" i="7"/>
  <c r="B821" i="7"/>
  <c r="B693" i="7"/>
  <c r="B525" i="7"/>
  <c r="B269" i="7"/>
  <c r="B31" i="7"/>
  <c r="B658" i="7"/>
  <c r="B882" i="7"/>
  <c r="B986" i="7"/>
  <c r="B610" i="7"/>
  <c r="B277" i="7"/>
  <c r="B988" i="7"/>
  <c r="B981" i="7"/>
  <c r="B762" i="7"/>
  <c r="B849" i="7"/>
  <c r="B581" i="7"/>
  <c r="B216" i="7"/>
  <c r="B52" i="7"/>
  <c r="B116" i="7"/>
  <c r="B13" i="7"/>
  <c r="B141" i="7"/>
  <c r="B809" i="7"/>
  <c r="B690" i="7"/>
  <c r="B970" i="7"/>
  <c r="B921" i="7"/>
  <c r="B504" i="7"/>
  <c r="B1000" i="7"/>
  <c r="B957" i="7"/>
  <c r="B714" i="7"/>
  <c r="B801" i="7"/>
  <c r="B485" i="7"/>
  <c r="B81" i="7"/>
  <c r="B64" i="7"/>
  <c r="B128" i="7"/>
  <c r="B37" i="7"/>
  <c r="B157" i="7"/>
  <c r="B231" i="7"/>
  <c r="B74" i="7"/>
  <c r="B57" i="7"/>
  <c r="B245" i="7"/>
  <c r="B115" i="7"/>
  <c r="B210" i="7"/>
  <c r="B274" i="7"/>
  <c r="B338" i="7"/>
  <c r="B402" i="7"/>
  <c r="B466" i="7"/>
  <c r="B530" i="7"/>
  <c r="B594" i="7"/>
  <c r="B129" i="7"/>
  <c r="B151" i="7"/>
  <c r="B292" i="7"/>
  <c r="B420" i="7"/>
  <c r="B548" i="7"/>
  <c r="B299" i="7"/>
  <c r="B363" i="7"/>
  <c r="B427" i="7"/>
  <c r="B491" i="7"/>
  <c r="B219" i="7"/>
  <c r="B50" i="7"/>
  <c r="B9" i="7"/>
  <c r="B221" i="7"/>
  <c r="B198" i="7"/>
  <c r="B326" i="7"/>
  <c r="B454" i="7"/>
  <c r="B582" i="7"/>
  <c r="B103" i="7"/>
  <c r="B396" i="7"/>
  <c r="B287" i="7"/>
  <c r="B415" i="7"/>
  <c r="B543" i="7"/>
  <c r="B671" i="7"/>
  <c r="B799" i="7"/>
  <c r="B927" i="7"/>
  <c r="B213" i="7"/>
  <c r="B83" i="7"/>
  <c r="B194" i="7"/>
  <c r="B258" i="7"/>
  <c r="B322" i="7"/>
  <c r="B386" i="7"/>
  <c r="B450" i="7"/>
  <c r="B514" i="7"/>
  <c r="B578" i="7"/>
  <c r="B174" i="7"/>
  <c r="B87" i="7"/>
  <c r="B260" i="7"/>
  <c r="B388" i="7"/>
  <c r="B516" i="7"/>
  <c r="B283" i="7"/>
  <c r="B347" i="7"/>
  <c r="B411" i="7"/>
  <c r="B475" i="7"/>
  <c r="B203" i="7"/>
  <c r="B18" i="7"/>
  <c r="B146" i="7"/>
  <c r="B189" i="7"/>
  <c r="B155" i="7"/>
  <c r="B294" i="7"/>
  <c r="B422" i="7"/>
  <c r="B550" i="7"/>
  <c r="B233" i="7"/>
  <c r="B332" i="7"/>
  <c r="B588" i="7"/>
  <c r="B383" i="7"/>
  <c r="B511" i="7"/>
  <c r="B639" i="7"/>
  <c r="B767" i="7"/>
  <c r="B895" i="7"/>
  <c r="B680" i="7"/>
  <c r="B776" i="7"/>
  <c r="B904" i="7"/>
  <c r="B288" i="7"/>
  <c r="B361" i="7"/>
  <c r="B1003" i="7"/>
  <c r="B806" i="7"/>
  <c r="B893" i="7"/>
  <c r="B637" i="7"/>
  <c r="B253" i="7"/>
  <c r="B123" i="7"/>
  <c r="B214" i="7"/>
  <c r="B278" i="7"/>
  <c r="B342" i="7"/>
  <c r="B406" i="7"/>
  <c r="B470" i="7"/>
  <c r="B534" i="7"/>
  <c r="B598" i="7"/>
  <c r="B161" i="7"/>
  <c r="B167" i="7"/>
  <c r="B300" i="7"/>
  <c r="B428" i="7"/>
  <c r="B556" i="7"/>
  <c r="B303" i="7"/>
  <c r="B367" i="7"/>
  <c r="B431" i="7"/>
  <c r="B495" i="7"/>
  <c r="B559" i="7"/>
  <c r="B623" i="7"/>
  <c r="B687" i="7"/>
  <c r="B751" i="7"/>
  <c r="B815" i="7"/>
  <c r="B879" i="7"/>
  <c r="B943" i="7"/>
  <c r="B664" i="7"/>
  <c r="B808" i="7"/>
  <c r="B936" i="7"/>
  <c r="B416" i="7"/>
  <c r="B425" i="7"/>
  <c r="B971" i="7"/>
  <c r="B742" i="7"/>
  <c r="B829" i="7"/>
  <c r="B541" i="7"/>
  <c r="B696" i="7"/>
  <c r="B760" i="7"/>
  <c r="B824" i="7"/>
  <c r="B888" i="7"/>
  <c r="B102" i="7"/>
  <c r="B224" i="7"/>
  <c r="B480" i="7"/>
  <c r="B329" i="7"/>
  <c r="B457" i="7"/>
  <c r="B585" i="7"/>
  <c r="B955" i="7"/>
  <c r="B838" i="7"/>
  <c r="B710" i="7"/>
  <c r="B925" i="7"/>
  <c r="B797" i="7"/>
  <c r="B669" i="7"/>
  <c r="B477" i="7"/>
  <c r="B392" i="7"/>
  <c r="B507" i="7"/>
  <c r="B571" i="7"/>
  <c r="B635" i="7"/>
  <c r="B699" i="7"/>
  <c r="B763" i="7"/>
  <c r="B827" i="7"/>
  <c r="B891" i="7"/>
  <c r="B612" i="7"/>
  <c r="B676" i="7"/>
  <c r="B740" i="7"/>
  <c r="B804" i="7"/>
  <c r="B868" i="7"/>
  <c r="B932" i="7"/>
  <c r="B111" i="7"/>
  <c r="B400" i="7"/>
  <c r="B289" i="7"/>
  <c r="B264" i="7"/>
  <c r="B523" i="7"/>
  <c r="B587" i="7"/>
  <c r="B651" i="7"/>
  <c r="B715" i="7"/>
  <c r="B779" i="7"/>
  <c r="B843" i="7"/>
  <c r="B907" i="7"/>
  <c r="B628" i="7"/>
  <c r="B692" i="7"/>
  <c r="B756" i="7"/>
  <c r="B820" i="7"/>
  <c r="B884" i="7"/>
  <c r="B70" i="7"/>
  <c r="B208" i="7"/>
  <c r="B464" i="7"/>
  <c r="B321" i="7"/>
  <c r="B417" i="7"/>
  <c r="B545" i="7"/>
  <c r="B975" i="7"/>
  <c r="B878" i="7"/>
  <c r="B750" i="7"/>
  <c r="B622" i="7"/>
  <c r="B837" i="7"/>
  <c r="B677" i="7"/>
  <c r="B385" i="7"/>
  <c r="B513" i="7"/>
  <c r="B991" i="7"/>
  <c r="B910" i="7"/>
  <c r="B782" i="7"/>
  <c r="B654" i="7"/>
  <c r="B869" i="7"/>
  <c r="B613" i="7"/>
  <c r="B773" i="7"/>
  <c r="B645" i="7"/>
  <c r="B429" i="7"/>
  <c r="B296" i="7"/>
  <c r="B424" i="7"/>
  <c r="B92" i="7"/>
  <c r="B312" i="7"/>
  <c r="B802" i="7"/>
  <c r="B964" i="7"/>
  <c r="B858" i="7"/>
  <c r="B689" i="7"/>
  <c r="B28" i="7"/>
  <c r="B172" i="7"/>
  <c r="B937" i="7"/>
  <c r="B1002" i="7"/>
  <c r="B341" i="7"/>
  <c r="B841" i="7"/>
  <c r="B761" i="7"/>
  <c r="B948" i="7"/>
  <c r="B998" i="7"/>
  <c r="B922" i="7"/>
  <c r="B666" i="7"/>
  <c r="B753" i="7"/>
  <c r="B389" i="7"/>
  <c r="B12" i="7"/>
  <c r="B76" i="7"/>
  <c r="B156" i="7"/>
  <c r="B93" i="7"/>
  <c r="B850" i="7"/>
  <c r="B946" i="7"/>
  <c r="B440" i="7"/>
  <c r="B770" i="7"/>
  <c r="B597" i="7"/>
  <c r="B976" i="7"/>
  <c r="B1005" i="7"/>
  <c r="B810" i="7"/>
  <c r="B897" i="7"/>
  <c r="B641" i="7"/>
  <c r="B408" i="7"/>
  <c r="B40" i="7"/>
  <c r="B104" i="7"/>
  <c r="B168" i="7"/>
  <c r="B117" i="7"/>
  <c r="B207" i="7"/>
  <c r="B26" i="7"/>
  <c r="B154" i="7"/>
  <c r="B197" i="7"/>
  <c r="B67" i="7"/>
  <c r="B186" i="7"/>
  <c r="B250" i="7"/>
  <c r="B314" i="7"/>
  <c r="B378" i="7"/>
  <c r="B442" i="7"/>
  <c r="B506" i="7"/>
  <c r="B570" i="7"/>
  <c r="B142" i="7"/>
  <c r="B55" i="7"/>
  <c r="B244" i="7"/>
  <c r="B372" i="7"/>
  <c r="B500" i="7"/>
  <c r="B275" i="7"/>
  <c r="B339" i="7"/>
  <c r="B403" i="7"/>
  <c r="B467" i="7"/>
  <c r="B195" i="7"/>
  <c r="B259" i="7"/>
  <c r="B130" i="7"/>
  <c r="B169" i="7"/>
  <c r="B43" i="7"/>
  <c r="B171" i="7"/>
  <c r="B238" i="7"/>
  <c r="B302" i="7"/>
  <c r="B366" i="7"/>
  <c r="B430" i="7"/>
  <c r="B494" i="7"/>
  <c r="B558" i="7"/>
  <c r="B94" i="7"/>
  <c r="B263" i="7"/>
  <c r="B220" i="7"/>
  <c r="B348" i="7"/>
  <c r="B476" i="7"/>
  <c r="B602" i="7"/>
  <c r="B327" i="7"/>
  <c r="B391" i="7"/>
  <c r="B455" i="7"/>
  <c r="B519" i="7"/>
  <c r="B583" i="7"/>
  <c r="B647" i="7"/>
  <c r="B711" i="7"/>
  <c r="B775" i="7"/>
  <c r="B839" i="7"/>
  <c r="B903" i="7"/>
  <c r="B624" i="7"/>
  <c r="B688" i="7"/>
  <c r="B752" i="7"/>
  <c r="B816" i="7"/>
  <c r="B880" i="7"/>
  <c r="B38" i="7"/>
  <c r="B192" i="7"/>
  <c r="B448" i="7"/>
  <c r="B313" i="7"/>
  <c r="B441" i="7"/>
  <c r="B569" i="7"/>
  <c r="B963" i="7"/>
  <c r="B618" i="7"/>
  <c r="B705" i="7"/>
  <c r="B293" i="7"/>
  <c r="B24" i="7"/>
  <c r="B88" i="7"/>
  <c r="B152" i="7"/>
  <c r="B85" i="7"/>
  <c r="B191" i="7"/>
  <c r="B255" i="7"/>
  <c r="B122" i="7"/>
  <c r="B153" i="7"/>
  <c r="B35" i="7"/>
  <c r="B163" i="7"/>
  <c r="B234" i="7"/>
  <c r="B298" i="7"/>
  <c r="B362" i="7"/>
  <c r="B426" i="7"/>
  <c r="B490" i="7"/>
  <c r="B554" i="7"/>
  <c r="B78" i="7"/>
  <c r="B249" i="7"/>
  <c r="B212" i="7"/>
  <c r="B340" i="7"/>
  <c r="B468" i="7"/>
  <c r="B596" i="7"/>
  <c r="B323" i="7"/>
  <c r="B387" i="7"/>
  <c r="B451" i="7"/>
  <c r="B179" i="7"/>
  <c r="B243" i="7"/>
  <c r="B98" i="7"/>
  <c r="B105" i="7"/>
  <c r="B11" i="7"/>
  <c r="B139" i="7"/>
  <c r="B222" i="7"/>
  <c r="B286" i="7"/>
  <c r="B350" i="7"/>
  <c r="B414" i="7"/>
  <c r="B478" i="7"/>
  <c r="B542" i="7"/>
  <c r="B30" i="7"/>
  <c r="B201" i="7"/>
  <c r="B188" i="7"/>
  <c r="B316" i="7"/>
  <c r="B444" i="7"/>
  <c r="B572" i="7"/>
  <c r="B311" i="7"/>
  <c r="B375" i="7"/>
  <c r="B439" i="7"/>
  <c r="B503" i="7"/>
  <c r="B567" i="7"/>
  <c r="B631" i="7"/>
  <c r="B695" i="7"/>
  <c r="B759" i="7"/>
  <c r="B823" i="7"/>
  <c r="B887" i="7"/>
  <c r="B608" i="7"/>
  <c r="B672" i="7"/>
  <c r="B736" i="7"/>
  <c r="B800" i="7"/>
  <c r="B864" i="7"/>
  <c r="B928" i="7"/>
  <c r="B79" i="7"/>
  <c r="B384" i="7"/>
  <c r="B281" i="7"/>
  <c r="B409" i="7"/>
  <c r="B537" i="7"/>
  <c r="B979" i="7"/>
  <c r="B886" i="7"/>
  <c r="B758" i="7"/>
  <c r="B630" i="7"/>
  <c r="B845" i="7"/>
  <c r="B717" i="7"/>
  <c r="B573" i="7"/>
  <c r="B317" i="7"/>
  <c r="B200" i="7"/>
  <c r="B531" i="7"/>
  <c r="B595" i="7"/>
  <c r="B659" i="7"/>
  <c r="B723" i="7"/>
  <c r="B787" i="7"/>
  <c r="B851" i="7"/>
  <c r="B915" i="7"/>
  <c r="B636" i="7"/>
  <c r="B700" i="7"/>
  <c r="B764" i="7"/>
  <c r="B828" i="7"/>
  <c r="B892" i="7"/>
  <c r="B134" i="7"/>
  <c r="B240" i="7"/>
  <c r="B496" i="7"/>
  <c r="B337" i="7"/>
  <c r="B465" i="7"/>
  <c r="B593" i="7"/>
  <c r="B951" i="7"/>
  <c r="B830" i="7"/>
  <c r="B702" i="7"/>
  <c r="B917" i="7"/>
  <c r="B789" i="7"/>
  <c r="B661" i="7"/>
  <c r="B461" i="7"/>
  <c r="B488" i="7"/>
  <c r="B118" i="7"/>
  <c r="B745" i="7"/>
  <c r="B626" i="7"/>
  <c r="B969" i="7"/>
  <c r="B825" i="7"/>
  <c r="B63" i="7"/>
  <c r="B1004" i="7"/>
  <c r="B949" i="7"/>
  <c r="B698" i="7"/>
  <c r="B785" i="7"/>
  <c r="B453" i="7"/>
  <c r="B86" i="7"/>
  <c r="B68" i="7"/>
  <c r="B132" i="7"/>
  <c r="B45" i="7"/>
  <c r="B994" i="7"/>
  <c r="B501" i="7"/>
  <c r="B777" i="7"/>
  <c r="B953" i="7"/>
  <c r="B793" i="7"/>
  <c r="B952" i="7"/>
  <c r="B990" i="7"/>
  <c r="B906" i="7"/>
  <c r="B650" i="7"/>
  <c r="B737" i="7"/>
  <c r="B357" i="7"/>
  <c r="B16" i="7"/>
  <c r="B80" i="7"/>
  <c r="B144" i="7"/>
  <c r="B69" i="7"/>
  <c r="B183" i="7"/>
  <c r="B247" i="7"/>
  <c r="B106" i="7"/>
  <c r="B121" i="7"/>
  <c r="B854" i="7"/>
  <c r="B726" i="7"/>
  <c r="B941" i="7"/>
  <c r="B813" i="7"/>
  <c r="B685" i="7"/>
  <c r="B509" i="7"/>
  <c r="B584" i="7"/>
  <c r="B225" i="7"/>
  <c r="B547" i="7"/>
  <c r="B611" i="7"/>
  <c r="B675" i="7"/>
  <c r="B739" i="7"/>
  <c r="B803" i="7"/>
  <c r="B867" i="7"/>
  <c r="B931" i="7"/>
  <c r="B652" i="7"/>
  <c r="B716" i="7"/>
  <c r="B780" i="7"/>
  <c r="B844" i="7"/>
  <c r="B908" i="7"/>
  <c r="B177" i="7"/>
  <c r="B304" i="7"/>
  <c r="B560" i="7"/>
  <c r="B369" i="7"/>
  <c r="B497" i="7"/>
  <c r="B999" i="7"/>
  <c r="B926" i="7"/>
  <c r="B798" i="7"/>
  <c r="B670" i="7"/>
  <c r="B885" i="7"/>
  <c r="B757" i="7"/>
  <c r="B629" i="7"/>
  <c r="B397" i="7"/>
  <c r="B360" i="7"/>
  <c r="B962" i="7"/>
  <c r="B373" i="7"/>
  <c r="B713" i="7"/>
  <c r="B866" i="7"/>
  <c r="B697" i="7"/>
  <c r="B956" i="7"/>
  <c r="B982" i="7"/>
  <c r="B890" i="7"/>
  <c r="B634" i="7"/>
  <c r="B721" i="7"/>
  <c r="B325" i="7"/>
  <c r="B20" i="7"/>
  <c r="B84" i="7"/>
  <c r="B148" i="7"/>
  <c r="B77" i="7"/>
  <c r="B961" i="7"/>
  <c r="B193" i="7"/>
  <c r="B437" i="7"/>
  <c r="B834" i="7"/>
  <c r="B665" i="7"/>
  <c r="B968" i="7"/>
  <c r="B958" i="7"/>
  <c r="B842" i="7"/>
  <c r="B929" i="7"/>
  <c r="B673" i="7"/>
  <c r="B536" i="7"/>
  <c r="B32" i="7"/>
  <c r="B96" i="7"/>
  <c r="B160" i="7"/>
  <c r="B101" i="7"/>
  <c r="B199" i="7"/>
  <c r="B10" i="7"/>
  <c r="B138" i="7"/>
  <c r="B181" i="7"/>
  <c r="B51" i="7"/>
  <c r="B178" i="7"/>
  <c r="B242" i="7"/>
  <c r="B306" i="7"/>
  <c r="B370" i="7"/>
  <c r="B434" i="7"/>
  <c r="B498" i="7"/>
  <c r="B562" i="7"/>
  <c r="B110" i="7"/>
  <c r="B23" i="7"/>
  <c r="B228" i="7"/>
  <c r="B356" i="7"/>
  <c r="B484" i="7"/>
  <c r="B267" i="7"/>
  <c r="B331" i="7"/>
  <c r="B395" i="7"/>
  <c r="B459" i="7"/>
  <c r="B187" i="7"/>
  <c r="B251" i="7"/>
  <c r="B114" i="7"/>
  <c r="B137" i="7"/>
  <c r="B91" i="7"/>
  <c r="B262" i="7"/>
  <c r="B390" i="7"/>
  <c r="B518" i="7"/>
  <c r="B33" i="7"/>
  <c r="B268" i="7"/>
  <c r="B524" i="7"/>
  <c r="B351" i="7"/>
  <c r="B479" i="7"/>
  <c r="B607" i="7"/>
  <c r="B735" i="7"/>
  <c r="B863" i="7"/>
  <c r="B648" i="7"/>
  <c r="B19" i="7"/>
  <c r="B147" i="7"/>
  <c r="B226" i="7"/>
  <c r="B290" i="7"/>
  <c r="B354" i="7"/>
  <c r="B418" i="7"/>
  <c r="B482" i="7"/>
  <c r="B546" i="7"/>
  <c r="B46" i="7"/>
  <c r="B217" i="7"/>
  <c r="B196" i="7"/>
  <c r="B324" i="7"/>
  <c r="B452" i="7"/>
  <c r="B580" i="7"/>
  <c r="B315" i="7"/>
  <c r="B379" i="7"/>
  <c r="B443" i="7"/>
  <c r="B165" i="7"/>
  <c r="B235" i="7"/>
  <c r="B82" i="7"/>
  <c r="B73" i="7"/>
  <c r="B27" i="7"/>
  <c r="B230" i="7"/>
  <c r="B358" i="7"/>
  <c r="B486" i="7"/>
  <c r="B62" i="7"/>
  <c r="B204" i="7"/>
  <c r="B460" i="7"/>
  <c r="B319" i="7"/>
  <c r="B447" i="7"/>
  <c r="B575" i="7"/>
  <c r="B703" i="7"/>
  <c r="B831" i="7"/>
  <c r="B616" i="7"/>
  <c r="B712" i="7"/>
  <c r="B840" i="7"/>
  <c r="B113" i="7"/>
  <c r="B544" i="7"/>
  <c r="B489" i="7"/>
  <c r="B934" i="7"/>
  <c r="B678" i="7"/>
  <c r="B765" i="7"/>
  <c r="B413" i="7"/>
  <c r="B59" i="7"/>
  <c r="B182" i="7"/>
  <c r="B246" i="7"/>
  <c r="B310" i="7"/>
  <c r="B374" i="7"/>
  <c r="B438" i="7"/>
  <c r="B502" i="7"/>
  <c r="B566" i="7"/>
  <c r="B126" i="7"/>
  <c r="B39" i="7"/>
  <c r="B236" i="7"/>
  <c r="B364" i="7"/>
  <c r="B492" i="7"/>
  <c r="B271" i="7"/>
  <c r="B335" i="7"/>
  <c r="B399" i="7"/>
  <c r="B463" i="7"/>
  <c r="B527" i="7"/>
  <c r="B591" i="7"/>
  <c r="B655" i="7"/>
  <c r="B719" i="7"/>
  <c r="B783" i="7"/>
  <c r="B847" i="7"/>
  <c r="B911" i="7"/>
  <c r="B632" i="7"/>
  <c r="B744" i="7"/>
  <c r="B872" i="7"/>
  <c r="B143" i="7"/>
  <c r="B297" i="7"/>
  <c r="B553" i="7"/>
  <c r="B870" i="7"/>
  <c r="B614" i="7"/>
  <c r="B701" i="7"/>
  <c r="B285" i="7"/>
  <c r="B728" i="7"/>
  <c r="B792" i="7"/>
  <c r="B856" i="7"/>
  <c r="B920" i="7"/>
  <c r="B15" i="7"/>
  <c r="B352" i="7"/>
  <c r="B265" i="7"/>
  <c r="B393" i="7"/>
  <c r="B521" i="7"/>
  <c r="B987" i="7"/>
  <c r="B902" i="7"/>
  <c r="B774" i="7"/>
  <c r="B646" i="7"/>
  <c r="B861" i="7"/>
  <c r="B733" i="7"/>
  <c r="B605" i="7"/>
  <c r="B349" i="7"/>
  <c r="B95" i="7"/>
  <c r="B539" i="7"/>
  <c r="B603" i="7"/>
  <c r="B667" i="7"/>
  <c r="B731" i="7"/>
  <c r="B795" i="7"/>
  <c r="B859" i="7"/>
  <c r="B923" i="7"/>
  <c r="B644" i="7"/>
  <c r="B708" i="7"/>
  <c r="B772" i="7"/>
  <c r="B836" i="7"/>
  <c r="B900" i="7"/>
  <c r="B49" i="7"/>
  <c r="B272" i="7"/>
  <c r="B528" i="7"/>
  <c r="B520" i="7"/>
  <c r="B17" i="7"/>
  <c r="B555" i="7"/>
  <c r="B619" i="7"/>
  <c r="B683" i="7"/>
  <c r="B747" i="7"/>
  <c r="B811" i="7"/>
  <c r="B875" i="7"/>
  <c r="B939" i="7"/>
  <c r="B660" i="7"/>
  <c r="B724" i="7"/>
  <c r="B788" i="7"/>
  <c r="B852" i="7"/>
  <c r="B916" i="7"/>
  <c r="B241" i="7"/>
  <c r="B336" i="7"/>
  <c r="B592" i="7"/>
  <c r="B353" i="7"/>
  <c r="B481" i="7"/>
  <c r="B1007" i="7"/>
  <c r="B942" i="7"/>
  <c r="B814" i="7"/>
  <c r="B686" i="7"/>
  <c r="B901" i="7"/>
  <c r="B805" i="7"/>
  <c r="B493" i="7"/>
  <c r="B449" i="7"/>
  <c r="B577" i="7"/>
  <c r="B959" i="7"/>
  <c r="B846" i="7"/>
  <c r="B718" i="7"/>
  <c r="B933" i="7"/>
  <c r="B741" i="7"/>
  <c r="B365" i="7"/>
  <c r="B709" i="7"/>
  <c r="B557" i="7"/>
  <c r="B552" i="7"/>
  <c r="B145" i="7"/>
  <c r="B301" i="7"/>
  <c r="B159" i="7"/>
  <c r="E741" i="7" l="1"/>
  <c r="D741" i="7"/>
  <c r="C741" i="7"/>
  <c r="F741" i="7"/>
  <c r="F301" i="7"/>
  <c r="E301" i="7"/>
  <c r="C301" i="7"/>
  <c r="D301" i="7"/>
  <c r="D145" i="7"/>
  <c r="F145" i="7"/>
  <c r="C145" i="7"/>
  <c r="E145" i="7"/>
  <c r="C557" i="7"/>
  <c r="E557" i="7"/>
  <c r="D557" i="7"/>
  <c r="F557" i="7"/>
  <c r="E365" i="7"/>
  <c r="D365" i="7"/>
  <c r="C365" i="7"/>
  <c r="F365" i="7"/>
  <c r="C933" i="7"/>
  <c r="D933" i="7"/>
  <c r="E933" i="7"/>
  <c r="F933" i="7"/>
  <c r="C846" i="7"/>
  <c r="E846" i="7"/>
  <c r="F846" i="7"/>
  <c r="D846" i="7"/>
  <c r="C577" i="7"/>
  <c r="F577" i="7"/>
  <c r="E577" i="7"/>
  <c r="D577" i="7"/>
  <c r="E493" i="7"/>
  <c r="D493" i="7"/>
  <c r="F493" i="7"/>
  <c r="C493" i="7"/>
  <c r="F901" i="7"/>
  <c r="C901" i="7"/>
  <c r="E901" i="7"/>
  <c r="D901" i="7"/>
  <c r="D814" i="7"/>
  <c r="C814" i="7"/>
  <c r="F814" i="7"/>
  <c r="E814" i="7"/>
  <c r="E1007" i="7"/>
  <c r="F1007" i="7"/>
  <c r="D1007" i="7"/>
  <c r="C1007" i="7"/>
  <c r="D353" i="7"/>
  <c r="C353" i="7"/>
  <c r="F353" i="7"/>
  <c r="E353" i="7"/>
  <c r="F336" i="7"/>
  <c r="E336" i="7"/>
  <c r="C336" i="7"/>
  <c r="D336" i="7"/>
  <c r="F916" i="7"/>
  <c r="C916" i="7"/>
  <c r="E916" i="7"/>
  <c r="D916" i="7"/>
  <c r="F788" i="7"/>
  <c r="C788" i="7"/>
  <c r="E788" i="7"/>
  <c r="D788" i="7"/>
  <c r="F660" i="7"/>
  <c r="C660" i="7"/>
  <c r="D660" i="7"/>
  <c r="E660" i="7"/>
  <c r="F875" i="7"/>
  <c r="C875" i="7"/>
  <c r="E875" i="7"/>
  <c r="D875" i="7"/>
  <c r="F747" i="7"/>
  <c r="C747" i="7"/>
  <c r="D747" i="7"/>
  <c r="E747" i="7"/>
  <c r="F619" i="7"/>
  <c r="C619" i="7"/>
  <c r="D619" i="7"/>
  <c r="E619" i="7"/>
  <c r="E17" i="7"/>
  <c r="D17" i="7"/>
  <c r="F17" i="7"/>
  <c r="C17" i="7"/>
  <c r="D528" i="7"/>
  <c r="F528" i="7"/>
  <c r="C528" i="7"/>
  <c r="E528" i="7"/>
  <c r="D49" i="7"/>
  <c r="E49" i="7"/>
  <c r="F49" i="7"/>
  <c r="C49" i="7"/>
  <c r="E836" i="7"/>
  <c r="F836" i="7"/>
  <c r="D836" i="7"/>
  <c r="C836" i="7"/>
  <c r="E708" i="7"/>
  <c r="F708" i="7"/>
  <c r="D708" i="7"/>
  <c r="C708" i="7"/>
  <c r="D923" i="7"/>
  <c r="F923" i="7"/>
  <c r="E923" i="7"/>
  <c r="C923" i="7"/>
  <c r="E795" i="7"/>
  <c r="F795" i="7"/>
  <c r="D795" i="7"/>
  <c r="C795" i="7"/>
  <c r="E667" i="7"/>
  <c r="F667" i="7"/>
  <c r="D667" i="7"/>
  <c r="C667" i="7"/>
  <c r="D539" i="7"/>
  <c r="E539" i="7"/>
  <c r="F539" i="7"/>
  <c r="C539" i="7"/>
  <c r="E349" i="7"/>
  <c r="D349" i="7"/>
  <c r="C349" i="7"/>
  <c r="F349" i="7"/>
  <c r="F733" i="7"/>
  <c r="E733" i="7"/>
  <c r="C733" i="7"/>
  <c r="D733" i="7"/>
  <c r="E646" i="7"/>
  <c r="C646" i="7"/>
  <c r="D646" i="7"/>
  <c r="F646" i="7"/>
  <c r="C902" i="7"/>
  <c r="D902" i="7"/>
  <c r="E902" i="7"/>
  <c r="F902" i="7"/>
  <c r="F521" i="7"/>
  <c r="E521" i="7"/>
  <c r="D521" i="7"/>
  <c r="C521" i="7"/>
  <c r="C265" i="7"/>
  <c r="F265" i="7"/>
  <c r="E265" i="7"/>
  <c r="D265" i="7"/>
  <c r="D15" i="7"/>
  <c r="E15" i="7"/>
  <c r="C15" i="7"/>
  <c r="F15" i="7"/>
  <c r="C856" i="7"/>
  <c r="F856" i="7"/>
  <c r="E856" i="7"/>
  <c r="D856" i="7"/>
  <c r="C728" i="7"/>
  <c r="F728" i="7"/>
  <c r="D728" i="7"/>
  <c r="E728" i="7"/>
  <c r="C701" i="7"/>
  <c r="F701" i="7"/>
  <c r="E701" i="7"/>
  <c r="D701" i="7"/>
  <c r="D870" i="7"/>
  <c r="E870" i="7"/>
  <c r="F870" i="7"/>
  <c r="C870" i="7"/>
  <c r="C297" i="7"/>
  <c r="D297" i="7"/>
  <c r="E297" i="7"/>
  <c r="F297" i="7"/>
  <c r="C872" i="7"/>
  <c r="E872" i="7"/>
  <c r="D872" i="7"/>
  <c r="F872" i="7"/>
  <c r="C632" i="7"/>
  <c r="E632" i="7"/>
  <c r="D632" i="7"/>
  <c r="F632" i="7"/>
  <c r="C847" i="7"/>
  <c r="F847" i="7"/>
  <c r="E847" i="7"/>
  <c r="D847" i="7"/>
  <c r="C719" i="7"/>
  <c r="F719" i="7"/>
  <c r="E719" i="7"/>
  <c r="D719" i="7"/>
  <c r="C591" i="7"/>
  <c r="F591" i="7"/>
  <c r="E591" i="7"/>
  <c r="D591" i="7"/>
  <c r="C463" i="7"/>
  <c r="E463" i="7"/>
  <c r="D463" i="7"/>
  <c r="F463" i="7"/>
  <c r="C335" i="7"/>
  <c r="E335" i="7"/>
  <c r="D335" i="7"/>
  <c r="F335" i="7"/>
  <c r="C492" i="7"/>
  <c r="F492" i="7"/>
  <c r="D492" i="7"/>
  <c r="E492" i="7"/>
  <c r="C236" i="7"/>
  <c r="E236" i="7"/>
  <c r="D236" i="7"/>
  <c r="F236" i="7"/>
  <c r="D126" i="7"/>
  <c r="C126" i="7"/>
  <c r="F126" i="7"/>
  <c r="E126" i="7"/>
  <c r="C502" i="7"/>
  <c r="D502" i="7"/>
  <c r="F502" i="7"/>
  <c r="E502" i="7"/>
  <c r="E374" i="7"/>
  <c r="F374" i="7"/>
  <c r="D374" i="7"/>
  <c r="C374" i="7"/>
  <c r="F246" i="7"/>
  <c r="D246" i="7"/>
  <c r="E246" i="7"/>
  <c r="C246" i="7"/>
  <c r="C59" i="7"/>
  <c r="D59" i="7"/>
  <c r="F59" i="7"/>
  <c r="E59" i="7"/>
  <c r="C765" i="7"/>
  <c r="F765" i="7"/>
  <c r="E765" i="7"/>
  <c r="D765" i="7"/>
  <c r="F934" i="7"/>
  <c r="C934" i="7"/>
  <c r="D934" i="7"/>
  <c r="E934" i="7"/>
  <c r="C544" i="7"/>
  <c r="D544" i="7"/>
  <c r="E544" i="7"/>
  <c r="F544" i="7"/>
  <c r="C840" i="7"/>
  <c r="E840" i="7"/>
  <c r="D840" i="7"/>
  <c r="F840" i="7"/>
  <c r="C616" i="7"/>
  <c r="D616" i="7"/>
  <c r="E616" i="7"/>
  <c r="F616" i="7"/>
  <c r="C703" i="7"/>
  <c r="E703" i="7"/>
  <c r="F703" i="7"/>
  <c r="D703" i="7"/>
  <c r="C447" i="7"/>
  <c r="D447" i="7"/>
  <c r="E447" i="7"/>
  <c r="F447" i="7"/>
  <c r="C460" i="7"/>
  <c r="D460" i="7"/>
  <c r="E460" i="7"/>
  <c r="F460" i="7"/>
  <c r="D62" i="7"/>
  <c r="E62" i="7"/>
  <c r="C62" i="7"/>
  <c r="F62" i="7"/>
  <c r="E358" i="7"/>
  <c r="D358" i="7"/>
  <c r="F358" i="7"/>
  <c r="C358" i="7"/>
  <c r="E27" i="7"/>
  <c r="F27" i="7"/>
  <c r="C27" i="7"/>
  <c r="D27" i="7"/>
  <c r="E82" i="7"/>
  <c r="C82" i="7"/>
  <c r="D82" i="7"/>
  <c r="F82" i="7"/>
  <c r="E165" i="7"/>
  <c r="C165" i="7"/>
  <c r="D165" i="7"/>
  <c r="F165" i="7"/>
  <c r="E379" i="7"/>
  <c r="F379" i="7"/>
  <c r="C379" i="7"/>
  <c r="D379" i="7"/>
  <c r="F580" i="7"/>
  <c r="E580" i="7"/>
  <c r="C580" i="7"/>
  <c r="D580" i="7"/>
  <c r="C324" i="7"/>
  <c r="E324" i="7"/>
  <c r="F324" i="7"/>
  <c r="D324" i="7"/>
  <c r="C217" i="7"/>
  <c r="E217" i="7"/>
  <c r="F217" i="7"/>
  <c r="D217" i="7"/>
  <c r="C546" i="7"/>
  <c r="D546" i="7"/>
  <c r="F546" i="7"/>
  <c r="E546" i="7"/>
  <c r="C418" i="7"/>
  <c r="D418" i="7"/>
  <c r="F418" i="7"/>
  <c r="E418" i="7"/>
  <c r="C290" i="7"/>
  <c r="F290" i="7"/>
  <c r="E290" i="7"/>
  <c r="D290" i="7"/>
  <c r="C147" i="7"/>
  <c r="D147" i="7"/>
  <c r="F147" i="7"/>
  <c r="E147" i="7"/>
  <c r="C648" i="7"/>
  <c r="D648" i="7"/>
  <c r="E648" i="7"/>
  <c r="F648" i="7"/>
  <c r="C735" i="7"/>
  <c r="E735" i="7"/>
  <c r="F735" i="7"/>
  <c r="D735" i="7"/>
  <c r="C479" i="7"/>
  <c r="D479" i="7"/>
  <c r="E479" i="7"/>
  <c r="F479" i="7"/>
  <c r="C524" i="7"/>
  <c r="E524" i="7"/>
  <c r="D524" i="7"/>
  <c r="F524" i="7"/>
  <c r="C33" i="7"/>
  <c r="F33" i="7"/>
  <c r="D33" i="7"/>
  <c r="E33" i="7"/>
  <c r="E390" i="7"/>
  <c r="D390" i="7"/>
  <c r="F390" i="7"/>
  <c r="C390" i="7"/>
  <c r="E91" i="7"/>
  <c r="F91" i="7"/>
  <c r="C91" i="7"/>
  <c r="D91" i="7"/>
  <c r="E114" i="7"/>
  <c r="F114" i="7"/>
  <c r="D114" i="7"/>
  <c r="C114" i="7"/>
  <c r="E187" i="7"/>
  <c r="F187" i="7"/>
  <c r="D187" i="7"/>
  <c r="C187" i="7"/>
  <c r="E395" i="7"/>
  <c r="D395" i="7"/>
  <c r="F395" i="7"/>
  <c r="C395" i="7"/>
  <c r="E267" i="7"/>
  <c r="D267" i="7"/>
  <c r="F267" i="7"/>
  <c r="C267" i="7"/>
  <c r="F356" i="7"/>
  <c r="C356" i="7"/>
  <c r="D356" i="7"/>
  <c r="E356" i="7"/>
  <c r="E23" i="7"/>
  <c r="C23" i="7"/>
  <c r="F23" i="7"/>
  <c r="D23" i="7"/>
  <c r="E562" i="7"/>
  <c r="C562" i="7"/>
  <c r="F562" i="7"/>
  <c r="D562" i="7"/>
  <c r="E434" i="7"/>
  <c r="C434" i="7"/>
  <c r="F434" i="7"/>
  <c r="D434" i="7"/>
  <c r="D306" i="7"/>
  <c r="C306" i="7"/>
  <c r="E306" i="7"/>
  <c r="F306" i="7"/>
  <c r="D178" i="7"/>
  <c r="C178" i="7"/>
  <c r="F178" i="7"/>
  <c r="E178" i="7"/>
  <c r="E181" i="7"/>
  <c r="D181" i="7"/>
  <c r="C181" i="7"/>
  <c r="F181" i="7"/>
  <c r="E10" i="7"/>
  <c r="C10" i="7"/>
  <c r="D10" i="7"/>
  <c r="F10" i="7"/>
  <c r="E101" i="7"/>
  <c r="D101" i="7"/>
  <c r="C101" i="7"/>
  <c r="F101" i="7"/>
  <c r="D96" i="7"/>
  <c r="E96" i="7"/>
  <c r="C96" i="7"/>
  <c r="F96" i="7"/>
  <c r="C536" i="7"/>
  <c r="F536" i="7"/>
  <c r="E536" i="7"/>
  <c r="D536" i="7"/>
  <c r="C929" i="7"/>
  <c r="F929" i="7"/>
  <c r="E929" i="7"/>
  <c r="D929" i="7"/>
  <c r="C958" i="7"/>
  <c r="E958" i="7"/>
  <c r="F958" i="7"/>
  <c r="D958" i="7"/>
  <c r="C665" i="7"/>
  <c r="D665" i="7"/>
  <c r="F665" i="7"/>
  <c r="E665" i="7"/>
  <c r="F437" i="7"/>
  <c r="E437" i="7"/>
  <c r="C437" i="7"/>
  <c r="D437" i="7"/>
  <c r="C961" i="7"/>
  <c r="D961" i="7"/>
  <c r="F961" i="7"/>
  <c r="E961" i="7"/>
  <c r="E148" i="7"/>
  <c r="D148" i="7"/>
  <c r="C148" i="7"/>
  <c r="F148" i="7"/>
  <c r="C20" i="7"/>
  <c r="E20" i="7"/>
  <c r="D20" i="7"/>
  <c r="F20" i="7"/>
  <c r="C721" i="7"/>
  <c r="D721" i="7"/>
  <c r="F721" i="7"/>
  <c r="E721" i="7"/>
  <c r="C890" i="7"/>
  <c r="F890" i="7"/>
  <c r="E890" i="7"/>
  <c r="D890" i="7"/>
  <c r="C956" i="7"/>
  <c r="D956" i="7"/>
  <c r="E956" i="7"/>
  <c r="F956" i="7"/>
  <c r="E866" i="7"/>
  <c r="F866" i="7"/>
  <c r="C866" i="7"/>
  <c r="D866" i="7"/>
  <c r="F373" i="7"/>
  <c r="E373" i="7"/>
  <c r="C373" i="7"/>
  <c r="D373" i="7"/>
  <c r="D360" i="7"/>
  <c r="E360" i="7"/>
  <c r="C360" i="7"/>
  <c r="F360" i="7"/>
  <c r="F629" i="7"/>
  <c r="E629" i="7"/>
  <c r="C629" i="7"/>
  <c r="D629" i="7"/>
  <c r="F885" i="7"/>
  <c r="E885" i="7"/>
  <c r="C885" i="7"/>
  <c r="D885" i="7"/>
  <c r="E798" i="7"/>
  <c r="D798" i="7"/>
  <c r="C798" i="7"/>
  <c r="F798" i="7"/>
  <c r="C999" i="7"/>
  <c r="F999" i="7"/>
  <c r="D999" i="7"/>
  <c r="E999" i="7"/>
  <c r="C369" i="7"/>
  <c r="D369" i="7"/>
  <c r="E369" i="7"/>
  <c r="F369" i="7"/>
  <c r="E304" i="7"/>
  <c r="C304" i="7"/>
  <c r="F304" i="7"/>
  <c r="D304" i="7"/>
  <c r="F908" i="7"/>
  <c r="D908" i="7"/>
  <c r="C908" i="7"/>
  <c r="E908" i="7"/>
  <c r="E780" i="7"/>
  <c r="D780" i="7"/>
  <c r="C780" i="7"/>
  <c r="F780" i="7"/>
  <c r="E652" i="7"/>
  <c r="D652" i="7"/>
  <c r="C652" i="7"/>
  <c r="F652" i="7"/>
  <c r="D867" i="7"/>
  <c r="E867" i="7"/>
  <c r="C867" i="7"/>
  <c r="F867" i="7"/>
  <c r="F739" i="7"/>
  <c r="D739" i="7"/>
  <c r="C739" i="7"/>
  <c r="E739" i="7"/>
  <c r="F611" i="7"/>
  <c r="D611" i="7"/>
  <c r="C611" i="7"/>
  <c r="E611" i="7"/>
  <c r="F225" i="7"/>
  <c r="C225" i="7"/>
  <c r="D225" i="7"/>
  <c r="E225" i="7"/>
  <c r="C509" i="7"/>
  <c r="D509" i="7"/>
  <c r="E509" i="7"/>
  <c r="F509" i="7"/>
  <c r="D813" i="7"/>
  <c r="C813" i="7"/>
  <c r="E813" i="7"/>
  <c r="F813" i="7"/>
  <c r="E726" i="7"/>
  <c r="D726" i="7"/>
  <c r="C726" i="7"/>
  <c r="F726" i="7"/>
  <c r="D121" i="7"/>
  <c r="F121" i="7"/>
  <c r="E121" i="7"/>
  <c r="C121" i="7"/>
  <c r="E247" i="7"/>
  <c r="D247" i="7"/>
  <c r="F247" i="7"/>
  <c r="C247" i="7"/>
  <c r="D69" i="7"/>
  <c r="F69" i="7"/>
  <c r="E69" i="7"/>
  <c r="C69" i="7"/>
  <c r="D80" i="7"/>
  <c r="F80" i="7"/>
  <c r="C80" i="7"/>
  <c r="E80" i="7"/>
  <c r="C357" i="7"/>
  <c r="D357" i="7"/>
  <c r="F357" i="7"/>
  <c r="E357" i="7"/>
  <c r="C650" i="7"/>
  <c r="D650" i="7"/>
  <c r="F650" i="7"/>
  <c r="E650" i="7"/>
  <c r="C990" i="7"/>
  <c r="D990" i="7"/>
  <c r="E990" i="7"/>
  <c r="F990" i="7"/>
  <c r="C793" i="7"/>
  <c r="E793" i="7"/>
  <c r="D793" i="7"/>
  <c r="F793" i="7"/>
  <c r="E777" i="7"/>
  <c r="F777" i="7"/>
  <c r="D777" i="7"/>
  <c r="C777" i="7"/>
  <c r="C994" i="7"/>
  <c r="F994" i="7"/>
  <c r="D994" i="7"/>
  <c r="E994" i="7"/>
  <c r="C132" i="7"/>
  <c r="F132" i="7"/>
  <c r="D132" i="7"/>
  <c r="E132" i="7"/>
  <c r="D86" i="7"/>
  <c r="F86" i="7"/>
  <c r="C86" i="7"/>
  <c r="E86" i="7"/>
  <c r="C785" i="7"/>
  <c r="E785" i="7"/>
  <c r="D785" i="7"/>
  <c r="F785" i="7"/>
  <c r="C949" i="7"/>
  <c r="E949" i="7"/>
  <c r="F949" i="7"/>
  <c r="D949" i="7"/>
  <c r="C63" i="7"/>
  <c r="F63" i="7"/>
  <c r="E63" i="7"/>
  <c r="D63" i="7"/>
  <c r="F969" i="7"/>
  <c r="D969" i="7"/>
  <c r="E969" i="7"/>
  <c r="C969" i="7"/>
  <c r="E745" i="7"/>
  <c r="F745" i="7"/>
  <c r="D745" i="7"/>
  <c r="C745" i="7"/>
  <c r="D488" i="7"/>
  <c r="E488" i="7"/>
  <c r="F488" i="7"/>
  <c r="C488" i="7"/>
  <c r="F661" i="7"/>
  <c r="D661" i="7"/>
  <c r="E661" i="7"/>
  <c r="C661" i="7"/>
  <c r="F917" i="7"/>
  <c r="D917" i="7"/>
  <c r="E917" i="7"/>
  <c r="C917" i="7"/>
  <c r="E830" i="7"/>
  <c r="F830" i="7"/>
  <c r="D830" i="7"/>
  <c r="C830" i="7"/>
  <c r="D593" i="7"/>
  <c r="F593" i="7"/>
  <c r="E593" i="7"/>
  <c r="C593" i="7"/>
  <c r="C337" i="7"/>
  <c r="D337" i="7"/>
  <c r="E337" i="7"/>
  <c r="F337" i="7"/>
  <c r="F240" i="7"/>
  <c r="E240" i="7"/>
  <c r="D240" i="7"/>
  <c r="C240" i="7"/>
  <c r="D892" i="7"/>
  <c r="F892" i="7"/>
  <c r="E892" i="7"/>
  <c r="C892" i="7"/>
  <c r="F764" i="7"/>
  <c r="D764" i="7"/>
  <c r="E764" i="7"/>
  <c r="C764" i="7"/>
  <c r="E636" i="7"/>
  <c r="F636" i="7"/>
  <c r="D636" i="7"/>
  <c r="C636" i="7"/>
  <c r="D851" i="7"/>
  <c r="F851" i="7"/>
  <c r="E851" i="7"/>
  <c r="C851" i="7"/>
  <c r="F723" i="7"/>
  <c r="E723" i="7"/>
  <c r="D723" i="7"/>
  <c r="C723" i="7"/>
  <c r="F595" i="7"/>
  <c r="E595" i="7"/>
  <c r="D595" i="7"/>
  <c r="C595" i="7"/>
  <c r="D200" i="7"/>
  <c r="F200" i="7"/>
  <c r="C200" i="7"/>
  <c r="E200" i="7"/>
  <c r="C573" i="7"/>
  <c r="D573" i="7"/>
  <c r="E573" i="7"/>
  <c r="F573" i="7"/>
  <c r="D845" i="7"/>
  <c r="F845" i="7"/>
  <c r="C845" i="7"/>
  <c r="E845" i="7"/>
  <c r="E758" i="7"/>
  <c r="F758" i="7"/>
  <c r="D758" i="7"/>
  <c r="C758" i="7"/>
  <c r="C979" i="7"/>
  <c r="E979" i="7"/>
  <c r="F979" i="7"/>
  <c r="D979" i="7"/>
  <c r="D409" i="7"/>
  <c r="E409" i="7"/>
  <c r="F409" i="7"/>
  <c r="C409" i="7"/>
  <c r="D384" i="7"/>
  <c r="C384" i="7"/>
  <c r="F384" i="7"/>
  <c r="E384" i="7"/>
  <c r="E928" i="7"/>
  <c r="D928" i="7"/>
  <c r="C928" i="7"/>
  <c r="F928" i="7"/>
  <c r="F800" i="7"/>
  <c r="C800" i="7"/>
  <c r="E800" i="7"/>
  <c r="D800" i="7"/>
  <c r="E672" i="7"/>
  <c r="C672" i="7"/>
  <c r="F672" i="7"/>
  <c r="D672" i="7"/>
  <c r="F887" i="7"/>
  <c r="C887" i="7"/>
  <c r="D887" i="7"/>
  <c r="E887" i="7"/>
  <c r="D759" i="7"/>
  <c r="C759" i="7"/>
  <c r="E759" i="7"/>
  <c r="F759" i="7"/>
  <c r="D631" i="7"/>
  <c r="C631" i="7"/>
  <c r="E631" i="7"/>
  <c r="F631" i="7"/>
  <c r="F503" i="7"/>
  <c r="C503" i="7"/>
  <c r="D503" i="7"/>
  <c r="E503" i="7"/>
  <c r="F375" i="7"/>
  <c r="C375" i="7"/>
  <c r="D375" i="7"/>
  <c r="E375" i="7"/>
  <c r="E572" i="7"/>
  <c r="C572" i="7"/>
  <c r="D572" i="7"/>
  <c r="F572" i="7"/>
  <c r="E316" i="7"/>
  <c r="C316" i="7"/>
  <c r="F316" i="7"/>
  <c r="D316" i="7"/>
  <c r="C201" i="7"/>
  <c r="E201" i="7"/>
  <c r="F201" i="7"/>
  <c r="D201" i="7"/>
  <c r="C542" i="7"/>
  <c r="E542" i="7"/>
  <c r="D542" i="7"/>
  <c r="F542" i="7"/>
  <c r="C414" i="7"/>
  <c r="E414" i="7"/>
  <c r="D414" i="7"/>
  <c r="F414" i="7"/>
  <c r="C286" i="7"/>
  <c r="F286" i="7"/>
  <c r="E286" i="7"/>
  <c r="D286" i="7"/>
  <c r="C139" i="7"/>
  <c r="E139" i="7"/>
  <c r="F139" i="7"/>
  <c r="D139" i="7"/>
  <c r="C105" i="7"/>
  <c r="D105" i="7"/>
  <c r="F105" i="7"/>
  <c r="E105" i="7"/>
  <c r="E243" i="7"/>
  <c r="C243" i="7"/>
  <c r="F243" i="7"/>
  <c r="D243" i="7"/>
  <c r="E451" i="7"/>
  <c r="C451" i="7"/>
  <c r="F451" i="7"/>
  <c r="D451" i="7"/>
  <c r="E323" i="7"/>
  <c r="C323" i="7"/>
  <c r="F323" i="7"/>
  <c r="D323" i="7"/>
  <c r="F468" i="7"/>
  <c r="C468" i="7"/>
  <c r="E468" i="7"/>
  <c r="D468" i="7"/>
  <c r="E212" i="7"/>
  <c r="C212" i="7"/>
  <c r="F212" i="7"/>
  <c r="D212" i="7"/>
  <c r="D78" i="7"/>
  <c r="E78" i="7"/>
  <c r="F78" i="7"/>
  <c r="C78" i="7"/>
  <c r="E490" i="7"/>
  <c r="C490" i="7"/>
  <c r="D490" i="7"/>
  <c r="F490" i="7"/>
  <c r="E362" i="7"/>
  <c r="C362" i="7"/>
  <c r="D362" i="7"/>
  <c r="F362" i="7"/>
  <c r="F234" i="7"/>
  <c r="C234" i="7"/>
  <c r="E234" i="7"/>
  <c r="D234" i="7"/>
  <c r="C35" i="7"/>
  <c r="E35" i="7"/>
  <c r="D35" i="7"/>
  <c r="F35" i="7"/>
  <c r="D122" i="7"/>
  <c r="E122" i="7"/>
  <c r="C122" i="7"/>
  <c r="F122" i="7"/>
  <c r="E191" i="7"/>
  <c r="D191" i="7"/>
  <c r="C191" i="7"/>
  <c r="F191" i="7"/>
  <c r="D152" i="7"/>
  <c r="E152" i="7"/>
  <c r="F152" i="7"/>
  <c r="C152" i="7"/>
  <c r="D24" i="7"/>
  <c r="E24" i="7"/>
  <c r="F24" i="7"/>
  <c r="C24" i="7"/>
  <c r="F705" i="7"/>
  <c r="C705" i="7"/>
  <c r="E705" i="7"/>
  <c r="D705" i="7"/>
  <c r="C963" i="7"/>
  <c r="F963" i="7"/>
  <c r="E963" i="7"/>
  <c r="D963" i="7"/>
  <c r="E441" i="7"/>
  <c r="D441" i="7"/>
  <c r="C441" i="7"/>
  <c r="F441" i="7"/>
  <c r="E448" i="7"/>
  <c r="D448" i="7"/>
  <c r="F448" i="7"/>
  <c r="C448" i="7"/>
  <c r="C38" i="7"/>
  <c r="E38" i="7"/>
  <c r="F38" i="7"/>
  <c r="D38" i="7"/>
  <c r="D816" i="7"/>
  <c r="E816" i="7"/>
  <c r="F816" i="7"/>
  <c r="C816" i="7"/>
  <c r="D688" i="7"/>
  <c r="E688" i="7"/>
  <c r="F688" i="7"/>
  <c r="C688" i="7"/>
  <c r="E903" i="7"/>
  <c r="F903" i="7"/>
  <c r="D903" i="7"/>
  <c r="C903" i="7"/>
  <c r="F775" i="7"/>
  <c r="D775" i="7"/>
  <c r="E775" i="7"/>
  <c r="C775" i="7"/>
  <c r="F647" i="7"/>
  <c r="D647" i="7"/>
  <c r="E647" i="7"/>
  <c r="C647" i="7"/>
  <c r="E519" i="7"/>
  <c r="F519" i="7"/>
  <c r="D519" i="7"/>
  <c r="C519" i="7"/>
  <c r="E391" i="7"/>
  <c r="F391" i="7"/>
  <c r="D391" i="7"/>
  <c r="C391" i="7"/>
  <c r="E602" i="7"/>
  <c r="D602" i="7"/>
  <c r="F602" i="7"/>
  <c r="C602" i="7"/>
  <c r="E348" i="7"/>
  <c r="F348" i="7"/>
  <c r="D348" i="7"/>
  <c r="C348" i="7"/>
  <c r="F263" i="7"/>
  <c r="C263" i="7"/>
  <c r="D263" i="7"/>
  <c r="E263" i="7"/>
  <c r="F558" i="7"/>
  <c r="C558" i="7"/>
  <c r="D558" i="7"/>
  <c r="E558" i="7"/>
  <c r="F430" i="7"/>
  <c r="C430" i="7"/>
  <c r="D430" i="7"/>
  <c r="E430" i="7"/>
  <c r="D302" i="7"/>
  <c r="C302" i="7"/>
  <c r="E302" i="7"/>
  <c r="F302" i="7"/>
  <c r="C171" i="7"/>
  <c r="E171" i="7"/>
  <c r="F171" i="7"/>
  <c r="D171" i="7"/>
  <c r="C169" i="7"/>
  <c r="D169" i="7"/>
  <c r="F169" i="7"/>
  <c r="E169" i="7"/>
  <c r="E259" i="7"/>
  <c r="F259" i="7"/>
  <c r="D259" i="7"/>
  <c r="C259" i="7"/>
  <c r="D467" i="7"/>
  <c r="E467" i="7"/>
  <c r="F467" i="7"/>
  <c r="C467" i="7"/>
  <c r="D339" i="7"/>
  <c r="E339" i="7"/>
  <c r="F339" i="7"/>
  <c r="C339" i="7"/>
  <c r="E500" i="7"/>
  <c r="F500" i="7"/>
  <c r="D500" i="7"/>
  <c r="C500" i="7"/>
  <c r="E244" i="7"/>
  <c r="F244" i="7"/>
  <c r="D244" i="7"/>
  <c r="C244" i="7"/>
  <c r="F142" i="7"/>
  <c r="D142" i="7"/>
  <c r="C142" i="7"/>
  <c r="E142" i="7"/>
  <c r="F506" i="7"/>
  <c r="E506" i="7"/>
  <c r="D506" i="7"/>
  <c r="C506" i="7"/>
  <c r="F378" i="7"/>
  <c r="E378" i="7"/>
  <c r="D378" i="7"/>
  <c r="C378" i="7"/>
  <c r="D250" i="7"/>
  <c r="E250" i="7"/>
  <c r="F250" i="7"/>
  <c r="C250" i="7"/>
  <c r="C67" i="7"/>
  <c r="F67" i="7"/>
  <c r="D67" i="7"/>
  <c r="E67" i="7"/>
  <c r="C154" i="7"/>
  <c r="D154" i="7"/>
  <c r="F154" i="7"/>
  <c r="E154" i="7"/>
  <c r="E207" i="7"/>
  <c r="C207" i="7"/>
  <c r="F207" i="7"/>
  <c r="D207" i="7"/>
  <c r="E168" i="7"/>
  <c r="D168" i="7"/>
  <c r="F168" i="7"/>
  <c r="C168" i="7"/>
  <c r="D40" i="7"/>
  <c r="E40" i="7"/>
  <c r="F40" i="7"/>
  <c r="C40" i="7"/>
  <c r="F641" i="7"/>
  <c r="E641" i="7"/>
  <c r="D641" i="7"/>
  <c r="C641" i="7"/>
  <c r="F810" i="7"/>
  <c r="E810" i="7"/>
  <c r="D810" i="7"/>
  <c r="C810" i="7"/>
  <c r="C976" i="7"/>
  <c r="E976" i="7"/>
  <c r="F976" i="7"/>
  <c r="D976" i="7"/>
  <c r="C770" i="7"/>
  <c r="E770" i="7"/>
  <c r="F770" i="7"/>
  <c r="D770" i="7"/>
  <c r="C946" i="7"/>
  <c r="D946" i="7"/>
  <c r="E946" i="7"/>
  <c r="F946" i="7"/>
  <c r="E93" i="7"/>
  <c r="C93" i="7"/>
  <c r="D93" i="7"/>
  <c r="F93" i="7"/>
  <c r="D76" i="7"/>
  <c r="C76" i="7"/>
  <c r="E76" i="7"/>
  <c r="F76" i="7"/>
  <c r="F389" i="7"/>
  <c r="E389" i="7"/>
  <c r="C389" i="7"/>
  <c r="D389" i="7"/>
  <c r="E666" i="7"/>
  <c r="D666" i="7"/>
  <c r="C666" i="7"/>
  <c r="F666" i="7"/>
  <c r="E998" i="7"/>
  <c r="D998" i="7"/>
  <c r="C998" i="7"/>
  <c r="F998" i="7"/>
  <c r="E761" i="7"/>
  <c r="D761" i="7"/>
  <c r="C761" i="7"/>
  <c r="F761" i="7"/>
  <c r="F36" i="8"/>
  <c r="F37" i="8"/>
  <c r="F26" i="8"/>
  <c r="F29" i="8"/>
  <c r="F41" i="8"/>
  <c r="F44" i="8"/>
  <c r="F10" i="8"/>
  <c r="F43" i="8"/>
  <c r="F11" i="8"/>
  <c r="F22" i="8"/>
  <c r="F34" i="8"/>
  <c r="F15" i="8"/>
  <c r="F31" i="8"/>
  <c r="F12" i="8"/>
  <c r="F45" i="8"/>
  <c r="F25" i="8"/>
  <c r="F24" i="8"/>
  <c r="F14" i="8"/>
  <c r="F23" i="8"/>
  <c r="F8" i="8"/>
  <c r="F18" i="8"/>
  <c r="F9" i="8"/>
  <c r="F47" i="8"/>
  <c r="F27" i="8"/>
  <c r="F39" i="8"/>
  <c r="F19" i="8"/>
  <c r="F48" i="8"/>
  <c r="F30" i="8"/>
  <c r="F33" i="8"/>
  <c r="F28" i="8"/>
  <c r="F38" i="8"/>
  <c r="F16" i="8"/>
  <c r="F21" i="8"/>
  <c r="F42" i="8"/>
  <c r="F13" i="8"/>
  <c r="F35" i="8"/>
  <c r="F20" i="8"/>
  <c r="F40" i="8"/>
  <c r="F46" i="8"/>
  <c r="F17" i="8"/>
  <c r="F32" i="8"/>
  <c r="C1002" i="7"/>
  <c r="D1002" i="7"/>
  <c r="F1002" i="7"/>
  <c r="E1002" i="7"/>
  <c r="D172" i="7"/>
  <c r="F172" i="7"/>
  <c r="E172" i="7"/>
  <c r="C172" i="7"/>
  <c r="E689" i="7"/>
  <c r="F689" i="7"/>
  <c r="D689" i="7"/>
  <c r="C689" i="7"/>
  <c r="F964" i="7"/>
  <c r="D964" i="7"/>
  <c r="E964" i="7"/>
  <c r="C964" i="7"/>
  <c r="C312" i="7"/>
  <c r="F312" i="7"/>
  <c r="E312" i="7"/>
  <c r="D312" i="7"/>
  <c r="E296" i="7"/>
  <c r="D296" i="7"/>
  <c r="F296" i="7"/>
  <c r="C296" i="7"/>
  <c r="C645" i="7"/>
  <c r="E645" i="7"/>
  <c r="D645" i="7"/>
  <c r="F645" i="7"/>
  <c r="E613" i="7"/>
  <c r="D613" i="7"/>
  <c r="C613" i="7"/>
  <c r="F613" i="7"/>
  <c r="C654" i="7"/>
  <c r="E654" i="7"/>
  <c r="F654" i="7"/>
  <c r="D654" i="7"/>
  <c r="C910" i="7"/>
  <c r="E910" i="7"/>
  <c r="F910" i="7"/>
  <c r="D910" i="7"/>
  <c r="E513" i="7"/>
  <c r="C513" i="7"/>
  <c r="F513" i="7"/>
  <c r="D513" i="7"/>
  <c r="E677" i="7"/>
  <c r="F677" i="7"/>
  <c r="D677" i="7"/>
  <c r="C677" i="7"/>
  <c r="D622" i="7"/>
  <c r="C622" i="7"/>
  <c r="F622" i="7"/>
  <c r="E622" i="7"/>
  <c r="D878" i="7"/>
  <c r="C878" i="7"/>
  <c r="F878" i="7"/>
  <c r="E878" i="7"/>
  <c r="D545" i="7"/>
  <c r="C545" i="7"/>
  <c r="E545" i="7"/>
  <c r="F545" i="7"/>
  <c r="F321" i="7"/>
  <c r="C321" i="7"/>
  <c r="D321" i="7"/>
  <c r="E321" i="7"/>
  <c r="C208" i="7"/>
  <c r="E208" i="7"/>
  <c r="F208" i="7"/>
  <c r="D208" i="7"/>
  <c r="D884" i="7"/>
  <c r="F884" i="7"/>
  <c r="E884" i="7"/>
  <c r="C884" i="7"/>
  <c r="F756" i="7"/>
  <c r="C756" i="7"/>
  <c r="E756" i="7"/>
  <c r="D756" i="7"/>
  <c r="F628" i="7"/>
  <c r="C628" i="7"/>
  <c r="D628" i="7"/>
  <c r="E628" i="7"/>
  <c r="F843" i="7"/>
  <c r="C843" i="7"/>
  <c r="D843" i="7"/>
  <c r="E843" i="7"/>
  <c r="F715" i="7"/>
  <c r="C715" i="7"/>
  <c r="D715" i="7"/>
  <c r="E715" i="7"/>
  <c r="F587" i="7"/>
  <c r="C587" i="7"/>
  <c r="D587" i="7"/>
  <c r="E587" i="7"/>
  <c r="D264" i="7"/>
  <c r="C264" i="7"/>
  <c r="E264" i="7"/>
  <c r="F264" i="7"/>
  <c r="E400" i="7"/>
  <c r="C400" i="7"/>
  <c r="F400" i="7"/>
  <c r="D400" i="7"/>
  <c r="E932" i="7"/>
  <c r="F932" i="7"/>
  <c r="D932" i="7"/>
  <c r="C932" i="7"/>
  <c r="E804" i="7"/>
  <c r="F804" i="7"/>
  <c r="D804" i="7"/>
  <c r="C804" i="7"/>
  <c r="E676" i="7"/>
  <c r="F676" i="7"/>
  <c r="D676" i="7"/>
  <c r="C676" i="7"/>
  <c r="D891" i="7"/>
  <c r="F891" i="7"/>
  <c r="E891" i="7"/>
  <c r="C891" i="7"/>
  <c r="E763" i="7"/>
  <c r="F763" i="7"/>
  <c r="D763" i="7"/>
  <c r="C763" i="7"/>
  <c r="E635" i="7"/>
  <c r="F635" i="7"/>
  <c r="D635" i="7"/>
  <c r="C635" i="7"/>
  <c r="D507" i="7"/>
  <c r="E507" i="7"/>
  <c r="F507" i="7"/>
  <c r="C507" i="7"/>
  <c r="E477" i="7"/>
  <c r="D477" i="7"/>
  <c r="C477" i="7"/>
  <c r="F477" i="7"/>
  <c r="F797" i="7"/>
  <c r="C797" i="7"/>
  <c r="D797" i="7"/>
  <c r="E797" i="7"/>
  <c r="E710" i="7"/>
  <c r="D710" i="7"/>
  <c r="C710" i="7"/>
  <c r="F710" i="7"/>
  <c r="E955" i="7"/>
  <c r="C955" i="7"/>
  <c r="D955" i="7"/>
  <c r="F955" i="7"/>
  <c r="C457" i="7"/>
  <c r="F457" i="7"/>
  <c r="D457" i="7"/>
  <c r="E457" i="7"/>
  <c r="C480" i="7"/>
  <c r="D480" i="7"/>
  <c r="E480" i="7"/>
  <c r="F480" i="7"/>
  <c r="D102" i="7"/>
  <c r="C102" i="7"/>
  <c r="F102" i="7"/>
  <c r="E102" i="7"/>
  <c r="C824" i="7"/>
  <c r="F824" i="7"/>
  <c r="D824" i="7"/>
  <c r="E824" i="7"/>
  <c r="C696" i="7"/>
  <c r="D696" i="7"/>
  <c r="E696" i="7"/>
  <c r="F696" i="7"/>
  <c r="C829" i="7"/>
  <c r="F829" i="7"/>
  <c r="E829" i="7"/>
  <c r="D829" i="7"/>
  <c r="E971" i="7"/>
  <c r="F971" i="7"/>
  <c r="D971" i="7"/>
  <c r="C971" i="7"/>
  <c r="C416" i="7"/>
  <c r="D416" i="7"/>
  <c r="F416" i="7"/>
  <c r="E416" i="7"/>
  <c r="C808" i="7"/>
  <c r="F808" i="7"/>
  <c r="D808" i="7"/>
  <c r="E808" i="7"/>
  <c r="C943" i="7"/>
  <c r="D943" i="7"/>
  <c r="F943" i="7"/>
  <c r="E943" i="7"/>
  <c r="C815" i="7"/>
  <c r="D815" i="7"/>
  <c r="F815" i="7"/>
  <c r="E815" i="7"/>
  <c r="C687" i="7"/>
  <c r="D687" i="7"/>
  <c r="F687" i="7"/>
  <c r="E687" i="7"/>
  <c r="C559" i="7"/>
  <c r="F559" i="7"/>
  <c r="E559" i="7"/>
  <c r="D559" i="7"/>
  <c r="C431" i="7"/>
  <c r="F431" i="7"/>
  <c r="E431" i="7"/>
  <c r="D431" i="7"/>
  <c r="C303" i="7"/>
  <c r="F303" i="7"/>
  <c r="E303" i="7"/>
  <c r="D303" i="7"/>
  <c r="C428" i="7"/>
  <c r="F428" i="7"/>
  <c r="E428" i="7"/>
  <c r="D428" i="7"/>
  <c r="C167" i="7"/>
  <c r="D167" i="7"/>
  <c r="E167" i="7"/>
  <c r="F167" i="7"/>
  <c r="C598" i="7"/>
  <c r="F598" i="7"/>
  <c r="D598" i="7"/>
  <c r="E598" i="7"/>
  <c r="C470" i="7"/>
  <c r="E470" i="7"/>
  <c r="D470" i="7"/>
  <c r="F470" i="7"/>
  <c r="E342" i="7"/>
  <c r="C342" i="7"/>
  <c r="D342" i="7"/>
  <c r="F342" i="7"/>
  <c r="F214" i="7"/>
  <c r="C214" i="7"/>
  <c r="D214" i="7"/>
  <c r="E214" i="7"/>
  <c r="C253" i="7"/>
  <c r="E253" i="7"/>
  <c r="F253" i="7"/>
  <c r="D253" i="7"/>
  <c r="C893" i="7"/>
  <c r="F893" i="7"/>
  <c r="E893" i="7"/>
  <c r="D893" i="7"/>
  <c r="E1003" i="7"/>
  <c r="F1003" i="7"/>
  <c r="D1003" i="7"/>
  <c r="C1003" i="7"/>
  <c r="C288" i="7"/>
  <c r="D288" i="7"/>
  <c r="E288" i="7"/>
  <c r="F288" i="7"/>
  <c r="C776" i="7"/>
  <c r="D776" i="7"/>
  <c r="E776" i="7"/>
  <c r="F776" i="7"/>
  <c r="C895" i="7"/>
  <c r="E895" i="7"/>
  <c r="F895" i="7"/>
  <c r="D895" i="7"/>
  <c r="C639" i="7"/>
  <c r="E639" i="7"/>
  <c r="F639" i="7"/>
  <c r="D639" i="7"/>
  <c r="C383" i="7"/>
  <c r="D383" i="7"/>
  <c r="E383" i="7"/>
  <c r="F383" i="7"/>
  <c r="C332" i="7"/>
  <c r="F332" i="7"/>
  <c r="D332" i="7"/>
  <c r="E332" i="7"/>
  <c r="C550" i="7"/>
  <c r="E550" i="7"/>
  <c r="D550" i="7"/>
  <c r="F550" i="7"/>
  <c r="F294" i="7"/>
  <c r="E294" i="7"/>
  <c r="D294" i="7"/>
  <c r="C294" i="7"/>
  <c r="E189" i="7"/>
  <c r="C189" i="7"/>
  <c r="D189" i="7"/>
  <c r="F189" i="7"/>
  <c r="E18" i="7"/>
  <c r="D18" i="7"/>
  <c r="C18" i="7"/>
  <c r="F18" i="7"/>
  <c r="E475" i="7"/>
  <c r="F475" i="7"/>
  <c r="C475" i="7"/>
  <c r="D475" i="7"/>
  <c r="E347" i="7"/>
  <c r="F347" i="7"/>
  <c r="C347" i="7"/>
  <c r="D347" i="7"/>
  <c r="E516" i="7"/>
  <c r="F516" i="7"/>
  <c r="C516" i="7"/>
  <c r="D516" i="7"/>
  <c r="C260" i="7"/>
  <c r="E260" i="7"/>
  <c r="D260" i="7"/>
  <c r="F260" i="7"/>
  <c r="D174" i="7"/>
  <c r="E174" i="7"/>
  <c r="F174" i="7"/>
  <c r="C174" i="7"/>
  <c r="C514" i="7"/>
  <c r="D514" i="7"/>
  <c r="F514" i="7"/>
  <c r="E514" i="7"/>
  <c r="C386" i="7"/>
  <c r="D386" i="7"/>
  <c r="F386" i="7"/>
  <c r="E386" i="7"/>
  <c r="C258" i="7"/>
  <c r="F258" i="7"/>
  <c r="E258" i="7"/>
  <c r="D258" i="7"/>
  <c r="C83" i="7"/>
  <c r="D83" i="7"/>
  <c r="F83" i="7"/>
  <c r="E83" i="7"/>
  <c r="C927" i="7"/>
  <c r="E927" i="7"/>
  <c r="D927" i="7"/>
  <c r="F927" i="7"/>
  <c r="C671" i="7"/>
  <c r="E671" i="7"/>
  <c r="F671" i="7"/>
  <c r="D671" i="7"/>
  <c r="C415" i="7"/>
  <c r="D415" i="7"/>
  <c r="E415" i="7"/>
  <c r="F415" i="7"/>
  <c r="C396" i="7"/>
  <c r="E396" i="7"/>
  <c r="D396" i="7"/>
  <c r="F396" i="7"/>
  <c r="C582" i="7"/>
  <c r="E582" i="7"/>
  <c r="D582" i="7"/>
  <c r="F582" i="7"/>
  <c r="F326" i="7"/>
  <c r="E326" i="7"/>
  <c r="D326" i="7"/>
  <c r="C326" i="7"/>
  <c r="C221" i="7"/>
  <c r="E221" i="7"/>
  <c r="F221" i="7"/>
  <c r="D221" i="7"/>
  <c r="C50" i="7"/>
  <c r="F50" i="7"/>
  <c r="D50" i="7"/>
  <c r="E50" i="7"/>
  <c r="E491" i="7"/>
  <c r="D491" i="7"/>
  <c r="F491" i="7"/>
  <c r="C491" i="7"/>
  <c r="E363" i="7"/>
  <c r="D363" i="7"/>
  <c r="F363" i="7"/>
  <c r="C363" i="7"/>
  <c r="E548" i="7"/>
  <c r="F548" i="7"/>
  <c r="D548" i="7"/>
  <c r="C548" i="7"/>
  <c r="D292" i="7"/>
  <c r="C292" i="7"/>
  <c r="F292" i="7"/>
  <c r="E292" i="7"/>
  <c r="D129" i="7"/>
  <c r="C129" i="7"/>
  <c r="F129" i="7"/>
  <c r="E129" i="7"/>
  <c r="E530" i="7"/>
  <c r="C530" i="7"/>
  <c r="F530" i="7"/>
  <c r="D530" i="7"/>
  <c r="E402" i="7"/>
  <c r="C402" i="7"/>
  <c r="F402" i="7"/>
  <c r="D402" i="7"/>
  <c r="D274" i="7"/>
  <c r="C274" i="7"/>
  <c r="E274" i="7"/>
  <c r="F274" i="7"/>
  <c r="D115" i="7"/>
  <c r="C115" i="7"/>
  <c r="F115" i="7"/>
  <c r="E115" i="7"/>
  <c r="C57" i="7"/>
  <c r="E57" i="7"/>
  <c r="D57" i="7"/>
  <c r="F57" i="7"/>
  <c r="D231" i="7"/>
  <c r="E231" i="7"/>
  <c r="C231" i="7"/>
  <c r="F231" i="7"/>
  <c r="C37" i="7"/>
  <c r="D37" i="7"/>
  <c r="E37" i="7"/>
  <c r="F37" i="7"/>
  <c r="D64" i="7"/>
  <c r="C64" i="7"/>
  <c r="E64" i="7"/>
  <c r="F64" i="7"/>
  <c r="C485" i="7"/>
  <c r="D485" i="7"/>
  <c r="F485" i="7"/>
  <c r="E485" i="7"/>
  <c r="C714" i="7"/>
  <c r="E714" i="7"/>
  <c r="D714" i="7"/>
  <c r="F714" i="7"/>
  <c r="C1000" i="7"/>
  <c r="F1000" i="7"/>
  <c r="E1000" i="7"/>
  <c r="D1000" i="7"/>
  <c r="C921" i="7"/>
  <c r="D921" i="7"/>
  <c r="F921" i="7"/>
  <c r="E921" i="7"/>
  <c r="F690" i="7"/>
  <c r="D690" i="7"/>
  <c r="C690" i="7"/>
  <c r="E690" i="7"/>
  <c r="E141" i="7"/>
  <c r="D141" i="7"/>
  <c r="C141" i="7"/>
  <c r="F141" i="7"/>
  <c r="E116" i="7"/>
  <c r="D116" i="7"/>
  <c r="C116" i="7"/>
  <c r="F116" i="7"/>
  <c r="C216" i="7"/>
  <c r="D216" i="7"/>
  <c r="E216" i="7"/>
  <c r="F216" i="7"/>
  <c r="C849" i="7"/>
  <c r="F849" i="7"/>
  <c r="E849" i="7"/>
  <c r="D849" i="7"/>
  <c r="D981" i="7"/>
  <c r="E981" i="7"/>
  <c r="F981" i="7"/>
  <c r="C981" i="7"/>
  <c r="F277" i="7"/>
  <c r="E277" i="7"/>
  <c r="C277" i="7"/>
  <c r="D277" i="7"/>
  <c r="E986" i="7"/>
  <c r="D986" i="7"/>
  <c r="C986" i="7"/>
  <c r="F986" i="7"/>
  <c r="F658" i="7"/>
  <c r="D658" i="7"/>
  <c r="C658" i="7"/>
  <c r="E658" i="7"/>
  <c r="E269" i="7"/>
  <c r="D269" i="7"/>
  <c r="C269" i="7"/>
  <c r="F269" i="7"/>
  <c r="F693" i="7"/>
  <c r="E693" i="7"/>
  <c r="C693" i="7"/>
  <c r="D693" i="7"/>
  <c r="E606" i="7"/>
  <c r="D606" i="7"/>
  <c r="C606" i="7"/>
  <c r="F606" i="7"/>
  <c r="F862" i="7"/>
  <c r="E862" i="7"/>
  <c r="C862" i="7"/>
  <c r="D862" i="7"/>
  <c r="C561" i="7"/>
  <c r="F561" i="7"/>
  <c r="D561" i="7"/>
  <c r="E561" i="7"/>
  <c r="C305" i="7"/>
  <c r="D305" i="7"/>
  <c r="E305" i="7"/>
  <c r="F305" i="7"/>
  <c r="C175" i="7"/>
  <c r="E175" i="7"/>
  <c r="D175" i="7"/>
  <c r="F175" i="7"/>
  <c r="F876" i="7"/>
  <c r="D876" i="7"/>
  <c r="C876" i="7"/>
  <c r="E876" i="7"/>
  <c r="E748" i="7"/>
  <c r="D748" i="7"/>
  <c r="C748" i="7"/>
  <c r="F748" i="7"/>
  <c r="E620" i="7"/>
  <c r="D620" i="7"/>
  <c r="C620" i="7"/>
  <c r="F620" i="7"/>
  <c r="F835" i="7"/>
  <c r="D835" i="7"/>
  <c r="C835" i="7"/>
  <c r="E835" i="7"/>
  <c r="F707" i="7"/>
  <c r="D707" i="7"/>
  <c r="C707" i="7"/>
  <c r="E707" i="7"/>
  <c r="F579" i="7"/>
  <c r="D579" i="7"/>
  <c r="C579" i="7"/>
  <c r="E579" i="7"/>
  <c r="C328" i="7"/>
  <c r="F328" i="7"/>
  <c r="D328" i="7"/>
  <c r="E328" i="7"/>
  <c r="D621" i="7"/>
  <c r="E621" i="7"/>
  <c r="C621" i="7"/>
  <c r="F621" i="7"/>
  <c r="D877" i="7"/>
  <c r="C877" i="7"/>
  <c r="E877" i="7"/>
  <c r="F877" i="7"/>
  <c r="F790" i="7"/>
  <c r="D790" i="7"/>
  <c r="C790" i="7"/>
  <c r="E790" i="7"/>
  <c r="C170" i="7"/>
  <c r="F170" i="7"/>
  <c r="E170" i="7"/>
  <c r="D170" i="7"/>
  <c r="D215" i="7"/>
  <c r="F215" i="7"/>
  <c r="E215" i="7"/>
  <c r="C215" i="7"/>
  <c r="E176" i="7"/>
  <c r="F176" i="7"/>
  <c r="C176" i="7"/>
  <c r="D176" i="7"/>
  <c r="C48" i="7"/>
  <c r="F48" i="7"/>
  <c r="D48" i="7"/>
  <c r="E48" i="7"/>
  <c r="C609" i="7"/>
  <c r="D609" i="7"/>
  <c r="F609" i="7"/>
  <c r="E609" i="7"/>
  <c r="C778" i="7"/>
  <c r="D778" i="7"/>
  <c r="F778" i="7"/>
  <c r="E778" i="7"/>
  <c r="C984" i="7"/>
  <c r="D984" i="7"/>
  <c r="F984" i="7"/>
  <c r="E984" i="7"/>
  <c r="C706" i="7"/>
  <c r="F706" i="7"/>
  <c r="D706" i="7"/>
  <c r="E706" i="7"/>
  <c r="E944" i="7"/>
  <c r="D944" i="7"/>
  <c r="F944" i="7"/>
  <c r="C944" i="7"/>
  <c r="C109" i="7"/>
  <c r="F109" i="7"/>
  <c r="E109" i="7"/>
  <c r="D109" i="7"/>
  <c r="C100" i="7"/>
  <c r="F100" i="7"/>
  <c r="D100" i="7"/>
  <c r="E100" i="7"/>
  <c r="C472" i="7"/>
  <c r="F472" i="7"/>
  <c r="E472" i="7"/>
  <c r="D472" i="7"/>
  <c r="C913" i="7"/>
  <c r="E913" i="7"/>
  <c r="D913" i="7"/>
  <c r="F913" i="7"/>
  <c r="C950" i="7"/>
  <c r="D950" i="7"/>
  <c r="E950" i="7"/>
  <c r="F950" i="7"/>
  <c r="E533" i="7"/>
  <c r="F533" i="7"/>
  <c r="D533" i="7"/>
  <c r="C533" i="7"/>
  <c r="E309" i="7"/>
  <c r="F309" i="7"/>
  <c r="D309" i="7"/>
  <c r="C309" i="7"/>
  <c r="F914" i="7"/>
  <c r="E914" i="7"/>
  <c r="D914" i="7"/>
  <c r="C914" i="7"/>
  <c r="E333" i="7"/>
  <c r="F333" i="7"/>
  <c r="D333" i="7"/>
  <c r="C333" i="7"/>
  <c r="F725" i="7"/>
  <c r="D725" i="7"/>
  <c r="E725" i="7"/>
  <c r="C725" i="7"/>
  <c r="F638" i="7"/>
  <c r="E638" i="7"/>
  <c r="D638" i="7"/>
  <c r="C638" i="7"/>
  <c r="F894" i="7"/>
  <c r="D894" i="7"/>
  <c r="E894" i="7"/>
  <c r="C894" i="7"/>
  <c r="C529" i="7"/>
  <c r="F529" i="7"/>
  <c r="D529" i="7"/>
  <c r="E529" i="7"/>
  <c r="C273" i="7"/>
  <c r="D273" i="7"/>
  <c r="E273" i="7"/>
  <c r="F273" i="7"/>
  <c r="C47" i="7"/>
  <c r="F47" i="7"/>
  <c r="E47" i="7"/>
  <c r="D47" i="7"/>
  <c r="D860" i="7"/>
  <c r="F860" i="7"/>
  <c r="E860" i="7"/>
  <c r="C860" i="7"/>
  <c r="F732" i="7"/>
  <c r="D732" i="7"/>
  <c r="E732" i="7"/>
  <c r="C732" i="7"/>
  <c r="E604" i="7"/>
  <c r="F604" i="7"/>
  <c r="D604" i="7"/>
  <c r="C604" i="7"/>
  <c r="F819" i="7"/>
  <c r="E819" i="7"/>
  <c r="D819" i="7"/>
  <c r="C819" i="7"/>
  <c r="F691" i="7"/>
  <c r="E691" i="7"/>
  <c r="D691" i="7"/>
  <c r="C691" i="7"/>
  <c r="F563" i="7"/>
  <c r="D563" i="7"/>
  <c r="E563" i="7"/>
  <c r="C563" i="7"/>
  <c r="C456" i="7"/>
  <c r="E456" i="7"/>
  <c r="D456" i="7"/>
  <c r="F456" i="7"/>
  <c r="D653" i="7"/>
  <c r="F653" i="7"/>
  <c r="C653" i="7"/>
  <c r="E653" i="7"/>
  <c r="D909" i="7"/>
  <c r="F909" i="7"/>
  <c r="C909" i="7"/>
  <c r="E909" i="7"/>
  <c r="F822" i="7"/>
  <c r="E822" i="7"/>
  <c r="C822" i="7"/>
  <c r="D822" i="7"/>
  <c r="C601" i="7"/>
  <c r="E601" i="7"/>
  <c r="F601" i="7"/>
  <c r="D601" i="7"/>
  <c r="D345" i="7"/>
  <c r="C345" i="7"/>
  <c r="E345" i="7"/>
  <c r="F345" i="7"/>
  <c r="D256" i="7"/>
  <c r="C256" i="7"/>
  <c r="F256" i="7"/>
  <c r="E256" i="7"/>
  <c r="D896" i="7"/>
  <c r="C896" i="7"/>
  <c r="E896" i="7"/>
  <c r="F896" i="7"/>
  <c r="F768" i="7"/>
  <c r="C768" i="7"/>
  <c r="E768" i="7"/>
  <c r="D768" i="7"/>
  <c r="E640" i="7"/>
  <c r="C640" i="7"/>
  <c r="F640" i="7"/>
  <c r="D640" i="7"/>
  <c r="F855" i="7"/>
  <c r="C855" i="7"/>
  <c r="D855" i="7"/>
  <c r="E855" i="7"/>
  <c r="D727" i="7"/>
  <c r="C727" i="7"/>
  <c r="E727" i="7"/>
  <c r="F727" i="7"/>
  <c r="D599" i="7"/>
  <c r="C599" i="7"/>
  <c r="E599" i="7"/>
  <c r="F599" i="7"/>
  <c r="F471" i="7"/>
  <c r="C471" i="7"/>
  <c r="D471" i="7"/>
  <c r="E471" i="7"/>
  <c r="F343" i="7"/>
  <c r="C343" i="7"/>
  <c r="D343" i="7"/>
  <c r="E343" i="7"/>
  <c r="E508" i="7"/>
  <c r="C508" i="7"/>
  <c r="D508" i="7"/>
  <c r="F508" i="7"/>
  <c r="D252" i="7"/>
  <c r="C252" i="7"/>
  <c r="E252" i="7"/>
  <c r="F252" i="7"/>
  <c r="E158" i="7"/>
  <c r="D158" i="7"/>
  <c r="F158" i="7"/>
  <c r="C158" i="7"/>
  <c r="C510" i="7"/>
  <c r="E510" i="7"/>
  <c r="D510" i="7"/>
  <c r="F510" i="7"/>
  <c r="C382" i="7"/>
  <c r="E382" i="7"/>
  <c r="D382" i="7"/>
  <c r="F382" i="7"/>
  <c r="C254" i="7"/>
  <c r="F254" i="7"/>
  <c r="E254" i="7"/>
  <c r="D254" i="7"/>
  <c r="C75" i="7"/>
  <c r="E75" i="7"/>
  <c r="F75" i="7"/>
  <c r="D75" i="7"/>
  <c r="D162" i="7"/>
  <c r="E162" i="7"/>
  <c r="F162" i="7"/>
  <c r="C162" i="7"/>
  <c r="E211" i="7"/>
  <c r="C211" i="7"/>
  <c r="F211" i="7"/>
  <c r="D211" i="7"/>
  <c r="E419" i="7"/>
  <c r="C419" i="7"/>
  <c r="F419" i="7"/>
  <c r="D419" i="7"/>
  <c r="E291" i="7"/>
  <c r="C291" i="7"/>
  <c r="F291" i="7"/>
  <c r="D291" i="7"/>
  <c r="F404" i="7"/>
  <c r="C404" i="7"/>
  <c r="D404" i="7"/>
  <c r="E404" i="7"/>
  <c r="E119" i="7"/>
  <c r="C119" i="7"/>
  <c r="D119" i="7"/>
  <c r="F119" i="7"/>
  <c r="D586" i="7"/>
  <c r="C586" i="7"/>
  <c r="F586" i="7"/>
  <c r="E586" i="7"/>
  <c r="E458" i="7"/>
  <c r="C458" i="7"/>
  <c r="D458" i="7"/>
  <c r="F458" i="7"/>
  <c r="F330" i="7"/>
  <c r="C330" i="7"/>
  <c r="E330" i="7"/>
  <c r="D330" i="7"/>
  <c r="F202" i="7"/>
  <c r="C202" i="7"/>
  <c r="E202" i="7"/>
  <c r="D202" i="7"/>
  <c r="E229" i="7"/>
  <c r="C229" i="7"/>
  <c r="D229" i="7"/>
  <c r="F229" i="7"/>
  <c r="C58" i="7"/>
  <c r="D58" i="7"/>
  <c r="E58" i="7"/>
  <c r="F58" i="7"/>
  <c r="C149" i="7"/>
  <c r="D149" i="7"/>
  <c r="E149" i="7"/>
  <c r="F149" i="7"/>
  <c r="D120" i="7"/>
  <c r="E120" i="7"/>
  <c r="F120" i="7"/>
  <c r="C120" i="7"/>
  <c r="E127" i="7"/>
  <c r="C127" i="7"/>
  <c r="F127" i="7"/>
  <c r="D127" i="7"/>
  <c r="E833" i="7"/>
  <c r="C833" i="7"/>
  <c r="D833" i="7"/>
  <c r="F833" i="7"/>
  <c r="C995" i="7"/>
  <c r="F995" i="7"/>
  <c r="D995" i="7"/>
  <c r="E995" i="7"/>
  <c r="E377" i="7"/>
  <c r="D377" i="7"/>
  <c r="F377" i="7"/>
  <c r="C377" i="7"/>
  <c r="E320" i="7"/>
  <c r="F320" i="7"/>
  <c r="D320" i="7"/>
  <c r="C320" i="7"/>
  <c r="D912" i="7"/>
  <c r="F912" i="7"/>
  <c r="E912" i="7"/>
  <c r="C912" i="7"/>
  <c r="D784" i="7"/>
  <c r="E784" i="7"/>
  <c r="F784" i="7"/>
  <c r="C784" i="7"/>
  <c r="D656" i="7"/>
  <c r="E656" i="7"/>
  <c r="F656" i="7"/>
  <c r="C656" i="7"/>
  <c r="E871" i="7"/>
  <c r="F871" i="7"/>
  <c r="D871" i="7"/>
  <c r="C871" i="7"/>
  <c r="F743" i="7"/>
  <c r="D743" i="7"/>
  <c r="E743" i="7"/>
  <c r="C743" i="7"/>
  <c r="F615" i="7"/>
  <c r="D615" i="7"/>
  <c r="E615" i="7"/>
  <c r="C615" i="7"/>
  <c r="E487" i="7"/>
  <c r="F487" i="7"/>
  <c r="D487" i="7"/>
  <c r="C487" i="7"/>
  <c r="E359" i="7"/>
  <c r="F359" i="7"/>
  <c r="D359" i="7"/>
  <c r="C359" i="7"/>
  <c r="F540" i="7"/>
  <c r="E540" i="7"/>
  <c r="D540" i="7"/>
  <c r="C540" i="7"/>
  <c r="D284" i="7"/>
  <c r="F284" i="7"/>
  <c r="E284" i="7"/>
  <c r="C284" i="7"/>
  <c r="E97" i="7"/>
  <c r="D97" i="7"/>
  <c r="F97" i="7"/>
  <c r="C97" i="7"/>
  <c r="F526" i="7"/>
  <c r="C526" i="7"/>
  <c r="D526" i="7"/>
  <c r="E526" i="7"/>
  <c r="F398" i="7"/>
  <c r="C398" i="7"/>
  <c r="D398" i="7"/>
  <c r="E398" i="7"/>
  <c r="D270" i="7"/>
  <c r="C270" i="7"/>
  <c r="E270" i="7"/>
  <c r="F270" i="7"/>
  <c r="C107" i="7"/>
  <c r="E107" i="7"/>
  <c r="F107" i="7"/>
  <c r="D107" i="7"/>
  <c r="C41" i="7"/>
  <c r="D41" i="7"/>
  <c r="F41" i="7"/>
  <c r="E41" i="7"/>
  <c r="D227" i="7"/>
  <c r="E227" i="7"/>
  <c r="F227" i="7"/>
  <c r="C227" i="7"/>
  <c r="D435" i="7"/>
  <c r="E435" i="7"/>
  <c r="F435" i="7"/>
  <c r="C435" i="7"/>
  <c r="D307" i="7"/>
  <c r="E307" i="7"/>
  <c r="F307" i="7"/>
  <c r="C307" i="7"/>
  <c r="D436" i="7"/>
  <c r="F436" i="7"/>
  <c r="E436" i="7"/>
  <c r="C436" i="7"/>
  <c r="C180" i="7"/>
  <c r="F180" i="7"/>
  <c r="E180" i="7"/>
  <c r="D180" i="7"/>
  <c r="F14" i="7"/>
  <c r="E14" i="7"/>
  <c r="D14" i="7"/>
  <c r="C14" i="7"/>
  <c r="F474" i="7"/>
  <c r="E474" i="7"/>
  <c r="D474" i="7"/>
  <c r="C474" i="7"/>
  <c r="F346" i="7"/>
  <c r="E346" i="7"/>
  <c r="D346" i="7"/>
  <c r="C346" i="7"/>
  <c r="D218" i="7"/>
  <c r="F218" i="7"/>
  <c r="E218" i="7"/>
  <c r="C218" i="7"/>
  <c r="F261" i="7"/>
  <c r="E261" i="7"/>
  <c r="D261" i="7"/>
  <c r="C261" i="7"/>
  <c r="C90" i="7"/>
  <c r="E90" i="7"/>
  <c r="F90" i="7"/>
  <c r="D90" i="7"/>
  <c r="C173" i="7"/>
  <c r="E173" i="7"/>
  <c r="F173" i="7"/>
  <c r="D173" i="7"/>
  <c r="E136" i="7"/>
  <c r="F136" i="7"/>
  <c r="D136" i="7"/>
  <c r="C136" i="7"/>
  <c r="D8" i="7"/>
  <c r="F8" i="7"/>
  <c r="C8" i="7"/>
  <c r="E8" i="7"/>
  <c r="D769" i="7"/>
  <c r="F769" i="7"/>
  <c r="E769" i="7"/>
  <c r="C769" i="7"/>
  <c r="C938" i="7"/>
  <c r="E938" i="7"/>
  <c r="D938" i="7"/>
  <c r="F938" i="7"/>
  <c r="C248" i="7"/>
  <c r="F248" i="7"/>
  <c r="D248" i="7"/>
  <c r="E248" i="7"/>
  <c r="C985" i="7"/>
  <c r="D985" i="7"/>
  <c r="F985" i="7"/>
  <c r="E985" i="7"/>
  <c r="C681" i="7"/>
  <c r="D681" i="7"/>
  <c r="F681" i="7"/>
  <c r="E681" i="7"/>
  <c r="E29" i="7"/>
  <c r="D29" i="7"/>
  <c r="C29" i="7"/>
  <c r="F29" i="7"/>
  <c r="E44" i="7"/>
  <c r="D44" i="7"/>
  <c r="F44" i="7"/>
  <c r="C44" i="7"/>
  <c r="E625" i="7"/>
  <c r="D625" i="7"/>
  <c r="C625" i="7"/>
  <c r="F625" i="7"/>
  <c r="E794" i="7"/>
  <c r="D794" i="7"/>
  <c r="C794" i="7"/>
  <c r="F794" i="7"/>
  <c r="E980" i="7"/>
  <c r="F980" i="7"/>
  <c r="C980" i="7"/>
  <c r="D980" i="7"/>
  <c r="F674" i="7"/>
  <c r="D674" i="7"/>
  <c r="C674" i="7"/>
  <c r="E674" i="7"/>
  <c r="C977" i="7"/>
  <c r="D977" i="7"/>
  <c r="F977" i="7"/>
  <c r="E977" i="7"/>
  <c r="C874" i="7"/>
  <c r="F874" i="7"/>
  <c r="E874" i="7"/>
  <c r="D874" i="7"/>
  <c r="C960" i="7"/>
  <c r="D960" i="7"/>
  <c r="F960" i="7"/>
  <c r="E960" i="7"/>
  <c r="C898" i="7"/>
  <c r="D898" i="7"/>
  <c r="E898" i="7"/>
  <c r="F898" i="7"/>
  <c r="C568" i="7"/>
  <c r="F568" i="7"/>
  <c r="D568" i="7"/>
  <c r="E568" i="7"/>
  <c r="C61" i="7"/>
  <c r="D61" i="7"/>
  <c r="F61" i="7"/>
  <c r="E61" i="7"/>
  <c r="E60" i="7"/>
  <c r="C60" i="7"/>
  <c r="F60" i="7"/>
  <c r="D60" i="7"/>
  <c r="F517" i="7"/>
  <c r="D517" i="7"/>
  <c r="E517" i="7"/>
  <c r="C517" i="7"/>
  <c r="D730" i="7"/>
  <c r="E730" i="7"/>
  <c r="F730" i="7"/>
  <c r="C730" i="7"/>
  <c r="E996" i="7"/>
  <c r="D996" i="7"/>
  <c r="F996" i="7"/>
  <c r="C996" i="7"/>
  <c r="E889" i="7"/>
  <c r="F889" i="7"/>
  <c r="D889" i="7"/>
  <c r="C889" i="7"/>
  <c r="C754" i="7"/>
  <c r="F754" i="7"/>
  <c r="D754" i="7"/>
  <c r="E754" i="7"/>
  <c r="E930" i="7"/>
  <c r="F930" i="7"/>
  <c r="C930" i="7"/>
  <c r="D930" i="7"/>
  <c r="D973" i="7"/>
  <c r="C973" i="7"/>
  <c r="E973" i="7"/>
  <c r="F973" i="7"/>
  <c r="C642" i="7"/>
  <c r="D642" i="7"/>
  <c r="E642" i="7"/>
  <c r="F642" i="7"/>
  <c r="D125" i="7"/>
  <c r="F125" i="7"/>
  <c r="E125" i="7"/>
  <c r="C125" i="7"/>
  <c r="E600" i="7"/>
  <c r="D600" i="7"/>
  <c r="F600" i="7"/>
  <c r="C600" i="7"/>
  <c r="F966" i="7"/>
  <c r="E966" i="7"/>
  <c r="D966" i="7"/>
  <c r="C966" i="7"/>
  <c r="C565" i="7"/>
  <c r="D565" i="7"/>
  <c r="E565" i="7"/>
  <c r="F565" i="7"/>
  <c r="C159" i="7"/>
  <c r="E159" i="7"/>
  <c r="D159" i="7"/>
  <c r="F159" i="7"/>
  <c r="E552" i="7"/>
  <c r="F552" i="7"/>
  <c r="D552" i="7"/>
  <c r="C552" i="7"/>
  <c r="C709" i="7"/>
  <c r="D709" i="7"/>
  <c r="F709" i="7"/>
  <c r="E709" i="7"/>
  <c r="C718" i="7"/>
  <c r="D718" i="7"/>
  <c r="F718" i="7"/>
  <c r="E718" i="7"/>
  <c r="F959" i="7"/>
  <c r="C959" i="7"/>
  <c r="D959" i="7"/>
  <c r="E959" i="7"/>
  <c r="E449" i="7"/>
  <c r="C449" i="7"/>
  <c r="D449" i="7"/>
  <c r="F449" i="7"/>
  <c r="F805" i="7"/>
  <c r="D805" i="7"/>
  <c r="E805" i="7"/>
  <c r="C805" i="7"/>
  <c r="D686" i="7"/>
  <c r="C686" i="7"/>
  <c r="F686" i="7"/>
  <c r="E686" i="7"/>
  <c r="D942" i="7"/>
  <c r="F942" i="7"/>
  <c r="E942" i="7"/>
  <c r="C942" i="7"/>
  <c r="D481" i="7"/>
  <c r="E481" i="7"/>
  <c r="F481" i="7"/>
  <c r="C481" i="7"/>
  <c r="C592" i="7"/>
  <c r="E592" i="7"/>
  <c r="F592" i="7"/>
  <c r="D592" i="7"/>
  <c r="F241" i="7"/>
  <c r="C241" i="7"/>
  <c r="E241" i="7"/>
  <c r="D241" i="7"/>
  <c r="F852" i="7"/>
  <c r="C852" i="7"/>
  <c r="E852" i="7"/>
  <c r="D852" i="7"/>
  <c r="F724" i="7"/>
  <c r="C724" i="7"/>
  <c r="E724" i="7"/>
  <c r="D724" i="7"/>
  <c r="F939" i="7"/>
  <c r="C939" i="7"/>
  <c r="E939" i="7"/>
  <c r="D939" i="7"/>
  <c r="F811" i="7"/>
  <c r="C811" i="7"/>
  <c r="D811" i="7"/>
  <c r="E811" i="7"/>
  <c r="F683" i="7"/>
  <c r="C683" i="7"/>
  <c r="D683" i="7"/>
  <c r="E683" i="7"/>
  <c r="E555" i="7"/>
  <c r="C555" i="7"/>
  <c r="F555" i="7"/>
  <c r="D555" i="7"/>
  <c r="D520" i="7"/>
  <c r="C520" i="7"/>
  <c r="E520" i="7"/>
  <c r="F520" i="7"/>
  <c r="D272" i="7"/>
  <c r="F272" i="7"/>
  <c r="C272" i="7"/>
  <c r="E272" i="7"/>
  <c r="D900" i="7"/>
  <c r="E900" i="7"/>
  <c r="C900" i="7"/>
  <c r="F900" i="7"/>
  <c r="E772" i="7"/>
  <c r="F772" i="7"/>
  <c r="D772" i="7"/>
  <c r="C772" i="7"/>
  <c r="E644" i="7"/>
  <c r="F644" i="7"/>
  <c r="D644" i="7"/>
  <c r="C644" i="7"/>
  <c r="D859" i="7"/>
  <c r="F859" i="7"/>
  <c r="E859" i="7"/>
  <c r="C859" i="7"/>
  <c r="E731" i="7"/>
  <c r="F731" i="7"/>
  <c r="D731" i="7"/>
  <c r="C731" i="7"/>
  <c r="E603" i="7"/>
  <c r="F603" i="7"/>
  <c r="D603" i="7"/>
  <c r="C603" i="7"/>
  <c r="E95" i="7"/>
  <c r="D95" i="7"/>
  <c r="F95" i="7"/>
  <c r="C95" i="7"/>
  <c r="D605" i="7"/>
  <c r="F605" i="7"/>
  <c r="C605" i="7"/>
  <c r="E605" i="7"/>
  <c r="F861" i="7"/>
  <c r="E861" i="7"/>
  <c r="C861" i="7"/>
  <c r="D861" i="7"/>
  <c r="E774" i="7"/>
  <c r="C774" i="7"/>
  <c r="D774" i="7"/>
  <c r="F774" i="7"/>
  <c r="E987" i="7"/>
  <c r="F987" i="7"/>
  <c r="C987" i="7"/>
  <c r="D987" i="7"/>
  <c r="C393" i="7"/>
  <c r="E393" i="7"/>
  <c r="D393" i="7"/>
  <c r="F393" i="7"/>
  <c r="C352" i="7"/>
  <c r="D352" i="7"/>
  <c r="E352" i="7"/>
  <c r="F352" i="7"/>
  <c r="C920" i="7"/>
  <c r="F920" i="7"/>
  <c r="E920" i="7"/>
  <c r="D920" i="7"/>
  <c r="C792" i="7"/>
  <c r="E792" i="7"/>
  <c r="F792" i="7"/>
  <c r="D792" i="7"/>
  <c r="C285" i="7"/>
  <c r="E285" i="7"/>
  <c r="D285" i="7"/>
  <c r="F285" i="7"/>
  <c r="E614" i="7"/>
  <c r="F614" i="7"/>
  <c r="D614" i="7"/>
  <c r="C614" i="7"/>
  <c r="D553" i="7"/>
  <c r="F553" i="7"/>
  <c r="E553" i="7"/>
  <c r="C553" i="7"/>
  <c r="D143" i="7"/>
  <c r="F143" i="7"/>
  <c r="C143" i="7"/>
  <c r="E143" i="7"/>
  <c r="C744" i="7"/>
  <c r="D744" i="7"/>
  <c r="E744" i="7"/>
  <c r="F744" i="7"/>
  <c r="C911" i="7"/>
  <c r="F911" i="7"/>
  <c r="E911" i="7"/>
  <c r="D911" i="7"/>
  <c r="C783" i="7"/>
  <c r="F783" i="7"/>
  <c r="E783" i="7"/>
  <c r="D783" i="7"/>
  <c r="C655" i="7"/>
  <c r="F655" i="7"/>
  <c r="E655" i="7"/>
  <c r="D655" i="7"/>
  <c r="C527" i="7"/>
  <c r="F527" i="7"/>
  <c r="D527" i="7"/>
  <c r="E527" i="7"/>
  <c r="C399" i="7"/>
  <c r="E399" i="7"/>
  <c r="D399" i="7"/>
  <c r="F399" i="7"/>
  <c r="C271" i="7"/>
  <c r="E271" i="7"/>
  <c r="D271" i="7"/>
  <c r="F271" i="7"/>
  <c r="C364" i="7"/>
  <c r="F364" i="7"/>
  <c r="D364" i="7"/>
  <c r="E364" i="7"/>
  <c r="C39" i="7"/>
  <c r="D39" i="7"/>
  <c r="F39" i="7"/>
  <c r="E39" i="7"/>
  <c r="C566" i="7"/>
  <c r="D566" i="7"/>
  <c r="E566" i="7"/>
  <c r="F566" i="7"/>
  <c r="C438" i="7"/>
  <c r="D438" i="7"/>
  <c r="F438" i="7"/>
  <c r="E438" i="7"/>
  <c r="F310" i="7"/>
  <c r="D310" i="7"/>
  <c r="E310" i="7"/>
  <c r="C310" i="7"/>
  <c r="C182" i="7"/>
  <c r="E182" i="7"/>
  <c r="F182" i="7"/>
  <c r="D182" i="7"/>
  <c r="E413" i="7"/>
  <c r="D413" i="7"/>
  <c r="C413" i="7"/>
  <c r="F413" i="7"/>
  <c r="E678" i="7"/>
  <c r="F678" i="7"/>
  <c r="D678" i="7"/>
  <c r="C678" i="7"/>
  <c r="D489" i="7"/>
  <c r="E489" i="7"/>
  <c r="C489" i="7"/>
  <c r="F489" i="7"/>
  <c r="E113" i="7"/>
  <c r="F113" i="7"/>
  <c r="D113" i="7"/>
  <c r="C113" i="7"/>
  <c r="C712" i="7"/>
  <c r="D712" i="7"/>
  <c r="E712" i="7"/>
  <c r="F712" i="7"/>
  <c r="C831" i="7"/>
  <c r="E831" i="7"/>
  <c r="F831" i="7"/>
  <c r="D831" i="7"/>
  <c r="C575" i="7"/>
  <c r="E575" i="7"/>
  <c r="F575" i="7"/>
  <c r="D575" i="7"/>
  <c r="C319" i="7"/>
  <c r="D319" i="7"/>
  <c r="E319" i="7"/>
  <c r="F319" i="7"/>
  <c r="C204" i="7"/>
  <c r="E204" i="7"/>
  <c r="F204" i="7"/>
  <c r="D204" i="7"/>
  <c r="C486" i="7"/>
  <c r="F486" i="7"/>
  <c r="D486" i="7"/>
  <c r="E486" i="7"/>
  <c r="F230" i="7"/>
  <c r="E230" i="7"/>
  <c r="D230" i="7"/>
  <c r="C230" i="7"/>
  <c r="C73" i="7"/>
  <c r="E73" i="7"/>
  <c r="D73" i="7"/>
  <c r="F73" i="7"/>
  <c r="E235" i="7"/>
  <c r="F235" i="7"/>
  <c r="C235" i="7"/>
  <c r="D235" i="7"/>
  <c r="E443" i="7"/>
  <c r="F443" i="7"/>
  <c r="C443" i="7"/>
  <c r="D443" i="7"/>
  <c r="E315" i="7"/>
  <c r="F315" i="7"/>
  <c r="C315" i="7"/>
  <c r="D315" i="7"/>
  <c r="F452" i="7"/>
  <c r="E452" i="7"/>
  <c r="C452" i="7"/>
  <c r="D452" i="7"/>
  <c r="C196" i="7"/>
  <c r="D196" i="7"/>
  <c r="F196" i="7"/>
  <c r="E196" i="7"/>
  <c r="E46" i="7"/>
  <c r="D46" i="7"/>
  <c r="F46" i="7"/>
  <c r="C46" i="7"/>
  <c r="C482" i="7"/>
  <c r="D482" i="7"/>
  <c r="F482" i="7"/>
  <c r="E482" i="7"/>
  <c r="C354" i="7"/>
  <c r="D354" i="7"/>
  <c r="F354" i="7"/>
  <c r="E354" i="7"/>
  <c r="C226" i="7"/>
  <c r="D226" i="7"/>
  <c r="E226" i="7"/>
  <c r="F226" i="7"/>
  <c r="C19" i="7"/>
  <c r="D19" i="7"/>
  <c r="F19" i="7"/>
  <c r="E19" i="7"/>
  <c r="C863" i="7"/>
  <c r="E863" i="7"/>
  <c r="F863" i="7"/>
  <c r="D863" i="7"/>
  <c r="C607" i="7"/>
  <c r="E607" i="7"/>
  <c r="F607" i="7"/>
  <c r="D607" i="7"/>
  <c r="C351" i="7"/>
  <c r="D351" i="7"/>
  <c r="E351" i="7"/>
  <c r="F351" i="7"/>
  <c r="C268" i="7"/>
  <c r="D268" i="7"/>
  <c r="F268" i="7"/>
  <c r="E268" i="7"/>
  <c r="C518" i="7"/>
  <c r="F518" i="7"/>
  <c r="D518" i="7"/>
  <c r="E518" i="7"/>
  <c r="F262" i="7"/>
  <c r="E262" i="7"/>
  <c r="D262" i="7"/>
  <c r="C262" i="7"/>
  <c r="C137" i="7"/>
  <c r="F137" i="7"/>
  <c r="E137" i="7"/>
  <c r="D137" i="7"/>
  <c r="F251" i="7"/>
  <c r="E251" i="7"/>
  <c r="D251" i="7"/>
  <c r="C251" i="7"/>
  <c r="E459" i="7"/>
  <c r="D459" i="7"/>
  <c r="F459" i="7"/>
  <c r="C459" i="7"/>
  <c r="E331" i="7"/>
  <c r="D331" i="7"/>
  <c r="F331" i="7"/>
  <c r="C331" i="7"/>
  <c r="E484" i="7"/>
  <c r="D484" i="7"/>
  <c r="F484" i="7"/>
  <c r="C484" i="7"/>
  <c r="D228" i="7"/>
  <c r="C228" i="7"/>
  <c r="E228" i="7"/>
  <c r="F228" i="7"/>
  <c r="D110" i="7"/>
  <c r="E110" i="7"/>
  <c r="F110" i="7"/>
  <c r="C110" i="7"/>
  <c r="E498" i="7"/>
  <c r="C498" i="7"/>
  <c r="F498" i="7"/>
  <c r="D498" i="7"/>
  <c r="E370" i="7"/>
  <c r="C370" i="7"/>
  <c r="F370" i="7"/>
  <c r="D370" i="7"/>
  <c r="D242" i="7"/>
  <c r="C242" i="7"/>
  <c r="E242" i="7"/>
  <c r="F242" i="7"/>
  <c r="D51" i="7"/>
  <c r="C51" i="7"/>
  <c r="F51" i="7"/>
  <c r="E51" i="7"/>
  <c r="D138" i="7"/>
  <c r="E138" i="7"/>
  <c r="C138" i="7"/>
  <c r="F138" i="7"/>
  <c r="E199" i="7"/>
  <c r="D199" i="7"/>
  <c r="C199" i="7"/>
  <c r="F199" i="7"/>
  <c r="E160" i="7"/>
  <c r="D160" i="7"/>
  <c r="C160" i="7"/>
  <c r="F160" i="7"/>
  <c r="C32" i="7"/>
  <c r="E32" i="7"/>
  <c r="D32" i="7"/>
  <c r="F32" i="7"/>
  <c r="C673" i="7"/>
  <c r="F673" i="7"/>
  <c r="E673" i="7"/>
  <c r="D673" i="7"/>
  <c r="C842" i="7"/>
  <c r="E842" i="7"/>
  <c r="D842" i="7"/>
  <c r="F842" i="7"/>
  <c r="C968" i="7"/>
  <c r="E968" i="7"/>
  <c r="F968" i="7"/>
  <c r="D968" i="7"/>
  <c r="C834" i="7"/>
  <c r="D834" i="7"/>
  <c r="E834" i="7"/>
  <c r="F834" i="7"/>
  <c r="E193" i="7"/>
  <c r="D193" i="7"/>
  <c r="C193" i="7"/>
  <c r="F193" i="7"/>
  <c r="E77" i="7"/>
  <c r="C77" i="7"/>
  <c r="D77" i="7"/>
  <c r="F77" i="7"/>
  <c r="E84" i="7"/>
  <c r="D84" i="7"/>
  <c r="C84" i="7"/>
  <c r="F84" i="7"/>
  <c r="C325" i="7"/>
  <c r="F325" i="7"/>
  <c r="E325" i="7"/>
  <c r="D325" i="7"/>
  <c r="C634" i="7"/>
  <c r="E634" i="7"/>
  <c r="D634" i="7"/>
  <c r="F634" i="7"/>
  <c r="C982" i="7"/>
  <c r="E982" i="7"/>
  <c r="F982" i="7"/>
  <c r="D982" i="7"/>
  <c r="E697" i="7"/>
  <c r="D697" i="7"/>
  <c r="C697" i="7"/>
  <c r="F697" i="7"/>
  <c r="E713" i="7"/>
  <c r="D713" i="7"/>
  <c r="C713" i="7"/>
  <c r="F713" i="7"/>
  <c r="E962" i="7"/>
  <c r="F962" i="7"/>
  <c r="C962" i="7"/>
  <c r="D962" i="7"/>
  <c r="E397" i="7"/>
  <c r="D397" i="7"/>
  <c r="C397" i="7"/>
  <c r="F397" i="7"/>
  <c r="F757" i="7"/>
  <c r="E757" i="7"/>
  <c r="C757" i="7"/>
  <c r="D757" i="7"/>
  <c r="F670" i="7"/>
  <c r="D670" i="7"/>
  <c r="C670" i="7"/>
  <c r="E670" i="7"/>
  <c r="C926" i="7"/>
  <c r="E926" i="7"/>
  <c r="F926" i="7"/>
  <c r="D926" i="7"/>
  <c r="C497" i="7"/>
  <c r="E497" i="7"/>
  <c r="F497" i="7"/>
  <c r="D497" i="7"/>
  <c r="C560" i="7"/>
  <c r="D560" i="7"/>
  <c r="F560" i="7"/>
  <c r="E560" i="7"/>
  <c r="E177" i="7"/>
  <c r="C177" i="7"/>
  <c r="D177" i="7"/>
  <c r="F177" i="7"/>
  <c r="F844" i="7"/>
  <c r="D844" i="7"/>
  <c r="C844" i="7"/>
  <c r="E844" i="7"/>
  <c r="E716" i="7"/>
  <c r="D716" i="7"/>
  <c r="C716" i="7"/>
  <c r="F716" i="7"/>
  <c r="D931" i="7"/>
  <c r="E931" i="7"/>
  <c r="C931" i="7"/>
  <c r="F931" i="7"/>
  <c r="F803" i="7"/>
  <c r="D803" i="7"/>
  <c r="C803" i="7"/>
  <c r="E803" i="7"/>
  <c r="F675" i="7"/>
  <c r="D675" i="7"/>
  <c r="C675" i="7"/>
  <c r="E675" i="7"/>
  <c r="E547" i="7"/>
  <c r="F547" i="7"/>
  <c r="C547" i="7"/>
  <c r="D547" i="7"/>
  <c r="C584" i="7"/>
  <c r="F584" i="7"/>
  <c r="E584" i="7"/>
  <c r="D584" i="7"/>
  <c r="D685" i="7"/>
  <c r="C685" i="7"/>
  <c r="E685" i="7"/>
  <c r="F685" i="7"/>
  <c r="D941" i="7"/>
  <c r="C941" i="7"/>
  <c r="E941" i="7"/>
  <c r="F941" i="7"/>
  <c r="F854" i="7"/>
  <c r="D854" i="7"/>
  <c r="C854" i="7"/>
  <c r="E854" i="7"/>
  <c r="E106" i="7"/>
  <c r="F106" i="7"/>
  <c r="C106" i="7"/>
  <c r="D106" i="7"/>
  <c r="D183" i="7"/>
  <c r="F183" i="7"/>
  <c r="C183" i="7"/>
  <c r="E183" i="7"/>
  <c r="E144" i="7"/>
  <c r="F144" i="7"/>
  <c r="C144" i="7"/>
  <c r="D144" i="7"/>
  <c r="D16" i="7"/>
  <c r="F16" i="7"/>
  <c r="E16" i="7"/>
  <c r="C16" i="7"/>
  <c r="C737" i="7"/>
  <c r="E737" i="7"/>
  <c r="D737" i="7"/>
  <c r="F737" i="7"/>
  <c r="C906" i="7"/>
  <c r="D906" i="7"/>
  <c r="F906" i="7"/>
  <c r="E906" i="7"/>
  <c r="C952" i="7"/>
  <c r="D952" i="7"/>
  <c r="F952" i="7"/>
  <c r="E952" i="7"/>
  <c r="C953" i="7"/>
  <c r="E953" i="7"/>
  <c r="D953" i="7"/>
  <c r="F953" i="7"/>
  <c r="C501" i="7"/>
  <c r="D501" i="7"/>
  <c r="F501" i="7"/>
  <c r="E501" i="7"/>
  <c r="E45" i="7"/>
  <c r="F45" i="7"/>
  <c r="D45" i="7"/>
  <c r="C45" i="7"/>
  <c r="D68" i="7"/>
  <c r="F68" i="7"/>
  <c r="E68" i="7"/>
  <c r="C68" i="7"/>
  <c r="C453" i="7"/>
  <c r="D453" i="7"/>
  <c r="F453" i="7"/>
  <c r="E453" i="7"/>
  <c r="C698" i="7"/>
  <c r="D698" i="7"/>
  <c r="F698" i="7"/>
  <c r="E698" i="7"/>
  <c r="C1004" i="7"/>
  <c r="F1004" i="7"/>
  <c r="D1004" i="7"/>
  <c r="E1004" i="7"/>
  <c r="F825" i="7"/>
  <c r="D825" i="7"/>
  <c r="E825" i="7"/>
  <c r="C825" i="7"/>
  <c r="E626" i="7"/>
  <c r="D626" i="7"/>
  <c r="F626" i="7"/>
  <c r="C626" i="7"/>
  <c r="C118" i="7"/>
  <c r="F118" i="7"/>
  <c r="E118" i="7"/>
  <c r="D118" i="7"/>
  <c r="F461" i="7"/>
  <c r="E461" i="7"/>
  <c r="D461" i="7"/>
  <c r="C461" i="7"/>
  <c r="F789" i="7"/>
  <c r="D789" i="7"/>
  <c r="E789" i="7"/>
  <c r="C789" i="7"/>
  <c r="F702" i="7"/>
  <c r="E702" i="7"/>
  <c r="D702" i="7"/>
  <c r="C702" i="7"/>
  <c r="C951" i="7"/>
  <c r="E951" i="7"/>
  <c r="F951" i="7"/>
  <c r="D951" i="7"/>
  <c r="C465" i="7"/>
  <c r="D465" i="7"/>
  <c r="E465" i="7"/>
  <c r="F465" i="7"/>
  <c r="E496" i="7"/>
  <c r="C496" i="7"/>
  <c r="D496" i="7"/>
  <c r="F496" i="7"/>
  <c r="C134" i="7"/>
  <c r="F134" i="7"/>
  <c r="D134" i="7"/>
  <c r="E134" i="7"/>
  <c r="D828" i="7"/>
  <c r="F828" i="7"/>
  <c r="E828" i="7"/>
  <c r="C828" i="7"/>
  <c r="F700" i="7"/>
  <c r="D700" i="7"/>
  <c r="E700" i="7"/>
  <c r="C700" i="7"/>
  <c r="D915" i="7"/>
  <c r="F915" i="7"/>
  <c r="E915" i="7"/>
  <c r="C915" i="7"/>
  <c r="F787" i="7"/>
  <c r="E787" i="7"/>
  <c r="D787" i="7"/>
  <c r="C787" i="7"/>
  <c r="F659" i="7"/>
  <c r="E659" i="7"/>
  <c r="D659" i="7"/>
  <c r="C659" i="7"/>
  <c r="E531" i="7"/>
  <c r="D531" i="7"/>
  <c r="F531" i="7"/>
  <c r="C531" i="7"/>
  <c r="C317" i="7"/>
  <c r="F317" i="7"/>
  <c r="D317" i="7"/>
  <c r="E317" i="7"/>
  <c r="D717" i="7"/>
  <c r="F717" i="7"/>
  <c r="C717" i="7"/>
  <c r="E717" i="7"/>
  <c r="E630" i="7"/>
  <c r="F630" i="7"/>
  <c r="D630" i="7"/>
  <c r="C630" i="7"/>
  <c r="C886" i="7"/>
  <c r="E886" i="7"/>
  <c r="D886" i="7"/>
  <c r="F886" i="7"/>
  <c r="C537" i="7"/>
  <c r="E537" i="7"/>
  <c r="F537" i="7"/>
  <c r="D537" i="7"/>
  <c r="D281" i="7"/>
  <c r="C281" i="7"/>
  <c r="E281" i="7"/>
  <c r="F281" i="7"/>
  <c r="D79" i="7"/>
  <c r="C79" i="7"/>
  <c r="F79" i="7"/>
  <c r="E79" i="7"/>
  <c r="F864" i="7"/>
  <c r="C864" i="7"/>
  <c r="E864" i="7"/>
  <c r="D864" i="7"/>
  <c r="F736" i="7"/>
  <c r="C736" i="7"/>
  <c r="E736" i="7"/>
  <c r="D736" i="7"/>
  <c r="E608" i="7"/>
  <c r="C608" i="7"/>
  <c r="F608" i="7"/>
  <c r="D608" i="7"/>
  <c r="D823" i="7"/>
  <c r="C823" i="7"/>
  <c r="E823" i="7"/>
  <c r="F823" i="7"/>
  <c r="D695" i="7"/>
  <c r="C695" i="7"/>
  <c r="E695" i="7"/>
  <c r="F695" i="7"/>
  <c r="D567" i="7"/>
  <c r="C567" i="7"/>
  <c r="E567" i="7"/>
  <c r="F567" i="7"/>
  <c r="F439" i="7"/>
  <c r="C439" i="7"/>
  <c r="D439" i="7"/>
  <c r="E439" i="7"/>
  <c r="F311" i="7"/>
  <c r="C311" i="7"/>
  <c r="D311" i="7"/>
  <c r="E311" i="7"/>
  <c r="E444" i="7"/>
  <c r="C444" i="7"/>
  <c r="F444" i="7"/>
  <c r="D444" i="7"/>
  <c r="E188" i="7"/>
  <c r="D188" i="7"/>
  <c r="F188" i="7"/>
  <c r="C188" i="7"/>
  <c r="C30" i="7"/>
  <c r="E30" i="7"/>
  <c r="F30" i="7"/>
  <c r="D30" i="7"/>
  <c r="C478" i="7"/>
  <c r="E478" i="7"/>
  <c r="D478" i="7"/>
  <c r="F478" i="7"/>
  <c r="C350" i="7"/>
  <c r="E350" i="7"/>
  <c r="D350" i="7"/>
  <c r="F350" i="7"/>
  <c r="C222" i="7"/>
  <c r="D222" i="7"/>
  <c r="E222" i="7"/>
  <c r="F222" i="7"/>
  <c r="E11" i="7"/>
  <c r="D11" i="7"/>
  <c r="F11" i="7"/>
  <c r="C11" i="7"/>
  <c r="D98" i="7"/>
  <c r="C98" i="7"/>
  <c r="F98" i="7"/>
  <c r="E98" i="7"/>
  <c r="D179" i="7"/>
  <c r="C179" i="7"/>
  <c r="F179" i="7"/>
  <c r="E179" i="7"/>
  <c r="E387" i="7"/>
  <c r="C387" i="7"/>
  <c r="F387" i="7"/>
  <c r="D387" i="7"/>
  <c r="E596" i="7"/>
  <c r="C596" i="7"/>
  <c r="D596" i="7"/>
  <c r="F596" i="7"/>
  <c r="E340" i="7"/>
  <c r="C340" i="7"/>
  <c r="D340" i="7"/>
  <c r="F340" i="7"/>
  <c r="C249" i="7"/>
  <c r="F249" i="7"/>
  <c r="D249" i="7"/>
  <c r="E249" i="7"/>
  <c r="D554" i="7"/>
  <c r="C554" i="7"/>
  <c r="F554" i="7"/>
  <c r="E554" i="7"/>
  <c r="E426" i="7"/>
  <c r="C426" i="7"/>
  <c r="D426" i="7"/>
  <c r="F426" i="7"/>
  <c r="F298" i="7"/>
  <c r="C298" i="7"/>
  <c r="E298" i="7"/>
  <c r="D298" i="7"/>
  <c r="C163" i="7"/>
  <c r="D163" i="7"/>
  <c r="F163" i="7"/>
  <c r="E163" i="7"/>
  <c r="C153" i="7"/>
  <c r="E153" i="7"/>
  <c r="F153" i="7"/>
  <c r="D153" i="7"/>
  <c r="C255" i="7"/>
  <c r="E255" i="7"/>
  <c r="D255" i="7"/>
  <c r="F255" i="7"/>
  <c r="E85" i="7"/>
  <c r="D85" i="7"/>
  <c r="F85" i="7"/>
  <c r="C85" i="7"/>
  <c r="D88" i="7"/>
  <c r="C88" i="7"/>
  <c r="F88" i="7"/>
  <c r="E88" i="7"/>
  <c r="F293" i="7"/>
  <c r="C293" i="7"/>
  <c r="E293" i="7"/>
  <c r="D293" i="7"/>
  <c r="D618" i="7"/>
  <c r="C618" i="7"/>
  <c r="F618" i="7"/>
  <c r="E618" i="7"/>
  <c r="D569" i="7"/>
  <c r="C569" i="7"/>
  <c r="E569" i="7"/>
  <c r="F569" i="7"/>
  <c r="E313" i="7"/>
  <c r="D313" i="7"/>
  <c r="F313" i="7"/>
  <c r="C313" i="7"/>
  <c r="E192" i="7"/>
  <c r="D192" i="7"/>
  <c r="F192" i="7"/>
  <c r="C192" i="7"/>
  <c r="D880" i="7"/>
  <c r="F880" i="7"/>
  <c r="E880" i="7"/>
  <c r="C880" i="7"/>
  <c r="D752" i="7"/>
  <c r="E752" i="7"/>
  <c r="F752" i="7"/>
  <c r="C752" i="7"/>
  <c r="D624" i="7"/>
  <c r="E624" i="7"/>
  <c r="F624" i="7"/>
  <c r="C624" i="7"/>
  <c r="F839" i="7"/>
  <c r="D839" i="7"/>
  <c r="E839" i="7"/>
  <c r="C839" i="7"/>
  <c r="F711" i="7"/>
  <c r="D711" i="7"/>
  <c r="E711" i="7"/>
  <c r="C711" i="7"/>
  <c r="F583" i="7"/>
  <c r="D583" i="7"/>
  <c r="E583" i="7"/>
  <c r="C583" i="7"/>
  <c r="E455" i="7"/>
  <c r="F455" i="7"/>
  <c r="D455" i="7"/>
  <c r="C455" i="7"/>
  <c r="E327" i="7"/>
  <c r="F327" i="7"/>
  <c r="D327" i="7"/>
  <c r="C327" i="7"/>
  <c r="D476" i="7"/>
  <c r="E476" i="7"/>
  <c r="F476" i="7"/>
  <c r="C476" i="7"/>
  <c r="E220" i="7"/>
  <c r="F220" i="7"/>
  <c r="D220" i="7"/>
  <c r="C220" i="7"/>
  <c r="E94" i="7"/>
  <c r="C94" i="7"/>
  <c r="F94" i="7"/>
  <c r="D94" i="7"/>
  <c r="F494" i="7"/>
  <c r="C494" i="7"/>
  <c r="D494" i="7"/>
  <c r="E494" i="7"/>
  <c r="F366" i="7"/>
  <c r="C366" i="7"/>
  <c r="D366" i="7"/>
  <c r="E366" i="7"/>
  <c r="F238" i="7"/>
  <c r="C238" i="7"/>
  <c r="E238" i="7"/>
  <c r="D238" i="7"/>
  <c r="E43" i="7"/>
  <c r="C43" i="7"/>
  <c r="F43" i="7"/>
  <c r="D43" i="7"/>
  <c r="C130" i="7"/>
  <c r="D130" i="7"/>
  <c r="F130" i="7"/>
  <c r="E130" i="7"/>
  <c r="D195" i="7"/>
  <c r="C195" i="7"/>
  <c r="F195" i="7"/>
  <c r="E195" i="7"/>
  <c r="D403" i="7"/>
  <c r="E403" i="7"/>
  <c r="F403" i="7"/>
  <c r="C403" i="7"/>
  <c r="D275" i="7"/>
  <c r="E275" i="7"/>
  <c r="F275" i="7"/>
  <c r="C275" i="7"/>
  <c r="E372" i="7"/>
  <c r="F372" i="7"/>
  <c r="D372" i="7"/>
  <c r="C372" i="7"/>
  <c r="E55" i="7"/>
  <c r="F55" i="7"/>
  <c r="D55" i="7"/>
  <c r="C55" i="7"/>
  <c r="E570" i="7"/>
  <c r="D570" i="7"/>
  <c r="F570" i="7"/>
  <c r="C570" i="7"/>
  <c r="F442" i="7"/>
  <c r="E442" i="7"/>
  <c r="D442" i="7"/>
  <c r="C442" i="7"/>
  <c r="D314" i="7"/>
  <c r="F314" i="7"/>
  <c r="E314" i="7"/>
  <c r="C314" i="7"/>
  <c r="C186" i="7"/>
  <c r="F186" i="7"/>
  <c r="D186" i="7"/>
  <c r="E186" i="7"/>
  <c r="C197" i="7"/>
  <c r="D197" i="7"/>
  <c r="F197" i="7"/>
  <c r="E197" i="7"/>
  <c r="D26" i="7"/>
  <c r="E26" i="7"/>
  <c r="F26" i="7"/>
  <c r="C26" i="7"/>
  <c r="E117" i="7"/>
  <c r="D117" i="7"/>
  <c r="F117" i="7"/>
  <c r="C117" i="7"/>
  <c r="E104" i="7"/>
  <c r="F104" i="7"/>
  <c r="D104" i="7"/>
  <c r="C104" i="7"/>
  <c r="F408" i="7"/>
  <c r="E408" i="7"/>
  <c r="D408" i="7"/>
  <c r="C408" i="7"/>
  <c r="D897" i="7"/>
  <c r="F897" i="7"/>
  <c r="E897" i="7"/>
  <c r="C897" i="7"/>
  <c r="D1005" i="7"/>
  <c r="E1005" i="7"/>
  <c r="F1005" i="7"/>
  <c r="C1005" i="7"/>
  <c r="C597" i="7"/>
  <c r="F597" i="7"/>
  <c r="D597" i="7"/>
  <c r="E597" i="7"/>
  <c r="C440" i="7"/>
  <c r="E440" i="7"/>
  <c r="D440" i="7"/>
  <c r="F440" i="7"/>
  <c r="C850" i="7"/>
  <c r="D850" i="7"/>
  <c r="E850" i="7"/>
  <c r="F850" i="7"/>
  <c r="D156" i="7"/>
  <c r="C156" i="7"/>
  <c r="E156" i="7"/>
  <c r="F156" i="7"/>
  <c r="E12" i="7"/>
  <c r="D12" i="7"/>
  <c r="C12" i="7"/>
  <c r="F12" i="7"/>
  <c r="F753" i="7"/>
  <c r="E753" i="7"/>
  <c r="C753" i="7"/>
  <c r="D753" i="7"/>
  <c r="D922" i="7"/>
  <c r="F922" i="7"/>
  <c r="C922" i="7"/>
  <c r="E922" i="7"/>
  <c r="E948" i="7"/>
  <c r="F948" i="7"/>
  <c r="C948" i="7"/>
  <c r="D948" i="7"/>
  <c r="C841" i="7"/>
  <c r="D841" i="7"/>
  <c r="F841" i="7"/>
  <c r="E841" i="7"/>
  <c r="C341" i="7"/>
  <c r="D341" i="7"/>
  <c r="F341" i="7"/>
  <c r="E341" i="7"/>
  <c r="C937" i="7"/>
  <c r="E937" i="7"/>
  <c r="D937" i="7"/>
  <c r="F937" i="7"/>
  <c r="E28" i="7"/>
  <c r="C28" i="7"/>
  <c r="F28" i="7"/>
  <c r="D28" i="7"/>
  <c r="D858" i="7"/>
  <c r="E858" i="7"/>
  <c r="F858" i="7"/>
  <c r="C858" i="7"/>
  <c r="F802" i="7"/>
  <c r="E802" i="7"/>
  <c r="D802" i="7"/>
  <c r="C802" i="7"/>
  <c r="D92" i="7"/>
  <c r="C92" i="7"/>
  <c r="E92" i="7"/>
  <c r="F92" i="7"/>
  <c r="E424" i="7"/>
  <c r="D424" i="7"/>
  <c r="C424" i="7"/>
  <c r="F424" i="7"/>
  <c r="C429" i="7"/>
  <c r="F429" i="7"/>
  <c r="D429" i="7"/>
  <c r="E429" i="7"/>
  <c r="C773" i="7"/>
  <c r="E773" i="7"/>
  <c r="D773" i="7"/>
  <c r="F773" i="7"/>
  <c r="C869" i="7"/>
  <c r="D869" i="7"/>
  <c r="E869" i="7"/>
  <c r="F869" i="7"/>
  <c r="C782" i="7"/>
  <c r="D782" i="7"/>
  <c r="F782" i="7"/>
  <c r="E782" i="7"/>
  <c r="F991" i="7"/>
  <c r="C991" i="7"/>
  <c r="D991" i="7"/>
  <c r="E991" i="7"/>
  <c r="F385" i="7"/>
  <c r="C385" i="7"/>
  <c r="D385" i="7"/>
  <c r="E385" i="7"/>
  <c r="D837" i="7"/>
  <c r="C837" i="7"/>
  <c r="E837" i="7"/>
  <c r="F837" i="7"/>
  <c r="D750" i="7"/>
  <c r="C750" i="7"/>
  <c r="F750" i="7"/>
  <c r="E750" i="7"/>
  <c r="E975" i="7"/>
  <c r="F975" i="7"/>
  <c r="D975" i="7"/>
  <c r="C975" i="7"/>
  <c r="D417" i="7"/>
  <c r="F417" i="7"/>
  <c r="E417" i="7"/>
  <c r="C417" i="7"/>
  <c r="F464" i="7"/>
  <c r="C464" i="7"/>
  <c r="D464" i="7"/>
  <c r="E464" i="7"/>
  <c r="E70" i="7"/>
  <c r="C70" i="7"/>
  <c r="F70" i="7"/>
  <c r="D70" i="7"/>
  <c r="F820" i="7"/>
  <c r="C820" i="7"/>
  <c r="E820" i="7"/>
  <c r="D820" i="7"/>
  <c r="F692" i="7"/>
  <c r="C692" i="7"/>
  <c r="E692" i="7"/>
  <c r="D692" i="7"/>
  <c r="F907" i="7"/>
  <c r="C907" i="7"/>
  <c r="E907" i="7"/>
  <c r="D907" i="7"/>
  <c r="F779" i="7"/>
  <c r="C779" i="7"/>
  <c r="D779" i="7"/>
  <c r="E779" i="7"/>
  <c r="F651" i="7"/>
  <c r="C651" i="7"/>
  <c r="D651" i="7"/>
  <c r="E651" i="7"/>
  <c r="F523" i="7"/>
  <c r="C523" i="7"/>
  <c r="E523" i="7"/>
  <c r="D523" i="7"/>
  <c r="D289" i="7"/>
  <c r="E289" i="7"/>
  <c r="F289" i="7"/>
  <c r="C289" i="7"/>
  <c r="E111" i="7"/>
  <c r="C111" i="7"/>
  <c r="F111" i="7"/>
  <c r="D111" i="7"/>
  <c r="D868" i="7"/>
  <c r="E868" i="7"/>
  <c r="F868" i="7"/>
  <c r="C868" i="7"/>
  <c r="E740" i="7"/>
  <c r="F740" i="7"/>
  <c r="D740" i="7"/>
  <c r="C740" i="7"/>
  <c r="E612" i="7"/>
  <c r="F612" i="7"/>
  <c r="D612" i="7"/>
  <c r="C612" i="7"/>
  <c r="E827" i="7"/>
  <c r="F827" i="7"/>
  <c r="D827" i="7"/>
  <c r="C827" i="7"/>
  <c r="E699" i="7"/>
  <c r="F699" i="7"/>
  <c r="D699" i="7"/>
  <c r="C699" i="7"/>
  <c r="E571" i="7"/>
  <c r="F571" i="7"/>
  <c r="D571" i="7"/>
  <c r="C571" i="7"/>
  <c r="F392" i="7"/>
  <c r="D392" i="7"/>
  <c r="E392" i="7"/>
  <c r="C392" i="7"/>
  <c r="F669" i="7"/>
  <c r="C669" i="7"/>
  <c r="D669" i="7"/>
  <c r="E669" i="7"/>
  <c r="F925" i="7"/>
  <c r="C925" i="7"/>
  <c r="D925" i="7"/>
  <c r="E925" i="7"/>
  <c r="E838" i="7"/>
  <c r="C838" i="7"/>
  <c r="F838" i="7"/>
  <c r="D838" i="7"/>
  <c r="F585" i="7"/>
  <c r="C585" i="7"/>
  <c r="E585" i="7"/>
  <c r="D585" i="7"/>
  <c r="C329" i="7"/>
  <c r="F329" i="7"/>
  <c r="D329" i="7"/>
  <c r="E329" i="7"/>
  <c r="C224" i="7"/>
  <c r="D224" i="7"/>
  <c r="F224" i="7"/>
  <c r="E224" i="7"/>
  <c r="C888" i="7"/>
  <c r="F888" i="7"/>
  <c r="D888" i="7"/>
  <c r="E888" i="7"/>
  <c r="C760" i="7"/>
  <c r="D760" i="7"/>
  <c r="E760" i="7"/>
  <c r="F760" i="7"/>
  <c r="E541" i="7"/>
  <c r="C541" i="7"/>
  <c r="D541" i="7"/>
  <c r="F541" i="7"/>
  <c r="E742" i="7"/>
  <c r="F742" i="7"/>
  <c r="D742" i="7"/>
  <c r="C742" i="7"/>
  <c r="D425" i="7"/>
  <c r="E425" i="7"/>
  <c r="C425" i="7"/>
  <c r="F425" i="7"/>
  <c r="C936" i="7"/>
  <c r="F936" i="7"/>
  <c r="E936" i="7"/>
  <c r="D936" i="7"/>
  <c r="C664" i="7"/>
  <c r="F664" i="7"/>
  <c r="E664" i="7"/>
  <c r="D664" i="7"/>
  <c r="C879" i="7"/>
  <c r="D879" i="7"/>
  <c r="F879" i="7"/>
  <c r="E879" i="7"/>
  <c r="C751" i="7"/>
  <c r="D751" i="7"/>
  <c r="F751" i="7"/>
  <c r="E751" i="7"/>
  <c r="C623" i="7"/>
  <c r="D623" i="7"/>
  <c r="F623" i="7"/>
  <c r="E623" i="7"/>
  <c r="C495" i="7"/>
  <c r="F495" i="7"/>
  <c r="E495" i="7"/>
  <c r="D495" i="7"/>
  <c r="C367" i="7"/>
  <c r="F367" i="7"/>
  <c r="E367" i="7"/>
  <c r="D367" i="7"/>
  <c r="C556" i="7"/>
  <c r="F556" i="7"/>
  <c r="D556" i="7"/>
  <c r="E556" i="7"/>
  <c r="C300" i="7"/>
  <c r="E300" i="7"/>
  <c r="D300" i="7"/>
  <c r="F300" i="7"/>
  <c r="D161" i="7"/>
  <c r="C161" i="7"/>
  <c r="E161" i="7"/>
  <c r="F161" i="7"/>
  <c r="C534" i="7"/>
  <c r="E534" i="7"/>
  <c r="D534" i="7"/>
  <c r="F534" i="7"/>
  <c r="E406" i="7"/>
  <c r="C406" i="7"/>
  <c r="F406" i="7"/>
  <c r="D406" i="7"/>
  <c r="F278" i="7"/>
  <c r="C278" i="7"/>
  <c r="D278" i="7"/>
  <c r="E278" i="7"/>
  <c r="C123" i="7"/>
  <c r="E123" i="7"/>
  <c r="D123" i="7"/>
  <c r="F123" i="7"/>
  <c r="D637" i="7"/>
  <c r="C637" i="7"/>
  <c r="E637" i="7"/>
  <c r="F637" i="7"/>
  <c r="C806" i="7"/>
  <c r="E806" i="7"/>
  <c r="D806" i="7"/>
  <c r="F806" i="7"/>
  <c r="C361" i="7"/>
  <c r="D361" i="7"/>
  <c r="F361" i="7"/>
  <c r="E361" i="7"/>
  <c r="C904" i="7"/>
  <c r="E904" i="7"/>
  <c r="D904" i="7"/>
  <c r="F904" i="7"/>
  <c r="C680" i="7"/>
  <c r="D680" i="7"/>
  <c r="E680" i="7"/>
  <c r="F680" i="7"/>
  <c r="C767" i="7"/>
  <c r="E767" i="7"/>
  <c r="F767" i="7"/>
  <c r="D767" i="7"/>
  <c r="C511" i="7"/>
  <c r="D511" i="7"/>
  <c r="E511" i="7"/>
  <c r="F511" i="7"/>
  <c r="C588" i="7"/>
  <c r="E588" i="7"/>
  <c r="D588" i="7"/>
  <c r="F588" i="7"/>
  <c r="F233" i="7"/>
  <c r="D233" i="7"/>
  <c r="E233" i="7"/>
  <c r="C233" i="7"/>
  <c r="E422" i="7"/>
  <c r="D422" i="7"/>
  <c r="F422" i="7"/>
  <c r="C422" i="7"/>
  <c r="E155" i="7"/>
  <c r="F155" i="7"/>
  <c r="C155" i="7"/>
  <c r="D155" i="7"/>
  <c r="E146" i="7"/>
  <c r="C146" i="7"/>
  <c r="D146" i="7"/>
  <c r="F146" i="7"/>
  <c r="E203" i="7"/>
  <c r="F203" i="7"/>
  <c r="C203" i="7"/>
  <c r="D203" i="7"/>
  <c r="E411" i="7"/>
  <c r="F411" i="7"/>
  <c r="C411" i="7"/>
  <c r="D411" i="7"/>
  <c r="E283" i="7"/>
  <c r="F283" i="7"/>
  <c r="C283" i="7"/>
  <c r="D283" i="7"/>
  <c r="C388" i="7"/>
  <c r="E388" i="7"/>
  <c r="D388" i="7"/>
  <c r="F388" i="7"/>
  <c r="C87" i="7"/>
  <c r="E87" i="7"/>
  <c r="F87" i="7"/>
  <c r="D87" i="7"/>
  <c r="C578" i="7"/>
  <c r="F578" i="7"/>
  <c r="E578" i="7"/>
  <c r="D578" i="7"/>
  <c r="C450" i="7"/>
  <c r="D450" i="7"/>
  <c r="F450" i="7"/>
  <c r="E450" i="7"/>
  <c r="C322" i="7"/>
  <c r="F322" i="7"/>
  <c r="E322" i="7"/>
  <c r="D322" i="7"/>
  <c r="C194" i="7"/>
  <c r="D194" i="7"/>
  <c r="F194" i="7"/>
  <c r="E194" i="7"/>
  <c r="F213" i="7"/>
  <c r="C213" i="7"/>
  <c r="E213" i="7"/>
  <c r="D213" i="7"/>
  <c r="C799" i="7"/>
  <c r="E799" i="7"/>
  <c r="F799" i="7"/>
  <c r="D799" i="7"/>
  <c r="C543" i="7"/>
  <c r="D543" i="7"/>
  <c r="E543" i="7"/>
  <c r="F543" i="7"/>
  <c r="C287" i="7"/>
  <c r="D287" i="7"/>
  <c r="E287" i="7"/>
  <c r="F287" i="7"/>
  <c r="D103" i="7"/>
  <c r="F103" i="7"/>
  <c r="C103" i="7"/>
  <c r="E103" i="7"/>
  <c r="C454" i="7"/>
  <c r="F454" i="7"/>
  <c r="D454" i="7"/>
  <c r="E454" i="7"/>
  <c r="C198" i="7"/>
  <c r="F198" i="7"/>
  <c r="E198" i="7"/>
  <c r="D198" i="7"/>
  <c r="E9" i="7"/>
  <c r="F9" i="7"/>
  <c r="D9" i="7"/>
  <c r="C9" i="7"/>
  <c r="E219" i="7"/>
  <c r="D219" i="7"/>
  <c r="F219" i="7"/>
  <c r="C219" i="7"/>
  <c r="E427" i="7"/>
  <c r="D427" i="7"/>
  <c r="F427" i="7"/>
  <c r="C427" i="7"/>
  <c r="E299" i="7"/>
  <c r="D299" i="7"/>
  <c r="F299" i="7"/>
  <c r="C299" i="7"/>
  <c r="E420" i="7"/>
  <c r="C420" i="7"/>
  <c r="D420" i="7"/>
  <c r="F420" i="7"/>
  <c r="C151" i="7"/>
  <c r="D151" i="7"/>
  <c r="F151" i="7"/>
  <c r="E151" i="7"/>
  <c r="D594" i="7"/>
  <c r="C594" i="7"/>
  <c r="E594" i="7"/>
  <c r="F594" i="7"/>
  <c r="E466" i="7"/>
  <c r="C466" i="7"/>
  <c r="F466" i="7"/>
  <c r="D466" i="7"/>
  <c r="D338" i="7"/>
  <c r="C338" i="7"/>
  <c r="E338" i="7"/>
  <c r="F338" i="7"/>
  <c r="F210" i="7"/>
  <c r="C210" i="7"/>
  <c r="E210" i="7"/>
  <c r="D210" i="7"/>
  <c r="F245" i="7"/>
  <c r="E245" i="7"/>
  <c r="D245" i="7"/>
  <c r="C245" i="7"/>
  <c r="E74" i="7"/>
  <c r="D74" i="7"/>
  <c r="C74" i="7"/>
  <c r="F74" i="7"/>
  <c r="D157" i="7"/>
  <c r="E157" i="7"/>
  <c r="C157" i="7"/>
  <c r="F157" i="7"/>
  <c r="E128" i="7"/>
  <c r="D128" i="7"/>
  <c r="C128" i="7"/>
  <c r="F128" i="7"/>
  <c r="D81" i="7"/>
  <c r="E81" i="7"/>
  <c r="C81" i="7"/>
  <c r="F81" i="7"/>
  <c r="C801" i="7"/>
  <c r="F801" i="7"/>
  <c r="E801" i="7"/>
  <c r="D801" i="7"/>
  <c r="C957" i="7"/>
  <c r="F957" i="7"/>
  <c r="D957" i="7"/>
  <c r="E957" i="7"/>
  <c r="C504" i="7"/>
  <c r="F504" i="7"/>
  <c r="E504" i="7"/>
  <c r="D504" i="7"/>
  <c r="C970" i="7"/>
  <c r="F970" i="7"/>
  <c r="E970" i="7"/>
  <c r="D970" i="7"/>
  <c r="C809" i="7"/>
  <c r="D809" i="7"/>
  <c r="F809" i="7"/>
  <c r="E809" i="7"/>
  <c r="E13" i="7"/>
  <c r="C13" i="7"/>
  <c r="D13" i="7"/>
  <c r="F13" i="7"/>
  <c r="D52" i="7"/>
  <c r="C52" i="7"/>
  <c r="E52" i="7"/>
  <c r="F52" i="7"/>
  <c r="C581" i="7"/>
  <c r="E581" i="7"/>
  <c r="F581" i="7"/>
  <c r="D581" i="7"/>
  <c r="C762" i="7"/>
  <c r="E762" i="7"/>
  <c r="D762" i="7"/>
  <c r="F762" i="7"/>
  <c r="C988" i="7"/>
  <c r="D988" i="7"/>
  <c r="E988" i="7"/>
  <c r="F988" i="7"/>
  <c r="E610" i="7"/>
  <c r="F610" i="7"/>
  <c r="C610" i="7"/>
  <c r="D610" i="7"/>
  <c r="E882" i="7"/>
  <c r="F882" i="7"/>
  <c r="C882" i="7"/>
  <c r="D882" i="7"/>
  <c r="C31" i="7"/>
  <c r="D31" i="7"/>
  <c r="E31" i="7"/>
  <c r="F31" i="7"/>
  <c r="D525" i="7"/>
  <c r="E525" i="7"/>
  <c r="C525" i="7"/>
  <c r="F525" i="7"/>
  <c r="F821" i="7"/>
  <c r="E821" i="7"/>
  <c r="C821" i="7"/>
  <c r="D821" i="7"/>
  <c r="E734" i="7"/>
  <c r="F734" i="7"/>
  <c r="C734" i="7"/>
  <c r="D734" i="7"/>
  <c r="C967" i="7"/>
  <c r="F967" i="7"/>
  <c r="D967" i="7"/>
  <c r="E967" i="7"/>
  <c r="C433" i="7"/>
  <c r="D433" i="7"/>
  <c r="F433" i="7"/>
  <c r="E433" i="7"/>
  <c r="C432" i="7"/>
  <c r="D432" i="7"/>
  <c r="E432" i="7"/>
  <c r="F432" i="7"/>
  <c r="F940" i="7"/>
  <c r="D940" i="7"/>
  <c r="C940" i="7"/>
  <c r="E940" i="7"/>
  <c r="F812" i="7"/>
  <c r="D812" i="7"/>
  <c r="C812" i="7"/>
  <c r="E812" i="7"/>
  <c r="E684" i="7"/>
  <c r="D684" i="7"/>
  <c r="C684" i="7"/>
  <c r="F684" i="7"/>
  <c r="D899" i="7"/>
  <c r="E899" i="7"/>
  <c r="C899" i="7"/>
  <c r="F899" i="7"/>
  <c r="F771" i="7"/>
  <c r="D771" i="7"/>
  <c r="C771" i="7"/>
  <c r="E771" i="7"/>
  <c r="F643" i="7"/>
  <c r="D643" i="7"/>
  <c r="C643" i="7"/>
  <c r="E643" i="7"/>
  <c r="E515" i="7"/>
  <c r="F515" i="7"/>
  <c r="C515" i="7"/>
  <c r="D515" i="7"/>
  <c r="C381" i="7"/>
  <c r="D381" i="7"/>
  <c r="F381" i="7"/>
  <c r="E381" i="7"/>
  <c r="D749" i="7"/>
  <c r="C749" i="7"/>
  <c r="E749" i="7"/>
  <c r="F749" i="7"/>
  <c r="C662" i="7"/>
  <c r="E662" i="7"/>
  <c r="D662" i="7"/>
  <c r="F662" i="7"/>
  <c r="C918" i="7"/>
  <c r="E918" i="7"/>
  <c r="F918" i="7"/>
  <c r="D918" i="7"/>
  <c r="E42" i="7"/>
  <c r="F42" i="7"/>
  <c r="D42" i="7"/>
  <c r="C42" i="7"/>
  <c r="D133" i="7"/>
  <c r="F133" i="7"/>
  <c r="C133" i="7"/>
  <c r="E133" i="7"/>
  <c r="E112" i="7"/>
  <c r="F112" i="7"/>
  <c r="C112" i="7"/>
  <c r="D112" i="7"/>
  <c r="C280" i="7"/>
  <c r="F280" i="7"/>
  <c r="E280" i="7"/>
  <c r="D280" i="7"/>
  <c r="C865" i="7"/>
  <c r="E865" i="7"/>
  <c r="D865" i="7"/>
  <c r="F865" i="7"/>
  <c r="D989" i="7"/>
  <c r="C989" i="7"/>
  <c r="E989" i="7"/>
  <c r="F989" i="7"/>
  <c r="C469" i="7"/>
  <c r="D469" i="7"/>
  <c r="F469" i="7"/>
  <c r="E469" i="7"/>
  <c r="E22" i="7"/>
  <c r="F22" i="7"/>
  <c r="D22" i="7"/>
  <c r="C22" i="7"/>
  <c r="C722" i="7"/>
  <c r="F722" i="7"/>
  <c r="D722" i="7"/>
  <c r="E722" i="7"/>
  <c r="D164" i="7"/>
  <c r="F164" i="7"/>
  <c r="C164" i="7"/>
  <c r="E164" i="7"/>
  <c r="E36" i="7"/>
  <c r="F36" i="7"/>
  <c r="C36" i="7"/>
  <c r="D36" i="7"/>
  <c r="C657" i="7"/>
  <c r="D657" i="7"/>
  <c r="F657" i="7"/>
  <c r="E657" i="7"/>
  <c r="C826" i="7"/>
  <c r="D826" i="7"/>
  <c r="F826" i="7"/>
  <c r="E826" i="7"/>
  <c r="C972" i="7"/>
  <c r="E972" i="7"/>
  <c r="D972" i="7"/>
  <c r="F972" i="7"/>
  <c r="E738" i="7"/>
  <c r="D738" i="7"/>
  <c r="F738" i="7"/>
  <c r="C738" i="7"/>
  <c r="E978" i="7"/>
  <c r="D978" i="7"/>
  <c r="F978" i="7"/>
  <c r="C978" i="7"/>
  <c r="F232" i="7"/>
  <c r="D232" i="7"/>
  <c r="E232" i="7"/>
  <c r="C232" i="7"/>
  <c r="F589" i="7"/>
  <c r="D589" i="7"/>
  <c r="E589" i="7"/>
  <c r="C589" i="7"/>
  <c r="F853" i="7"/>
  <c r="D853" i="7"/>
  <c r="E853" i="7"/>
  <c r="C853" i="7"/>
  <c r="F766" i="7"/>
  <c r="E766" i="7"/>
  <c r="D766" i="7"/>
  <c r="C766" i="7"/>
  <c r="C983" i="7"/>
  <c r="E983" i="7"/>
  <c r="F983" i="7"/>
  <c r="D983" i="7"/>
  <c r="C401" i="7"/>
  <c r="D401" i="7"/>
  <c r="F401" i="7"/>
  <c r="E401" i="7"/>
  <c r="C368" i="7"/>
  <c r="D368" i="7"/>
  <c r="E368" i="7"/>
  <c r="F368" i="7"/>
  <c r="D924" i="7"/>
  <c r="F924" i="7"/>
  <c r="E924" i="7"/>
  <c r="C924" i="7"/>
  <c r="D796" i="7"/>
  <c r="F796" i="7"/>
  <c r="E796" i="7"/>
  <c r="C796" i="7"/>
  <c r="E668" i="7"/>
  <c r="F668" i="7"/>
  <c r="D668" i="7"/>
  <c r="C668" i="7"/>
  <c r="D883" i="7"/>
  <c r="F883" i="7"/>
  <c r="E883" i="7"/>
  <c r="C883" i="7"/>
  <c r="F755" i="7"/>
  <c r="E755" i="7"/>
  <c r="D755" i="7"/>
  <c r="C755" i="7"/>
  <c r="F627" i="7"/>
  <c r="E627" i="7"/>
  <c r="D627" i="7"/>
  <c r="C627" i="7"/>
  <c r="C54" i="7"/>
  <c r="F54" i="7"/>
  <c r="D54" i="7"/>
  <c r="E54" i="7"/>
  <c r="E445" i="7"/>
  <c r="F445" i="7"/>
  <c r="D445" i="7"/>
  <c r="C445" i="7"/>
  <c r="D781" i="7"/>
  <c r="F781" i="7"/>
  <c r="C781" i="7"/>
  <c r="E781" i="7"/>
  <c r="E694" i="7"/>
  <c r="F694" i="7"/>
  <c r="D694" i="7"/>
  <c r="C694" i="7"/>
  <c r="C947" i="7"/>
  <c r="D947" i="7"/>
  <c r="E947" i="7"/>
  <c r="F947" i="7"/>
  <c r="D473" i="7"/>
  <c r="E473" i="7"/>
  <c r="C473" i="7"/>
  <c r="F473" i="7"/>
  <c r="D512" i="7"/>
  <c r="C512" i="7"/>
  <c r="F512" i="7"/>
  <c r="E512" i="7"/>
  <c r="C166" i="7"/>
  <c r="D166" i="7"/>
  <c r="F166" i="7"/>
  <c r="E166" i="7"/>
  <c r="F832" i="7"/>
  <c r="C832" i="7"/>
  <c r="E832" i="7"/>
  <c r="D832" i="7"/>
  <c r="F704" i="7"/>
  <c r="C704" i="7"/>
  <c r="E704" i="7"/>
  <c r="D704" i="7"/>
  <c r="F919" i="7"/>
  <c r="C919" i="7"/>
  <c r="D919" i="7"/>
  <c r="E919" i="7"/>
  <c r="D791" i="7"/>
  <c r="C791" i="7"/>
  <c r="E791" i="7"/>
  <c r="F791" i="7"/>
  <c r="D663" i="7"/>
  <c r="C663" i="7"/>
  <c r="E663" i="7"/>
  <c r="F663" i="7"/>
  <c r="F535" i="7"/>
  <c r="C535" i="7"/>
  <c r="D535" i="7"/>
  <c r="E535" i="7"/>
  <c r="F407" i="7"/>
  <c r="C407" i="7"/>
  <c r="D407" i="7"/>
  <c r="E407" i="7"/>
  <c r="F279" i="7"/>
  <c r="C279" i="7"/>
  <c r="D279" i="7"/>
  <c r="E279" i="7"/>
  <c r="E380" i="7"/>
  <c r="C380" i="7"/>
  <c r="D380" i="7"/>
  <c r="F380" i="7"/>
  <c r="E71" i="7"/>
  <c r="C71" i="7"/>
  <c r="F71" i="7"/>
  <c r="D71" i="7"/>
  <c r="C574" i="7"/>
  <c r="F574" i="7"/>
  <c r="D574" i="7"/>
  <c r="E574" i="7"/>
  <c r="C446" i="7"/>
  <c r="E446" i="7"/>
  <c r="D446" i="7"/>
  <c r="F446" i="7"/>
  <c r="C318" i="7"/>
  <c r="F318" i="7"/>
  <c r="E318" i="7"/>
  <c r="D318" i="7"/>
  <c r="C190" i="7"/>
  <c r="D190" i="7"/>
  <c r="F190" i="7"/>
  <c r="E190" i="7"/>
  <c r="F205" i="7"/>
  <c r="C205" i="7"/>
  <c r="E205" i="7"/>
  <c r="D205" i="7"/>
  <c r="C34" i="7"/>
  <c r="E34" i="7"/>
  <c r="F34" i="7"/>
  <c r="D34" i="7"/>
  <c r="E483" i="7"/>
  <c r="C483" i="7"/>
  <c r="F483" i="7"/>
  <c r="D483" i="7"/>
  <c r="E355" i="7"/>
  <c r="C355" i="7"/>
  <c r="F355" i="7"/>
  <c r="D355" i="7"/>
  <c r="F532" i="7"/>
  <c r="C532" i="7"/>
  <c r="D532" i="7"/>
  <c r="E532" i="7"/>
  <c r="E276" i="7"/>
  <c r="C276" i="7"/>
  <c r="F276" i="7"/>
  <c r="D276" i="7"/>
  <c r="C65" i="7"/>
  <c r="E65" i="7"/>
  <c r="F65" i="7"/>
  <c r="D65" i="7"/>
  <c r="E522" i="7"/>
  <c r="C522" i="7"/>
  <c r="D522" i="7"/>
  <c r="F522" i="7"/>
  <c r="E394" i="7"/>
  <c r="C394" i="7"/>
  <c r="D394" i="7"/>
  <c r="F394" i="7"/>
  <c r="F266" i="7"/>
  <c r="C266" i="7"/>
  <c r="E266" i="7"/>
  <c r="D266" i="7"/>
  <c r="C99" i="7"/>
  <c r="D99" i="7"/>
  <c r="F99" i="7"/>
  <c r="E99" i="7"/>
  <c r="D25" i="7"/>
  <c r="C25" i="7"/>
  <c r="E25" i="7"/>
  <c r="F25" i="7"/>
  <c r="C223" i="7"/>
  <c r="D223" i="7"/>
  <c r="F223" i="7"/>
  <c r="E223" i="7"/>
  <c r="E21" i="7"/>
  <c r="D21" i="7"/>
  <c r="F21" i="7"/>
  <c r="C21" i="7"/>
  <c r="E56" i="7"/>
  <c r="D56" i="7"/>
  <c r="F56" i="7"/>
  <c r="C56" i="7"/>
  <c r="E549" i="7"/>
  <c r="C549" i="7"/>
  <c r="D549" i="7"/>
  <c r="F549" i="7"/>
  <c r="D746" i="7"/>
  <c r="C746" i="7"/>
  <c r="F746" i="7"/>
  <c r="E746" i="7"/>
  <c r="C505" i="7"/>
  <c r="D505" i="7"/>
  <c r="E505" i="7"/>
  <c r="F505" i="7"/>
  <c r="E576" i="7"/>
  <c r="D576" i="7"/>
  <c r="F576" i="7"/>
  <c r="C576" i="7"/>
  <c r="C209" i="7"/>
  <c r="F209" i="7"/>
  <c r="E209" i="7"/>
  <c r="D209" i="7"/>
  <c r="D848" i="7"/>
  <c r="F848" i="7"/>
  <c r="E848" i="7"/>
  <c r="C848" i="7"/>
  <c r="D720" i="7"/>
  <c r="E720" i="7"/>
  <c r="F720" i="7"/>
  <c r="C720" i="7"/>
  <c r="E935" i="7"/>
  <c r="F935" i="7"/>
  <c r="D935" i="7"/>
  <c r="C935" i="7"/>
  <c r="F807" i="7"/>
  <c r="D807" i="7"/>
  <c r="E807" i="7"/>
  <c r="C807" i="7"/>
  <c r="F679" i="7"/>
  <c r="D679" i="7"/>
  <c r="E679" i="7"/>
  <c r="C679" i="7"/>
  <c r="E551" i="7"/>
  <c r="F551" i="7"/>
  <c r="D551" i="7"/>
  <c r="C551" i="7"/>
  <c r="E423" i="7"/>
  <c r="F423" i="7"/>
  <c r="D423" i="7"/>
  <c r="C423" i="7"/>
  <c r="E295" i="7"/>
  <c r="F295" i="7"/>
  <c r="D295" i="7"/>
  <c r="C295" i="7"/>
  <c r="F412" i="7"/>
  <c r="E412" i="7"/>
  <c r="D412" i="7"/>
  <c r="C412" i="7"/>
  <c r="D135" i="7"/>
  <c r="C135" i="7"/>
  <c r="F135" i="7"/>
  <c r="E135" i="7"/>
  <c r="E590" i="7"/>
  <c r="C590" i="7"/>
  <c r="D590" i="7"/>
  <c r="F590" i="7"/>
  <c r="F462" i="7"/>
  <c r="C462" i="7"/>
  <c r="D462" i="7"/>
  <c r="E462" i="7"/>
  <c r="D334" i="7"/>
  <c r="C334" i="7"/>
  <c r="E334" i="7"/>
  <c r="F334" i="7"/>
  <c r="F206" i="7"/>
  <c r="C206" i="7"/>
  <c r="E206" i="7"/>
  <c r="D206" i="7"/>
  <c r="F237" i="7"/>
  <c r="E237" i="7"/>
  <c r="D237" i="7"/>
  <c r="C237" i="7"/>
  <c r="D66" i="7"/>
  <c r="C66" i="7"/>
  <c r="F66" i="7"/>
  <c r="E66" i="7"/>
  <c r="D499" i="7"/>
  <c r="E499" i="7"/>
  <c r="F499" i="7"/>
  <c r="C499" i="7"/>
  <c r="D371" i="7"/>
  <c r="E371" i="7"/>
  <c r="F371" i="7"/>
  <c r="C371" i="7"/>
  <c r="F564" i="7"/>
  <c r="E564" i="7"/>
  <c r="D564" i="7"/>
  <c r="C564" i="7"/>
  <c r="D308" i="7"/>
  <c r="F308" i="7"/>
  <c r="E308" i="7"/>
  <c r="C308" i="7"/>
  <c r="F185" i="7"/>
  <c r="C185" i="7"/>
  <c r="D185" i="7"/>
  <c r="E185" i="7"/>
  <c r="F538" i="7"/>
  <c r="E538" i="7"/>
  <c r="D538" i="7"/>
  <c r="C538" i="7"/>
  <c r="F410" i="7"/>
  <c r="E410" i="7"/>
  <c r="D410" i="7"/>
  <c r="C410" i="7"/>
  <c r="D282" i="7"/>
  <c r="F282" i="7"/>
  <c r="E282" i="7"/>
  <c r="C282" i="7"/>
  <c r="C131" i="7"/>
  <c r="F131" i="7"/>
  <c r="D131" i="7"/>
  <c r="E131" i="7"/>
  <c r="C89" i="7"/>
  <c r="D89" i="7"/>
  <c r="F89" i="7"/>
  <c r="E89" i="7"/>
  <c r="E239" i="7"/>
  <c r="C239" i="7"/>
  <c r="F239" i="7"/>
  <c r="D239" i="7"/>
  <c r="E53" i="7"/>
  <c r="D53" i="7"/>
  <c r="F53" i="7"/>
  <c r="C53" i="7"/>
  <c r="D72" i="7"/>
  <c r="E72" i="7"/>
  <c r="F72" i="7"/>
  <c r="C72" i="7"/>
  <c r="F421" i="7"/>
  <c r="E421" i="7"/>
  <c r="D421" i="7"/>
  <c r="C421" i="7"/>
  <c r="F682" i="7"/>
  <c r="E682" i="7"/>
  <c r="D682" i="7"/>
  <c r="C682" i="7"/>
  <c r="C1006" i="7"/>
  <c r="F1006" i="7"/>
  <c r="E1006" i="7"/>
  <c r="D1006" i="7"/>
  <c r="C857" i="7"/>
  <c r="F857" i="7"/>
  <c r="E857" i="7"/>
  <c r="D857" i="7"/>
  <c r="C905" i="7"/>
  <c r="F905" i="7"/>
  <c r="E905" i="7"/>
  <c r="D905" i="7"/>
  <c r="E954" i="7"/>
  <c r="D954" i="7"/>
  <c r="C954" i="7"/>
  <c r="F954" i="7"/>
  <c r="D124" i="7"/>
  <c r="C124" i="7"/>
  <c r="F124" i="7"/>
  <c r="E124" i="7"/>
  <c r="E344" i="7"/>
  <c r="D344" i="7"/>
  <c r="C344" i="7"/>
  <c r="F344" i="7"/>
  <c r="F881" i="7"/>
  <c r="E881" i="7"/>
  <c r="C881" i="7"/>
  <c r="D881" i="7"/>
  <c r="F997" i="7"/>
  <c r="C997" i="7"/>
  <c r="D997" i="7"/>
  <c r="E997" i="7"/>
  <c r="E405" i="7"/>
  <c r="D405" i="7"/>
  <c r="C405" i="7"/>
  <c r="F405" i="7"/>
  <c r="D184" i="7"/>
  <c r="F184" i="7"/>
  <c r="E184" i="7"/>
  <c r="C184" i="7"/>
  <c r="C786" i="7"/>
  <c r="E786" i="7"/>
  <c r="F786" i="7"/>
  <c r="D786" i="7"/>
  <c r="C974" i="7"/>
  <c r="D974" i="7"/>
  <c r="E974" i="7"/>
  <c r="F974" i="7"/>
  <c r="C729" i="7"/>
  <c r="D729" i="7"/>
  <c r="F729" i="7"/>
  <c r="E729" i="7"/>
  <c r="C649" i="7"/>
  <c r="E649" i="7"/>
  <c r="D649" i="7"/>
  <c r="F649" i="7"/>
  <c r="D150" i="7"/>
  <c r="F150" i="7"/>
  <c r="E150" i="7"/>
  <c r="C150" i="7"/>
  <c r="D140" i="7"/>
  <c r="F140" i="7"/>
  <c r="E140" i="7"/>
  <c r="C140" i="7"/>
  <c r="F257" i="7"/>
  <c r="D257" i="7"/>
  <c r="E257" i="7"/>
  <c r="C257" i="7"/>
  <c r="E817" i="7"/>
  <c r="F817" i="7"/>
  <c r="D817" i="7"/>
  <c r="C817" i="7"/>
  <c r="D965" i="7"/>
  <c r="F965" i="7"/>
  <c r="E965" i="7"/>
  <c r="C965" i="7"/>
  <c r="E376" i="7"/>
  <c r="F376" i="7"/>
  <c r="D376" i="7"/>
  <c r="C376" i="7"/>
  <c r="F1001" i="7"/>
  <c r="D1001" i="7"/>
  <c r="E1001" i="7"/>
  <c r="C1001" i="7"/>
  <c r="C873" i="7"/>
  <c r="D873" i="7"/>
  <c r="F873" i="7"/>
  <c r="E873" i="7"/>
  <c r="C617" i="7"/>
  <c r="D617" i="7"/>
  <c r="F617" i="7"/>
  <c r="E617" i="7"/>
  <c r="C992" i="7"/>
  <c r="D992" i="7"/>
  <c r="E992" i="7"/>
  <c r="F992" i="7"/>
  <c r="C818" i="7"/>
  <c r="D818" i="7"/>
  <c r="E818" i="7"/>
  <c r="F818" i="7"/>
  <c r="D108" i="7"/>
  <c r="F108" i="7"/>
  <c r="E108" i="7"/>
  <c r="C108" i="7"/>
  <c r="E945" i="7"/>
  <c r="F945" i="7"/>
  <c r="D945" i="7"/>
  <c r="C945" i="7"/>
  <c r="F633" i="7"/>
  <c r="D633" i="7"/>
  <c r="E633" i="7"/>
  <c r="C633" i="7"/>
  <c r="C993" i="7"/>
  <c r="D993" i="7"/>
  <c r="E993" i="7"/>
  <c r="F993" i="7"/>
  <c r="H6" i="5"/>
  <c r="H10" i="5" l="1"/>
  <c r="H8" i="5"/>
  <c r="H14" i="5"/>
  <c r="H18" i="5"/>
  <c r="H15" i="5"/>
  <c r="H16" i="5"/>
  <c r="H13" i="5"/>
  <c r="H9" i="5"/>
  <c r="H11" i="5"/>
  <c r="H12" i="5"/>
  <c r="H5" i="5"/>
  <c r="H4" i="5"/>
  <c r="H17" i="5"/>
  <c r="H7" i="5"/>
  <c r="F16" i="6" l="1"/>
  <c r="F6" i="6"/>
  <c r="F7" i="6"/>
  <c r="F4" i="6"/>
  <c r="F15" i="6"/>
  <c r="F8" i="6"/>
  <c r="F11" i="6"/>
  <c r="F12" i="6"/>
  <c r="F10" i="6"/>
  <c r="F13" i="6"/>
  <c r="F14" i="6"/>
  <c r="F5" i="6"/>
  <c r="F9" i="6"/>
</calcChain>
</file>

<file path=xl/sharedStrings.xml><?xml version="1.0" encoding="utf-8"?>
<sst xmlns="http://schemas.openxmlformats.org/spreadsheetml/2006/main" count="340" uniqueCount="184">
  <si>
    <t>INDEPENDIENTE</t>
  </si>
  <si>
    <t>INTER-RUNNERS</t>
  </si>
  <si>
    <t>ATLETISMO PEÑA AZAGRESA</t>
  </si>
  <si>
    <t>360 RIOJA RUNNERS</t>
  </si>
  <si>
    <t>ATLETISMO FUSTIÑANA</t>
  </si>
  <si>
    <t>IGEA RUNNERS</t>
  </si>
  <si>
    <t>BAR ADONIX OYON</t>
  </si>
  <si>
    <t>IRANZU</t>
  </si>
  <si>
    <t>ABSOLUTA MASCULINA</t>
  </si>
  <si>
    <t>KANDEVICO</t>
  </si>
  <si>
    <t>MAPROVIRI</t>
  </si>
  <si>
    <t>PERALTA ATLETICO</t>
  </si>
  <si>
    <t>URBIKO TRIATLON</t>
  </si>
  <si>
    <t>CASTEJÓN RUNNERS</t>
  </si>
  <si>
    <t>CLARA CAMPOAMOR</t>
  </si>
  <si>
    <t>INFERNO ALFARO</t>
  </si>
  <si>
    <t>LA RIOJA ATLETISMO</t>
  </si>
  <si>
    <t>HIRU HERRI</t>
  </si>
  <si>
    <t>HIBERRIOJA</t>
  </si>
  <si>
    <t>FINCAS RIOJA INMOBILIARIA</t>
  </si>
  <si>
    <t>ARDOI</t>
  </si>
  <si>
    <t>CALAGURRIS ATLÉTICO</t>
  </si>
  <si>
    <t>BERRIOZAR KIROL ELKARTEA</t>
  </si>
  <si>
    <t>EL VILLAR RUNNING TEAM</t>
  </si>
  <si>
    <t>Dorsal</t>
  </si>
  <si>
    <t>Categoría</t>
  </si>
  <si>
    <t>Club</t>
  </si>
  <si>
    <t>Inscritos</t>
  </si>
  <si>
    <t>ATLETISMO SAN ADRIÁN</t>
  </si>
  <si>
    <t>RINCÓN ATLETISMO</t>
  </si>
  <si>
    <t>ATLETISMO ENTREVIÑAS</t>
  </si>
  <si>
    <t>SEBASTIÁN OMEÑACA</t>
  </si>
  <si>
    <t>ATLETISMO LODOSA</t>
  </si>
  <si>
    <t>ATLÉTICO LERINÉS</t>
  </si>
  <si>
    <t>VIANA TREKKING</t>
  </si>
  <si>
    <t>Participante</t>
  </si>
  <si>
    <t>ALICIA SANTOS ESPINOSA</t>
  </si>
  <si>
    <t>ALBERTO BENITO DEL RIO</t>
  </si>
  <si>
    <t>ALBERTO RUBIO BRETON</t>
  </si>
  <si>
    <t>ALBERTO ALVAREZ JIMENEZ</t>
  </si>
  <si>
    <t>ALEJANDRO MARQUEZ CANO</t>
  </si>
  <si>
    <t>ALVARO MARTINEZ MENDOZA</t>
  </si>
  <si>
    <t>ALEJANDRO MUÑOZ FERNÁNDEZ</t>
  </si>
  <si>
    <t>ALASSANE DIALLO</t>
  </si>
  <si>
    <t>ALEX ARAGON</t>
  </si>
  <si>
    <t>ALFREDO GASCA BELTRAN</t>
  </si>
  <si>
    <t>Id</t>
  </si>
  <si>
    <t>Corredor</t>
  </si>
  <si>
    <t>En Meta</t>
  </si>
  <si>
    <t>Tiempo Meta Masculino</t>
  </si>
  <si>
    <t>Num Meta Masculino</t>
  </si>
  <si>
    <t>Num Meta Femenino</t>
  </si>
  <si>
    <t>Tiempo Meta Femenino</t>
  </si>
  <si>
    <t>Num Meta Mixto</t>
  </si>
  <si>
    <t>Tiempo Meta Mixto</t>
  </si>
  <si>
    <t>Pos Meta Masculino</t>
  </si>
  <si>
    <t>Pos Meta Femenino</t>
  </si>
  <si>
    <t>Pos Meta Mixto</t>
  </si>
  <si>
    <t>CLASIFICACIONES EQUIPOS</t>
  </si>
  <si>
    <t>Por Equipos Masculino</t>
  </si>
  <si>
    <t>Por Equipos Femenino</t>
  </si>
  <si>
    <t>Por Equipos Mixto</t>
  </si>
  <si>
    <t>ZOTAS</t>
  </si>
  <si>
    <t>LOGROÑO TRIATLÓN</t>
  </si>
  <si>
    <t>CORRER ASTURIAS</t>
  </si>
  <si>
    <t>ATLETISMO RIBAFORADA</t>
  </si>
  <si>
    <t>ATLETISMO CORELLA</t>
  </si>
  <si>
    <t>ATLETISMO VILLAFRANCA</t>
  </si>
  <si>
    <t>AVC</t>
  </si>
  <si>
    <t>SALTOKI</t>
  </si>
  <si>
    <t>RUNNING ZARAGOZA</t>
  </si>
  <si>
    <t>VIZCAYA</t>
  </si>
  <si>
    <t>HIRUKI</t>
  </si>
  <si>
    <t>DE ROCHE</t>
  </si>
  <si>
    <t>INDEPENDIENTE-</t>
  </si>
  <si>
    <t>Participantes</t>
  </si>
  <si>
    <t>Otro Club</t>
  </si>
  <si>
    <t>Compite</t>
  </si>
  <si>
    <t>Sin Categoría</t>
  </si>
  <si>
    <t>Carrera</t>
  </si>
  <si>
    <t>LARGA</t>
  </si>
  <si>
    <t>Sin carrera</t>
  </si>
  <si>
    <t>LOS EQUIPOS</t>
  </si>
  <si>
    <t>LOS CORREDORES</t>
  </si>
  <si>
    <t>Orden</t>
  </si>
  <si>
    <t>LOS TIEMPOS</t>
  </si>
  <si>
    <t>Pos 1</t>
  </si>
  <si>
    <t>CARRERA Y CATEGORIA</t>
  </si>
  <si>
    <t>Valor 2</t>
  </si>
  <si>
    <t>Pos 2</t>
  </si>
  <si>
    <t>Valor 3</t>
  </si>
  <si>
    <t>CARRERA, CATEGORÍA Y CLUB</t>
  </si>
  <si>
    <t>POSICIONES</t>
  </si>
  <si>
    <t>Pos</t>
  </si>
  <si>
    <t>Tiempo</t>
  </si>
  <si>
    <t>Dato 1</t>
  </si>
  <si>
    <t>Dato 2</t>
  </si>
  <si>
    <t>Dato 3</t>
  </si>
  <si>
    <t>Tiempo Llegada</t>
  </si>
  <si>
    <t>Total Inscritos</t>
  </si>
  <si>
    <t>Total Llegados a Meta</t>
  </si>
  <si>
    <t>% En Meta</t>
  </si>
  <si>
    <t>2 M + 2 F</t>
  </si>
  <si>
    <t>4 M</t>
  </si>
  <si>
    <t>4 F</t>
  </si>
  <si>
    <t>BENJAMÍN FEMENINO</t>
  </si>
  <si>
    <t>BENJAMÍN MASCULINO</t>
  </si>
  <si>
    <t>ALEVÍN FEMENINO</t>
  </si>
  <si>
    <t>ALEVÍN MASCULINO</t>
  </si>
  <si>
    <t>LAS CATEGORÍAS (trofeos)</t>
  </si>
  <si>
    <t>PREBENJAMÍN</t>
  </si>
  <si>
    <t>CHUPETE</t>
  </si>
  <si>
    <t>CADETE MASCULINO</t>
  </si>
  <si>
    <t>CADETE FEMENINO</t>
  </si>
  <si>
    <t>SENIOR FEMENINO</t>
  </si>
  <si>
    <t>SENIOR MASCULINO</t>
  </si>
  <si>
    <t>VETERANO FEMENINO</t>
  </si>
  <si>
    <t>VETERANO MASCULINO</t>
  </si>
  <si>
    <t>Sexo</t>
  </si>
  <si>
    <t>Año</t>
  </si>
  <si>
    <t>Localidad</t>
  </si>
  <si>
    <t>Año Mínimo</t>
  </si>
  <si>
    <t>Año Máximo</t>
  </si>
  <si>
    <t>F</t>
  </si>
  <si>
    <t>M</t>
  </si>
  <si>
    <t>*</t>
  </si>
  <si>
    <t>CARRERA 1</t>
  </si>
  <si>
    <t>CARRERA 2</t>
  </si>
  <si>
    <t>CARRERA 3</t>
  </si>
  <si>
    <t>CARRERA 4</t>
  </si>
  <si>
    <t>CARRERA 5</t>
  </si>
  <si>
    <t>CARRERA 6</t>
  </si>
  <si>
    <t>CARRERA 7</t>
  </si>
  <si>
    <t>Distancia</t>
  </si>
  <si>
    <t>SEXOS</t>
  </si>
  <si>
    <t>Rincón de Soto</t>
  </si>
  <si>
    <t>Alfaro</t>
  </si>
  <si>
    <t>Corera</t>
  </si>
  <si>
    <t>Pamplona</t>
  </si>
  <si>
    <t>Calahorra</t>
  </si>
  <si>
    <t>Aldeanueva</t>
  </si>
  <si>
    <t>Lodosa</t>
  </si>
  <si>
    <t>Funes</t>
  </si>
  <si>
    <t>INFANTIL FEMENINO</t>
  </si>
  <si>
    <t>INFANTIL MASCULINO</t>
  </si>
  <si>
    <t>Hora Inicio</t>
  </si>
  <si>
    <t>MARCOS MARTINEZ</t>
  </si>
  <si>
    <t>CORREDOR DE PRUEBA</t>
  </si>
  <si>
    <t>RUBÉN MARTÍNEZ CARABANCHEL</t>
  </si>
  <si>
    <t>SANTIAGO GARCÍA LLORENTE</t>
  </si>
  <si>
    <t>CARRERA 8</t>
  </si>
  <si>
    <t>LAS CARRERAS (tantas como salidas diferentes)</t>
  </si>
  <si>
    <t>Botones1</t>
  </si>
  <si>
    <t>Estado</t>
  </si>
  <si>
    <t>Botones2</t>
  </si>
  <si>
    <t>Botones3</t>
  </si>
  <si>
    <t>Calcular</t>
  </si>
  <si>
    <t>TERESA SAINZ GARCIA</t>
  </si>
  <si>
    <t>JOSE JULIAN SAINZ</t>
  </si>
  <si>
    <t>MARCOS ALONSO</t>
  </si>
  <si>
    <t>JAJAJA</t>
  </si>
  <si>
    <t>está</t>
  </si>
  <si>
    <t>Número de Clubs</t>
  </si>
  <si>
    <t>Número de Inscritos</t>
  </si>
  <si>
    <t>Número de registros en meta</t>
  </si>
  <si>
    <t>PRIMERO</t>
  </si>
  <si>
    <t>SEGUNDO</t>
  </si>
  <si>
    <t>TERCERO</t>
  </si>
  <si>
    <t>CATEGORÍAS</t>
  </si>
  <si>
    <t>CATEGORÍA</t>
  </si>
  <si>
    <t>Pos 3</t>
  </si>
  <si>
    <t>Time1</t>
  </si>
  <si>
    <t>Time2</t>
  </si>
  <si>
    <t>Time3</t>
  </si>
  <si>
    <t>MACROS ACTIVADAS</t>
  </si>
  <si>
    <t>Dato</t>
  </si>
  <si>
    <t>Valor</t>
  </si>
  <si>
    <t>JUANJOSÉ BALLESTA LÁZARO</t>
  </si>
  <si>
    <t>TIMOTEO VARGAS LLOSA</t>
  </si>
  <si>
    <t>TOMAS CABALLERO</t>
  </si>
  <si>
    <t>MARIA MAGDALENA</t>
  </si>
  <si>
    <t>BOQUEPACHA</t>
  </si>
  <si>
    <t>LUISA BERNARDA</t>
  </si>
  <si>
    <t>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</si>
</sst>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hh:mm:ss"/>
  </numFmts>
  <fonts count="3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4"/>
      <color theme="9" tint="0.59999389629810485"/>
      <name val="Calibri"/>
      <family val="2"/>
      <scheme val="minor"/>
    </font>
    <font>
      <sz val="20"/>
      <color theme="9" tint="-0.249977111117893"/>
      <name val="Calibri"/>
      <family val="2"/>
      <scheme val="minor"/>
    </font>
    <font>
      <b/>
      <sz val="16"/>
      <color theme="9" tint="-0.249977111117893"/>
      <name val="Calibri"/>
      <family val="2"/>
      <scheme val="minor"/>
    </font>
    <font>
      <sz val="10"/>
      <name val="Calibri"/>
      <family val="2"/>
      <scheme val="minor"/>
    </font>
    <font>
      <i/>
      <sz val="10"/>
      <color rgb="FFFF0000"/>
      <name val="Century Schoolbook"/>
      <family val="1"/>
    </font>
    <font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5"/>
      <color theme="7" tint="0.59999389629810485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9"/>
      <name val="Calibri"/>
      <family val="2"/>
      <scheme val="minor"/>
    </font>
    <font>
      <sz val="20"/>
      <color theme="3"/>
      <name val="Calibri"/>
      <family val="2"/>
      <scheme val="minor"/>
    </font>
    <font>
      <sz val="12"/>
      <color theme="3" tint="0.79998168889431442"/>
      <name val="Calibri"/>
      <family val="2"/>
      <scheme val="minor"/>
    </font>
    <font>
      <b/>
      <sz val="24"/>
      <color theme="3" tint="0.79998168889431442"/>
      <name val="Calibri"/>
      <family val="2"/>
      <scheme val="minor"/>
    </font>
    <font>
      <sz val="10"/>
      <color theme="3" tint="0.79998168889431442"/>
      <name val="Calibri"/>
      <family val="2"/>
      <scheme val="minor"/>
    </font>
    <font>
      <b/>
      <sz val="14"/>
      <color theme="3" tint="0.79998168889431442"/>
      <name val="Calibri"/>
      <family val="2"/>
      <scheme val="minor"/>
    </font>
    <font>
      <sz val="12"/>
      <color theme="3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4"/>
      <color indexed="8"/>
      <name val="Calibri"/>
      <family val="2"/>
      <scheme val="minor"/>
    </font>
    <font>
      <sz val="11"/>
      <name val="Calibri"/>
      <family val="2"/>
      <scheme val="minor"/>
    </font>
    <font>
      <sz val="10"/>
      <color theme="3"/>
      <name val="Calibri"/>
      <family val="2"/>
      <scheme val="minor"/>
    </font>
    <font>
      <sz val="4"/>
      <color theme="3"/>
      <name val="Calibri"/>
      <family val="2"/>
      <scheme val="minor"/>
    </font>
    <font>
      <b/>
      <sz val="24"/>
      <color theme="6" tint="0.59999389629810485"/>
      <name val="Calibri"/>
      <family val="2"/>
      <scheme val="minor"/>
    </font>
    <font>
      <sz val="11"/>
      <color theme="6" tint="0.59999389629810485"/>
      <name val="Calibri"/>
      <family val="2"/>
      <scheme val="minor"/>
    </font>
    <font>
      <b/>
      <sz val="14"/>
      <color theme="6" tint="-0.499984740745262"/>
      <name val="Calibri"/>
      <family val="2"/>
      <scheme val="minor"/>
    </font>
    <font>
      <b/>
      <sz val="22"/>
      <color theme="7" tint="0.59999389629810485"/>
      <name val="Calibri"/>
      <family val="2"/>
      <scheme val="minor"/>
    </font>
    <font>
      <sz val="9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3"/>
        <bgColor indexed="64"/>
      </patternFill>
    </fill>
    <fill>
      <patternFill patternType="solid">
        <fgColor theme="3"/>
        <bgColor theme="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</fills>
  <borders count="28">
    <border>
      <left/>
      <right/>
      <top/>
      <bottom/>
      <diagonal/>
    </border>
    <border>
      <left style="thick">
        <color theme="5"/>
      </left>
      <right/>
      <top/>
      <bottom/>
      <diagonal/>
    </border>
    <border>
      <left style="thick">
        <color theme="9"/>
      </left>
      <right style="thick">
        <color theme="9"/>
      </right>
      <top style="thick">
        <color theme="9"/>
      </top>
      <bottom style="thick">
        <color theme="9"/>
      </bottom>
      <diagonal/>
    </border>
    <border>
      <left style="thick">
        <color theme="9"/>
      </left>
      <right/>
      <top/>
      <bottom/>
      <diagonal/>
    </border>
    <border>
      <left/>
      <right style="thick">
        <color theme="9"/>
      </right>
      <top/>
      <bottom/>
      <diagonal/>
    </border>
    <border>
      <left style="thick">
        <color theme="9"/>
      </left>
      <right/>
      <top/>
      <bottom style="thick">
        <color theme="9"/>
      </bottom>
      <diagonal/>
    </border>
    <border>
      <left/>
      <right/>
      <top/>
      <bottom style="thick">
        <color theme="9"/>
      </bottom>
      <diagonal/>
    </border>
    <border>
      <left style="thick">
        <color theme="9"/>
      </left>
      <right/>
      <top style="thick">
        <color theme="9"/>
      </top>
      <bottom style="thick">
        <color theme="9"/>
      </bottom>
      <diagonal/>
    </border>
    <border>
      <left/>
      <right/>
      <top style="thick">
        <color theme="9"/>
      </top>
      <bottom style="thick">
        <color theme="9"/>
      </bottom>
      <diagonal/>
    </border>
    <border>
      <left/>
      <right style="thick">
        <color theme="9"/>
      </right>
      <top style="thick">
        <color theme="9"/>
      </top>
      <bottom style="thick">
        <color theme="9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ck">
        <color theme="9"/>
      </right>
      <top/>
      <bottom style="thick">
        <color theme="9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ck">
        <color theme="3"/>
      </left>
      <right style="thick">
        <color theme="3"/>
      </right>
      <top style="thick">
        <color theme="3"/>
      </top>
      <bottom style="thick">
        <color theme="3"/>
      </bottom>
      <diagonal/>
    </border>
    <border>
      <left style="thick">
        <color theme="3"/>
      </left>
      <right style="thick">
        <color theme="3"/>
      </right>
      <top style="thick">
        <color theme="3"/>
      </top>
      <bottom/>
      <diagonal/>
    </border>
    <border>
      <left style="thick">
        <color theme="3"/>
      </left>
      <right style="thick">
        <color theme="3"/>
      </right>
      <top/>
      <bottom style="thick">
        <color theme="3"/>
      </bottom>
      <diagonal/>
    </border>
    <border>
      <left style="thick">
        <color theme="3"/>
      </left>
      <right/>
      <top/>
      <bottom/>
      <diagonal/>
    </border>
    <border>
      <left style="thick">
        <color theme="3"/>
      </left>
      <right/>
      <top style="thick">
        <color theme="3"/>
      </top>
      <bottom style="thick">
        <color theme="3"/>
      </bottom>
      <diagonal/>
    </border>
    <border>
      <left/>
      <right/>
      <top style="thick">
        <color theme="3"/>
      </top>
      <bottom style="thick">
        <color theme="3"/>
      </bottom>
      <diagonal/>
    </border>
    <border>
      <left/>
      <right style="thick">
        <color theme="3"/>
      </right>
      <top style="thick">
        <color theme="3"/>
      </top>
      <bottom style="thick">
        <color theme="3"/>
      </bottom>
      <diagonal/>
    </border>
    <border>
      <left style="thick">
        <color theme="8"/>
      </left>
      <right/>
      <top/>
      <bottom/>
      <diagonal/>
    </border>
    <border>
      <left/>
      <right style="thick">
        <color theme="8"/>
      </right>
      <top/>
      <bottom/>
      <diagonal/>
    </border>
  </borders>
  <cellStyleXfs count="2">
    <xf numFmtId="0" fontId="0" fillId="0" borderId="0"/>
    <xf numFmtId="9" fontId="15" fillId="0" borderId="0" applyFont="0" applyFill="0" applyBorder="0" applyAlignment="0" applyProtection="0"/>
  </cellStyleXfs>
  <cellXfs count="135">
    <xf numFmtId="0" fontId="0" fillId="0" borderId="0" xfId="0"/>
    <xf numFmtId="0" fontId="2" fillId="0" borderId="0" xfId="0" applyFont="1" applyFill="1" applyBorder="1" applyAlignment="1">
      <alignment horizontal="justify" vertical="center" wrapText="1"/>
    </xf>
    <xf numFmtId="0" fontId="3" fillId="0" borderId="0" xfId="0" applyFont="1" applyFill="1" applyBorder="1" applyAlignment="1">
      <alignment horizontal="right" vertical="center" wrapText="1" indent="1"/>
    </xf>
    <xf numFmtId="0" fontId="1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right" vertical="center" indent="1"/>
    </xf>
    <xf numFmtId="0" fontId="1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4" fillId="0" borderId="0" xfId="0" applyFont="1"/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3" xfId="0" applyBorder="1" applyAlignment="1">
      <alignment horizontal="center"/>
    </xf>
    <xf numFmtId="0" fontId="1" fillId="0" borderId="7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/>
    </xf>
    <xf numFmtId="164" fontId="0" fillId="0" borderId="0" xfId="0" applyNumberFormat="1" applyBorder="1" applyAlignment="1">
      <alignment horizontal="center"/>
    </xf>
    <xf numFmtId="0" fontId="0" fillId="0" borderId="9" xfId="0" applyFont="1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6" fillId="3" borderId="5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 wrapText="1" indent="1"/>
    </xf>
    <xf numFmtId="0" fontId="3" fillId="0" borderId="0" xfId="0" applyNumberFormat="1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justify" vertical="center" wrapText="1"/>
    </xf>
    <xf numFmtId="0" fontId="9" fillId="0" borderId="0" xfId="0" applyFont="1" applyFill="1" applyBorder="1" applyAlignment="1">
      <alignment horizontal="left" vertical="center" wrapText="1"/>
    </xf>
    <xf numFmtId="0" fontId="0" fillId="0" borderId="0" xfId="0" applyAlignment="1">
      <alignment horizontal="right" indent="2"/>
    </xf>
    <xf numFmtId="0" fontId="0" fillId="5" borderId="0" xfId="0" applyFont="1" applyFill="1" applyBorder="1" applyAlignment="1">
      <alignment horizontal="center" vertical="center" wrapText="1"/>
    </xf>
    <xf numFmtId="0" fontId="0" fillId="5" borderId="0" xfId="0" applyFont="1" applyFill="1" applyBorder="1" applyAlignment="1">
      <alignment horizontal="right" vertical="center" wrapText="1" indent="2"/>
    </xf>
    <xf numFmtId="0" fontId="4" fillId="0" borderId="12" xfId="0" applyFont="1" applyBorder="1" applyAlignment="1">
      <alignment horizontal="right" indent="2"/>
    </xf>
    <xf numFmtId="0" fontId="4" fillId="0" borderId="0" xfId="0" applyFont="1" applyBorder="1"/>
    <xf numFmtId="0" fontId="4" fillId="0" borderId="0" xfId="0" applyFont="1" applyBorder="1" applyAlignment="1">
      <alignment horizontal="right" indent="2"/>
    </xf>
    <xf numFmtId="0" fontId="1" fillId="0" borderId="0" xfId="0" applyFont="1"/>
    <xf numFmtId="0" fontId="10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/>
    </xf>
    <xf numFmtId="0" fontId="0" fillId="5" borderId="14" xfId="0" applyFont="1" applyFill="1" applyBorder="1" applyAlignment="1">
      <alignment horizontal="right" vertical="center" wrapText="1" indent="2"/>
    </xf>
    <xf numFmtId="0" fontId="4" fillId="0" borderId="14" xfId="0" applyFont="1" applyBorder="1" applyAlignment="1">
      <alignment horizontal="right" indent="2"/>
    </xf>
    <xf numFmtId="0" fontId="11" fillId="5" borderId="0" xfId="0" applyFont="1" applyFill="1" applyBorder="1" applyAlignment="1">
      <alignment horizontal="right" vertical="center" wrapText="1" indent="2"/>
    </xf>
    <xf numFmtId="165" fontId="4" fillId="0" borderId="0" xfId="0" applyNumberFormat="1" applyFont="1"/>
    <xf numFmtId="0" fontId="1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13" fillId="2" borderId="10" xfId="0" applyFont="1" applyFill="1" applyBorder="1" applyAlignment="1">
      <alignment horizontal="left" vertical="center"/>
    </xf>
    <xf numFmtId="10" fontId="4" fillId="0" borderId="0" xfId="1" applyNumberFormat="1" applyFont="1" applyAlignment="1">
      <alignment horizontal="center" vertical="center"/>
    </xf>
    <xf numFmtId="0" fontId="2" fillId="6" borderId="0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0" fillId="0" borderId="0" xfId="0" applyNumberFormat="1" applyAlignment="1">
      <alignment horizontal="right" indent="2"/>
    </xf>
    <xf numFmtId="0" fontId="0" fillId="0" borderId="0" xfId="0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 wrapText="1"/>
    </xf>
    <xf numFmtId="0" fontId="4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64" fontId="0" fillId="0" borderId="0" xfId="0" applyNumberFormat="1" applyFill="1" applyBorder="1"/>
    <xf numFmtId="0" fontId="0" fillId="0" borderId="0" xfId="0" applyFill="1" applyBorder="1"/>
    <xf numFmtId="0" fontId="17" fillId="0" borderId="0" xfId="0" applyFont="1" applyAlignment="1">
      <alignment horizontal="center" vertical="center"/>
    </xf>
    <xf numFmtId="22" fontId="0" fillId="0" borderId="0" xfId="0" applyNumberFormat="1" applyFill="1" applyBorder="1" applyAlignment="1">
      <alignment horizontal="right" indent="2"/>
    </xf>
    <xf numFmtId="164" fontId="18" fillId="0" borderId="0" xfId="0" applyNumberFormat="1" applyFont="1" applyFill="1" applyBorder="1"/>
    <xf numFmtId="22" fontId="11" fillId="5" borderId="0" xfId="0" applyNumberFormat="1" applyFont="1" applyFill="1" applyBorder="1" applyAlignment="1">
      <alignment horizontal="right" vertical="center" wrapText="1" indent="2"/>
    </xf>
    <xf numFmtId="0" fontId="4" fillId="0" borderId="0" xfId="0" applyFont="1" applyBorder="1" applyAlignment="1">
      <alignment vertical="center"/>
    </xf>
    <xf numFmtId="164" fontId="4" fillId="0" borderId="0" xfId="0" applyNumberFormat="1" applyFont="1" applyBorder="1" applyAlignment="1">
      <alignment horizontal="center" vertical="center"/>
    </xf>
    <xf numFmtId="0" fontId="4" fillId="0" borderId="0" xfId="0" applyNumberFormat="1" applyFont="1" applyBorder="1" applyAlignment="1">
      <alignment vertical="center"/>
    </xf>
    <xf numFmtId="0" fontId="4" fillId="0" borderId="0" xfId="0" applyNumberFormat="1" applyFont="1" applyBorder="1" applyAlignment="1">
      <alignment horizontal="center" vertical="center"/>
    </xf>
    <xf numFmtId="0" fontId="4" fillId="0" borderId="18" xfId="0" applyFont="1" applyBorder="1" applyAlignment="1">
      <alignment vertical="center"/>
    </xf>
    <xf numFmtId="164" fontId="4" fillId="0" borderId="18" xfId="0" applyNumberFormat="1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3" xfId="0" applyNumberFormat="1" applyFont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justify" vertical="center" wrapText="1"/>
    </xf>
    <xf numFmtId="0" fontId="19" fillId="0" borderId="0" xfId="0" applyFont="1" applyFill="1" applyBorder="1" applyAlignment="1">
      <alignment horizontal="left" vertical="center" wrapText="1"/>
    </xf>
    <xf numFmtId="0" fontId="19" fillId="0" borderId="0" xfId="0" applyNumberFormat="1" applyFont="1" applyFill="1" applyBorder="1" applyAlignment="1">
      <alignment horizontal="left" vertical="center" wrapText="1" indent="1"/>
    </xf>
    <xf numFmtId="164" fontId="4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vertical="center"/>
    </xf>
    <xf numFmtId="0" fontId="4" fillId="0" borderId="0" xfId="0" applyNumberFormat="1" applyFont="1" applyAlignment="1">
      <alignment horizontal="center" vertical="center"/>
    </xf>
    <xf numFmtId="0" fontId="21" fillId="8" borderId="19" xfId="0" applyFont="1" applyFill="1" applyBorder="1" applyAlignment="1">
      <alignment horizontal="center" vertical="center" wrapText="1"/>
    </xf>
    <xf numFmtId="0" fontId="21" fillId="7" borderId="19" xfId="0" applyFont="1" applyFill="1" applyBorder="1" applyAlignment="1">
      <alignment horizontal="center" vertical="center" wrapText="1"/>
    </xf>
    <xf numFmtId="164" fontId="24" fillId="7" borderId="19" xfId="0" applyNumberFormat="1" applyFont="1" applyFill="1" applyBorder="1" applyAlignment="1">
      <alignment horizontal="center" wrapText="1"/>
    </xf>
    <xf numFmtId="0" fontId="25" fillId="8" borderId="19" xfId="0" applyFont="1" applyFill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5" fillId="7" borderId="20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164" fontId="27" fillId="0" borderId="0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/>
    </xf>
    <xf numFmtId="22" fontId="26" fillId="7" borderId="21" xfId="0" applyNumberFormat="1" applyFont="1" applyFill="1" applyBorder="1" applyAlignment="1">
      <alignment horizontal="center" vertical="center" wrapText="1"/>
    </xf>
    <xf numFmtId="0" fontId="28" fillId="0" borderId="0" xfId="0" applyFont="1" applyFill="1"/>
    <xf numFmtId="0" fontId="21" fillId="7" borderId="19" xfId="0" applyFont="1" applyFill="1" applyBorder="1" applyAlignment="1">
      <alignment horizontal="center" vertical="center"/>
    </xf>
    <xf numFmtId="0" fontId="21" fillId="7" borderId="19" xfId="0" applyFont="1" applyFill="1" applyBorder="1" applyAlignment="1">
      <alignment vertical="center"/>
    </xf>
    <xf numFmtId="0" fontId="21" fillId="7" borderId="0" xfId="0" applyFont="1" applyFill="1" applyBorder="1" applyAlignment="1">
      <alignment horizontal="center" vertical="center" wrapText="1"/>
    </xf>
    <xf numFmtId="0" fontId="2" fillId="0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justify" vertical="center" wrapText="1"/>
    </xf>
    <xf numFmtId="0" fontId="25" fillId="7" borderId="0" xfId="0" applyFont="1" applyFill="1" applyBorder="1" applyAlignment="1">
      <alignment horizontal="center" vertical="center" wrapText="1"/>
    </xf>
    <xf numFmtId="0" fontId="25" fillId="7" borderId="19" xfId="0" applyFont="1" applyFill="1" applyBorder="1" applyAlignment="1">
      <alignment horizontal="center" vertical="center"/>
    </xf>
    <xf numFmtId="0" fontId="23" fillId="8" borderId="19" xfId="0" applyFont="1" applyFill="1" applyBorder="1" applyAlignment="1">
      <alignment horizontal="center" vertical="center" wrapText="1"/>
    </xf>
    <xf numFmtId="0" fontId="29" fillId="8" borderId="19" xfId="0" applyFont="1" applyFill="1" applyBorder="1" applyAlignment="1">
      <alignment horizontal="center" vertical="center" wrapText="1"/>
    </xf>
    <xf numFmtId="0" fontId="30" fillId="7" borderId="21" xfId="0" applyFont="1" applyFill="1" applyBorder="1" applyAlignment="1">
      <alignment vertical="center"/>
    </xf>
    <xf numFmtId="0" fontId="19" fillId="0" borderId="0" xfId="0" applyNumberFormat="1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164" fontId="0" fillId="0" borderId="27" xfId="0" applyNumberForma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4" fillId="0" borderId="26" xfId="0" applyFont="1" applyBorder="1" applyAlignment="1">
      <alignment horizontal="center" vertical="center"/>
    </xf>
    <xf numFmtId="0" fontId="32" fillId="10" borderId="0" xfId="0" applyFont="1" applyFill="1" applyAlignment="1">
      <alignment horizontal="center" vertical="center"/>
    </xf>
    <xf numFmtId="0" fontId="2" fillId="0" borderId="0" xfId="0" applyNumberFormat="1" applyFont="1" applyFill="1" applyAlignment="1">
      <alignment horizontal="justify" vertical="center" wrapText="1"/>
    </xf>
    <xf numFmtId="0" fontId="20" fillId="9" borderId="22" xfId="0" applyFont="1" applyFill="1" applyBorder="1" applyAlignment="1">
      <alignment horizontal="center" vertical="center"/>
    </xf>
    <xf numFmtId="0" fontId="20" fillId="9" borderId="0" xfId="0" applyFont="1" applyFill="1" applyBorder="1" applyAlignment="1">
      <alignment horizontal="center" vertical="center"/>
    </xf>
    <xf numFmtId="0" fontId="22" fillId="7" borderId="22" xfId="0" applyFont="1" applyFill="1" applyBorder="1" applyAlignment="1">
      <alignment horizontal="center" vertical="center" wrapText="1"/>
    </xf>
    <xf numFmtId="0" fontId="22" fillId="7" borderId="0" xfId="0" applyFont="1" applyFill="1" applyBorder="1" applyAlignment="1">
      <alignment horizontal="center" vertical="center" wrapText="1"/>
    </xf>
    <xf numFmtId="0" fontId="22" fillId="7" borderId="19" xfId="0" applyFont="1" applyFill="1" applyBorder="1" applyAlignment="1">
      <alignment horizontal="center" vertical="center" wrapText="1"/>
    </xf>
    <xf numFmtId="0" fontId="20" fillId="9" borderId="23" xfId="0" applyFont="1" applyFill="1" applyBorder="1" applyAlignment="1">
      <alignment horizontal="center" vertical="center"/>
    </xf>
    <xf numFmtId="0" fontId="20" fillId="9" borderId="24" xfId="0" applyFont="1" applyFill="1" applyBorder="1" applyAlignment="1">
      <alignment horizontal="center" vertical="center"/>
    </xf>
    <xf numFmtId="0" fontId="20" fillId="9" borderId="25" xfId="0" applyFont="1" applyFill="1" applyBorder="1" applyAlignment="1">
      <alignment horizontal="center" vertical="center"/>
    </xf>
    <xf numFmtId="0" fontId="22" fillId="7" borderId="19" xfId="0" applyFont="1" applyFill="1" applyBorder="1" applyAlignment="1">
      <alignment horizontal="center" vertical="center"/>
    </xf>
    <xf numFmtId="0" fontId="31" fillId="10" borderId="0" xfId="0" applyFont="1" applyFill="1" applyBorder="1" applyAlignment="1">
      <alignment horizontal="center" vertical="center"/>
    </xf>
    <xf numFmtId="0" fontId="12" fillId="5" borderId="12" xfId="0" applyFont="1" applyFill="1" applyBorder="1" applyAlignment="1">
      <alignment horizontal="center" vertical="center" wrapText="1"/>
    </xf>
    <xf numFmtId="0" fontId="12" fillId="5" borderId="0" xfId="0" applyFont="1" applyFill="1" applyBorder="1" applyAlignment="1">
      <alignment horizontal="center" vertical="center" wrapText="1"/>
    </xf>
    <xf numFmtId="0" fontId="34" fillId="5" borderId="12" xfId="0" applyFont="1" applyFill="1" applyBorder="1" applyAlignment="1">
      <alignment horizontal="center" vertical="center"/>
    </xf>
    <xf numFmtId="0" fontId="34" fillId="5" borderId="0" xfId="0" applyFont="1" applyFill="1" applyBorder="1" applyAlignment="1">
      <alignment horizontal="center" vertical="center"/>
    </xf>
    <xf numFmtId="0" fontId="33" fillId="11" borderId="0" xfId="0" applyFont="1" applyFill="1" applyBorder="1" applyAlignment="1">
      <alignment horizontal="center" vertical="center"/>
    </xf>
    <xf numFmtId="0" fontId="14" fillId="0" borderId="15" xfId="0" applyFont="1" applyBorder="1" applyAlignment="1">
      <alignment horizontal="left" vertical="center"/>
    </xf>
    <xf numFmtId="0" fontId="14" fillId="0" borderId="11" xfId="0" applyFont="1" applyBorder="1" applyAlignment="1">
      <alignment horizontal="left" vertical="center"/>
    </xf>
    <xf numFmtId="0" fontId="13" fillId="2" borderId="15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0" fontId="5" fillId="4" borderId="0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124">
    <dxf>
      <numFmt numFmtId="0" formatCode="General"/>
      <alignment horizontal="left" vertical="center" textRotation="0" wrapText="0" indent="1" justifyLastLine="0" shrinkToFit="0" readingOrder="0"/>
      <border diagonalUp="0" diagonalDown="0">
        <left/>
        <right style="thick">
          <color theme="9"/>
        </right>
        <top/>
        <bottom/>
        <vertical/>
        <horizontal/>
      </border>
    </dxf>
    <dxf>
      <numFmt numFmtId="164" formatCode="[$-F400]h:mm:ss\ AM/PM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ck">
          <color theme="9"/>
        </left>
        <right/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numFmt numFmtId="0" formatCode="General"/>
      <alignment horizontal="left" vertical="center" textRotation="0" wrapText="0" indent="1" justifyLastLine="0" shrinkToFit="0" readingOrder="0"/>
      <border diagonalUp="0" diagonalDown="0">
        <left/>
        <right style="thick">
          <color theme="9"/>
        </right>
        <top/>
        <bottom/>
        <vertical/>
        <horizontal/>
      </border>
    </dxf>
    <dxf>
      <numFmt numFmtId="164" formatCode="[$-F400]h:mm:ss\ AM/PM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ck">
          <color auto="1"/>
        </top>
        <bottom style="thick">
          <color auto="1"/>
        </bottom>
      </border>
    </dxf>
    <dxf>
      <numFmt numFmtId="0" formatCode="General"/>
      <alignment horizontal="left" vertical="center" textRotation="0" wrapText="0" relativeIndent="1" justifyLastLine="0" shrinkToFit="0" readingOrder="0"/>
      <border diagonalUp="0" diagonalDown="0">
        <left/>
        <right style="thick">
          <color theme="9"/>
        </right>
        <top style="thick">
          <color auto="1"/>
        </top>
        <bottom style="thick">
          <color auto="1"/>
        </bottom>
      </border>
    </dxf>
    <dxf>
      <numFmt numFmtId="164" formatCode="[$-F400]h:mm:ss\ AM/PM"/>
      <alignment horizontal="center" vertical="bottom" textRotation="0" wrapText="0" indent="0" justifyLastLine="0" shrinkToFit="0" readingOrder="0"/>
      <border diagonalUp="0" diagonalDown="0" outline="0">
        <left/>
        <right/>
        <top style="thick">
          <color auto="1"/>
        </top>
        <bottom style="thick">
          <color auto="1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ck">
          <color auto="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relativeIndent="1" justifyLastLine="0" shrinkToFit="0" readingOrder="0"/>
    </dxf>
    <dxf>
      <border>
        <bottom style="thick">
          <color theme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[$-F400]h:mm:ss\ AM/P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indent="0" justifyLastLine="0" shrinkToFit="0" readingOrder="0"/>
    </dxf>
    <dxf>
      <font>
        <color theme="5" tint="0.59996337778862885"/>
      </font>
      <fill>
        <patternFill>
          <bgColor theme="5" tint="-0.24994659260841701"/>
        </patternFill>
      </fill>
    </dxf>
    <dxf>
      <numFmt numFmtId="0" formatCode="General"/>
      <alignment horizontal="right" vertical="bottom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79998168889431442"/>
        <name val="Calibri"/>
        <scheme val="minor"/>
      </font>
      <fill>
        <patternFill patternType="none">
          <fgColor indexed="64"/>
          <bgColor theme="3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1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1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</dxf>
    <dxf>
      <border>
        <bottom style="thick">
          <color theme="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79998168889431442"/>
        <name val="Calibri"/>
        <scheme val="minor"/>
      </font>
      <fill>
        <patternFill patternType="solid">
          <fgColor indexed="64"/>
          <bgColor theme="3"/>
        </patternFill>
      </fill>
      <alignment vertical="center" textRotation="0" indent="0" justifyLastLine="0" shrinkToFit="0" readingOrder="0"/>
      <border diagonalUp="0" diagonalDown="0" outline="0">
        <left style="thick">
          <color theme="3"/>
        </left>
        <right style="thick">
          <color theme="3"/>
        </right>
        <top/>
        <bottom/>
      </border>
    </dxf>
    <dxf>
      <font>
        <color theme="5" tint="-0.24994659260841701"/>
      </font>
      <fill>
        <patternFill>
          <bgColor theme="5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6" tint="-0.24994659260841701"/>
      </font>
      <fill>
        <patternFill>
          <bgColor theme="6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vertical="bottom" textRotation="0" wrapText="1" indent="0" justifyLastLine="0" shrinkToFit="0" readingOrder="0"/>
    </dxf>
    <dxf>
      <numFmt numFmtId="0" formatCode="General"/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ck">
          <color theme="5"/>
        </top>
      </border>
    </dxf>
    <dxf>
      <border>
        <bottom style="thick">
          <color theme="3"/>
        </bottom>
      </border>
    </dxf>
    <dxf>
      <font>
        <strike val="0"/>
        <outline val="0"/>
        <shadow val="0"/>
        <u val="none"/>
        <vertAlign val="baseline"/>
        <color theme="3" tint="0.79998168889431442"/>
        <name val="Calibri"/>
        <scheme val="minor"/>
      </font>
      <fill>
        <patternFill>
          <bgColor theme="3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theme="3"/>
        </left>
        <right style="thick">
          <color theme="3"/>
        </right>
        <top/>
        <bottom/>
      </border>
    </dxf>
    <dxf>
      <numFmt numFmtId="164" formatCode="[$-F400]h:mm:ss\ AM/PM"/>
    </dxf>
    <dxf>
      <numFmt numFmtId="27" formatCode="dd/mm/yyyy\ h:mm"/>
      <fill>
        <patternFill patternType="none">
          <fgColor indexed="64"/>
          <bgColor indexed="65"/>
        </patternFill>
      </fill>
      <alignment horizontal="right" vertical="bottom" textRotation="0" wrapText="0" indent="2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 tint="-0.14999847407452621"/>
        <name val="Calibri"/>
        <scheme val="minor"/>
      </font>
      <numFmt numFmtId="164" formatCode="[$-F400]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ck">
          <color rgb="FFC0504D"/>
        </top>
      </border>
    </dxf>
    <dxf>
      <border>
        <bottom style="thick">
          <color theme="3"/>
        </bottom>
      </border>
    </dxf>
    <dxf>
      <font>
        <strike val="0"/>
        <outline val="0"/>
        <shadow val="0"/>
        <u val="none"/>
        <vertAlign val="baseline"/>
        <color theme="3" tint="0.79998168889431442"/>
        <name val="Calibri"/>
        <scheme val="minor"/>
      </font>
      <fill>
        <patternFill>
          <bgColor theme="3"/>
        </patternFill>
      </fill>
      <border diagonalUp="0" diagonalDown="0">
        <left style="thick">
          <color theme="3"/>
        </left>
        <right style="thick">
          <color theme="3"/>
        </right>
        <top/>
        <bottom/>
        <vertical style="thick">
          <color theme="3"/>
        </vertical>
        <horizontal style="thick">
          <color theme="3"/>
        </horizontal>
      </border>
    </dxf>
    <dxf>
      <numFmt numFmtId="164" formatCode="[$-F400]h:mm:ss\ AM/PM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ck">
          <color theme="8"/>
        </left>
        <right/>
        <top/>
        <bottom/>
      </border>
    </dxf>
    <dxf>
      <numFmt numFmtId="164" formatCode="[$-F400]h:mm:ss\ AM/PM"/>
      <alignment horizontal="center" vertical="center" textRotation="0" wrapText="0" indent="0" justifyLastLine="0" shrinkToFit="0" readingOrder="0"/>
      <border diagonalUp="0" diagonalDown="0" outline="0">
        <left/>
        <right style="thick">
          <color theme="8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ck">
          <color theme="8"/>
        </left>
        <right/>
        <top/>
        <bottom/>
      </border>
    </dxf>
    <dxf>
      <numFmt numFmtId="164" formatCode="[$-F400]h:mm:ss\ AM/PM"/>
      <alignment horizontal="center" vertical="center" textRotation="0" wrapText="0" indent="0" justifyLastLine="0" shrinkToFit="0" readingOrder="0"/>
      <border diagonalUp="0" diagonalDown="0" outline="0">
        <left/>
        <right style="thick">
          <color theme="8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ck">
          <color theme="8"/>
        </left>
        <right/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outline="0">
        <right style="thick">
          <color theme="8"/>
        </right>
      </border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thick">
          <color theme="8"/>
        </left>
        <right style="thick">
          <color theme="8"/>
        </right>
        <top style="thick">
          <color theme="8"/>
        </top>
        <bottom style="thick">
          <color theme="8"/>
        </bottom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95249</xdr:colOff>
      <xdr:row>0</xdr:row>
      <xdr:rowOff>114300</xdr:rowOff>
    </xdr:from>
    <xdr:to>
      <xdr:col>6</xdr:col>
      <xdr:colOff>638174</xdr:colOff>
      <xdr:row>38</xdr:row>
      <xdr:rowOff>101069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" y="114300"/>
          <a:ext cx="5114925" cy="7235294"/>
        </a:xfrm>
        <a:prstGeom prst="rect">
          <a:avLst/>
        </a:prstGeom>
        <a:effectLst>
          <a:softEdge rad="76200"/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1866900</xdr:colOff>
          <xdr:row>1</xdr:row>
          <xdr:rowOff>9525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900" b="0" i="0" u="none" strike="noStrike" baseline="0">
                  <a:solidFill>
                    <a:srgbClr val="000000"/>
                  </a:solidFill>
                  <a:latin typeface="Calibri"/>
                </a:rPr>
                <a:t>ACTIVAR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9525</xdr:rowOff>
        </xdr:from>
        <xdr:to>
          <xdr:col>10</xdr:col>
          <xdr:colOff>38100</xdr:colOff>
          <xdr:row>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900" b="0" i="0" u="none" strike="noStrike" baseline="0">
                  <a:solidFill>
                    <a:srgbClr val="000000"/>
                  </a:solidFill>
                  <a:latin typeface="Calibri"/>
                </a:rPr>
                <a:t>DESACTIVAR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4</xdr:row>
          <xdr:rowOff>19050</xdr:rowOff>
        </xdr:from>
        <xdr:to>
          <xdr:col>8</xdr:col>
          <xdr:colOff>742950</xdr:colOff>
          <xdr:row>4</xdr:row>
          <xdr:rowOff>200025</xdr:rowOff>
        </xdr:to>
        <xdr:sp macro="" textlink="">
          <xdr:nvSpPr>
            <xdr:cNvPr id="5123" name="btnCarrera01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YA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5</xdr:row>
          <xdr:rowOff>19050</xdr:rowOff>
        </xdr:from>
        <xdr:to>
          <xdr:col>8</xdr:col>
          <xdr:colOff>742950</xdr:colOff>
          <xdr:row>5</xdr:row>
          <xdr:rowOff>200025</xdr:rowOff>
        </xdr:to>
        <xdr:sp macro="" textlink="">
          <xdr:nvSpPr>
            <xdr:cNvPr id="5127" name="btnCarrera02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YA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6</xdr:row>
          <xdr:rowOff>19050</xdr:rowOff>
        </xdr:from>
        <xdr:to>
          <xdr:col>8</xdr:col>
          <xdr:colOff>742950</xdr:colOff>
          <xdr:row>6</xdr:row>
          <xdr:rowOff>200025</xdr:rowOff>
        </xdr:to>
        <xdr:sp macro="" textlink="">
          <xdr:nvSpPr>
            <xdr:cNvPr id="5128" name="btnCarrera03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YA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7</xdr:row>
          <xdr:rowOff>19050</xdr:rowOff>
        </xdr:from>
        <xdr:to>
          <xdr:col>8</xdr:col>
          <xdr:colOff>742950</xdr:colOff>
          <xdr:row>7</xdr:row>
          <xdr:rowOff>200025</xdr:rowOff>
        </xdr:to>
        <xdr:sp macro="" textlink="">
          <xdr:nvSpPr>
            <xdr:cNvPr id="5129" name="btnCarrera04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YA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8</xdr:row>
          <xdr:rowOff>19050</xdr:rowOff>
        </xdr:from>
        <xdr:to>
          <xdr:col>8</xdr:col>
          <xdr:colOff>742950</xdr:colOff>
          <xdr:row>8</xdr:row>
          <xdr:rowOff>200025</xdr:rowOff>
        </xdr:to>
        <xdr:sp macro="" textlink="">
          <xdr:nvSpPr>
            <xdr:cNvPr id="5130" name="btnCarrera05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YA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9</xdr:row>
          <xdr:rowOff>19050</xdr:rowOff>
        </xdr:from>
        <xdr:to>
          <xdr:col>8</xdr:col>
          <xdr:colOff>742950</xdr:colOff>
          <xdr:row>9</xdr:row>
          <xdr:rowOff>209550</xdr:rowOff>
        </xdr:to>
        <xdr:sp macro="" textlink="">
          <xdr:nvSpPr>
            <xdr:cNvPr id="5131" name="btnCarrera06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YA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10</xdr:row>
          <xdr:rowOff>19050</xdr:rowOff>
        </xdr:from>
        <xdr:to>
          <xdr:col>8</xdr:col>
          <xdr:colOff>742950</xdr:colOff>
          <xdr:row>10</xdr:row>
          <xdr:rowOff>200025</xdr:rowOff>
        </xdr:to>
        <xdr:sp macro="" textlink="">
          <xdr:nvSpPr>
            <xdr:cNvPr id="5132" name="btnCarrera07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YA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11</xdr:row>
          <xdr:rowOff>19050</xdr:rowOff>
        </xdr:from>
        <xdr:to>
          <xdr:col>8</xdr:col>
          <xdr:colOff>742950</xdr:colOff>
          <xdr:row>11</xdr:row>
          <xdr:rowOff>200025</xdr:rowOff>
        </xdr:to>
        <xdr:sp macro="" textlink="">
          <xdr:nvSpPr>
            <xdr:cNvPr id="5133" name="btnCarrera08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YA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12</xdr:row>
          <xdr:rowOff>19050</xdr:rowOff>
        </xdr:from>
        <xdr:to>
          <xdr:col>8</xdr:col>
          <xdr:colOff>742950</xdr:colOff>
          <xdr:row>12</xdr:row>
          <xdr:rowOff>200025</xdr:rowOff>
        </xdr:to>
        <xdr:sp macro="" textlink="">
          <xdr:nvSpPr>
            <xdr:cNvPr id="5134" name="btnCarrera09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YA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13</xdr:row>
          <xdr:rowOff>19050</xdr:rowOff>
        </xdr:from>
        <xdr:to>
          <xdr:col>8</xdr:col>
          <xdr:colOff>742950</xdr:colOff>
          <xdr:row>13</xdr:row>
          <xdr:rowOff>200025</xdr:rowOff>
        </xdr:to>
        <xdr:sp macro="" textlink="">
          <xdr:nvSpPr>
            <xdr:cNvPr id="5135" name="btnCarrera10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YA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14</xdr:row>
          <xdr:rowOff>19050</xdr:rowOff>
        </xdr:from>
        <xdr:to>
          <xdr:col>8</xdr:col>
          <xdr:colOff>742950</xdr:colOff>
          <xdr:row>14</xdr:row>
          <xdr:rowOff>200025</xdr:rowOff>
        </xdr:to>
        <xdr:sp macro="" textlink="">
          <xdr:nvSpPr>
            <xdr:cNvPr id="5136" name="btnCarrera11" hidden="1">
              <a:extLst>
                <a:ext uri="{63B3BB69-23CF-44E3-9099-C40C66FF867C}">
                  <a14:compatExt spid="_x0000_s5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YA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15</xdr:row>
          <xdr:rowOff>19050</xdr:rowOff>
        </xdr:from>
        <xdr:to>
          <xdr:col>8</xdr:col>
          <xdr:colOff>742950</xdr:colOff>
          <xdr:row>15</xdr:row>
          <xdr:rowOff>209550</xdr:rowOff>
        </xdr:to>
        <xdr:sp macro="" textlink="">
          <xdr:nvSpPr>
            <xdr:cNvPr id="5137" name="btnCarrera12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YA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2</xdr:row>
          <xdr:rowOff>19050</xdr:rowOff>
        </xdr:from>
        <xdr:to>
          <xdr:col>7</xdr:col>
          <xdr:colOff>1257300</xdr:colOff>
          <xdr:row>2</xdr:row>
          <xdr:rowOff>295275</xdr:rowOff>
        </xdr:to>
        <xdr:sp macro="" textlink="">
          <xdr:nvSpPr>
            <xdr:cNvPr id="5153" name="Button 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4</xdr:row>
          <xdr:rowOff>19050</xdr:rowOff>
        </xdr:from>
        <xdr:to>
          <xdr:col>2</xdr:col>
          <xdr:colOff>733425</xdr:colOff>
          <xdr:row>4</xdr:row>
          <xdr:rowOff>200025</xdr:rowOff>
        </xdr:to>
        <xdr:sp macro="" textlink="">
          <xdr:nvSpPr>
            <xdr:cNvPr id="5154" name="btnCarrera01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5</xdr:row>
          <xdr:rowOff>19050</xdr:rowOff>
        </xdr:from>
        <xdr:to>
          <xdr:col>2</xdr:col>
          <xdr:colOff>733425</xdr:colOff>
          <xdr:row>5</xdr:row>
          <xdr:rowOff>200025</xdr:rowOff>
        </xdr:to>
        <xdr:sp macro="" textlink="">
          <xdr:nvSpPr>
            <xdr:cNvPr id="5155" name="btnCarrera02" hidden="1">
              <a:extLst>
                <a:ext uri="{63B3BB69-23CF-44E3-9099-C40C66FF867C}">
                  <a14:compatExt spid="_x0000_s5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6</xdr:row>
          <xdr:rowOff>19050</xdr:rowOff>
        </xdr:from>
        <xdr:to>
          <xdr:col>2</xdr:col>
          <xdr:colOff>733425</xdr:colOff>
          <xdr:row>6</xdr:row>
          <xdr:rowOff>200025</xdr:rowOff>
        </xdr:to>
        <xdr:sp macro="" textlink="">
          <xdr:nvSpPr>
            <xdr:cNvPr id="5156" name="btnCarrera03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7</xdr:row>
          <xdr:rowOff>19050</xdr:rowOff>
        </xdr:from>
        <xdr:to>
          <xdr:col>2</xdr:col>
          <xdr:colOff>733425</xdr:colOff>
          <xdr:row>7</xdr:row>
          <xdr:rowOff>200025</xdr:rowOff>
        </xdr:to>
        <xdr:sp macro="" textlink="">
          <xdr:nvSpPr>
            <xdr:cNvPr id="5157" name="btnCarrera04" hidden="1">
              <a:extLst>
                <a:ext uri="{63B3BB69-23CF-44E3-9099-C40C66FF867C}">
                  <a14:compatExt spid="_x0000_s5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8</xdr:row>
          <xdr:rowOff>19050</xdr:rowOff>
        </xdr:from>
        <xdr:to>
          <xdr:col>2</xdr:col>
          <xdr:colOff>733425</xdr:colOff>
          <xdr:row>8</xdr:row>
          <xdr:rowOff>200025</xdr:rowOff>
        </xdr:to>
        <xdr:sp macro="" textlink="">
          <xdr:nvSpPr>
            <xdr:cNvPr id="5158" name="btnCarrera05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9</xdr:row>
          <xdr:rowOff>19050</xdr:rowOff>
        </xdr:from>
        <xdr:to>
          <xdr:col>2</xdr:col>
          <xdr:colOff>733425</xdr:colOff>
          <xdr:row>9</xdr:row>
          <xdr:rowOff>209550</xdr:rowOff>
        </xdr:to>
        <xdr:sp macro="" textlink="">
          <xdr:nvSpPr>
            <xdr:cNvPr id="5159" name="btnCarrera06" hidden="1">
              <a:extLst>
                <a:ext uri="{63B3BB69-23CF-44E3-9099-C40C66FF867C}">
                  <a14:compatExt spid="_x0000_s5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10</xdr:row>
          <xdr:rowOff>19050</xdr:rowOff>
        </xdr:from>
        <xdr:to>
          <xdr:col>2</xdr:col>
          <xdr:colOff>733425</xdr:colOff>
          <xdr:row>10</xdr:row>
          <xdr:rowOff>200025</xdr:rowOff>
        </xdr:to>
        <xdr:sp macro="" textlink="">
          <xdr:nvSpPr>
            <xdr:cNvPr id="5160" name="btnCarrera07" hidden="1">
              <a:extLst>
                <a:ext uri="{63B3BB69-23CF-44E3-9099-C40C66FF867C}">
                  <a14:compatExt spid="_x0000_s5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11</xdr:row>
          <xdr:rowOff>19050</xdr:rowOff>
        </xdr:from>
        <xdr:to>
          <xdr:col>2</xdr:col>
          <xdr:colOff>733425</xdr:colOff>
          <xdr:row>11</xdr:row>
          <xdr:rowOff>200025</xdr:rowOff>
        </xdr:to>
        <xdr:sp macro="" textlink="">
          <xdr:nvSpPr>
            <xdr:cNvPr id="5161" name="btnCarrera08" hidden="1">
              <a:extLst>
                <a:ext uri="{63B3BB69-23CF-44E3-9099-C40C66FF867C}">
                  <a14:compatExt spid="_x0000_s5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12</xdr:row>
          <xdr:rowOff>19050</xdr:rowOff>
        </xdr:from>
        <xdr:to>
          <xdr:col>2</xdr:col>
          <xdr:colOff>733425</xdr:colOff>
          <xdr:row>12</xdr:row>
          <xdr:rowOff>200025</xdr:rowOff>
        </xdr:to>
        <xdr:sp macro="" textlink="">
          <xdr:nvSpPr>
            <xdr:cNvPr id="5162" name="btnCarrera09" hidden="1">
              <a:extLst>
                <a:ext uri="{63B3BB69-23CF-44E3-9099-C40C66FF867C}">
                  <a14:compatExt spid="_x0000_s5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13</xdr:row>
          <xdr:rowOff>19050</xdr:rowOff>
        </xdr:from>
        <xdr:to>
          <xdr:col>2</xdr:col>
          <xdr:colOff>733425</xdr:colOff>
          <xdr:row>13</xdr:row>
          <xdr:rowOff>200025</xdr:rowOff>
        </xdr:to>
        <xdr:sp macro="" textlink="">
          <xdr:nvSpPr>
            <xdr:cNvPr id="5163" name="btnCarrera10" hidden="1">
              <a:extLst>
                <a:ext uri="{63B3BB69-23CF-44E3-9099-C40C66FF867C}">
                  <a14:compatExt spid="_x0000_s5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14</xdr:row>
          <xdr:rowOff>19050</xdr:rowOff>
        </xdr:from>
        <xdr:to>
          <xdr:col>2</xdr:col>
          <xdr:colOff>733425</xdr:colOff>
          <xdr:row>14</xdr:row>
          <xdr:rowOff>200025</xdr:rowOff>
        </xdr:to>
        <xdr:sp macro="" textlink="">
          <xdr:nvSpPr>
            <xdr:cNvPr id="5164" name="btnCarrera11" hidden="1">
              <a:extLst>
                <a:ext uri="{63B3BB69-23CF-44E3-9099-C40C66FF867C}">
                  <a14:compatExt spid="_x0000_s5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15</xdr:row>
          <xdr:rowOff>19050</xdr:rowOff>
        </xdr:from>
        <xdr:to>
          <xdr:col>2</xdr:col>
          <xdr:colOff>733425</xdr:colOff>
          <xdr:row>15</xdr:row>
          <xdr:rowOff>209550</xdr:rowOff>
        </xdr:to>
        <xdr:sp macro="" textlink="">
          <xdr:nvSpPr>
            <xdr:cNvPr id="5165" name="btnCarrera12" hidden="1">
              <a:extLst>
                <a:ext uri="{63B3BB69-23CF-44E3-9099-C40C66FF867C}">
                  <a14:compatExt spid="_x0000_s5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4</xdr:row>
          <xdr:rowOff>19050</xdr:rowOff>
        </xdr:from>
        <xdr:to>
          <xdr:col>9</xdr:col>
          <xdr:colOff>733425</xdr:colOff>
          <xdr:row>4</xdr:row>
          <xdr:rowOff>200025</xdr:rowOff>
        </xdr:to>
        <xdr:sp macro="" textlink="">
          <xdr:nvSpPr>
            <xdr:cNvPr id="5166" name="btnCarrera01" hidden="1">
              <a:extLst>
                <a:ext uri="{63B3BB69-23CF-44E3-9099-C40C66FF867C}">
                  <a14:compatExt spid="_x0000_s5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PARAR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9</xdr:col>
          <xdr:colOff>733425</xdr:colOff>
          <xdr:row>5</xdr:row>
          <xdr:rowOff>200025</xdr:rowOff>
        </xdr:to>
        <xdr:sp macro="" textlink="">
          <xdr:nvSpPr>
            <xdr:cNvPr id="5167" name="btnCarrera02" hidden="1">
              <a:extLst>
                <a:ext uri="{63B3BB69-23CF-44E3-9099-C40C66FF867C}">
                  <a14:compatExt spid="_x0000_s5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PARAR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6</xdr:row>
          <xdr:rowOff>19050</xdr:rowOff>
        </xdr:from>
        <xdr:to>
          <xdr:col>9</xdr:col>
          <xdr:colOff>733425</xdr:colOff>
          <xdr:row>6</xdr:row>
          <xdr:rowOff>200025</xdr:rowOff>
        </xdr:to>
        <xdr:sp macro="" textlink="">
          <xdr:nvSpPr>
            <xdr:cNvPr id="5168" name="btnCarrera03" hidden="1">
              <a:extLst>
                <a:ext uri="{63B3BB69-23CF-44E3-9099-C40C66FF867C}">
                  <a14:compatExt spid="_x0000_s5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PARAR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7</xdr:row>
          <xdr:rowOff>19050</xdr:rowOff>
        </xdr:from>
        <xdr:to>
          <xdr:col>9</xdr:col>
          <xdr:colOff>733425</xdr:colOff>
          <xdr:row>7</xdr:row>
          <xdr:rowOff>200025</xdr:rowOff>
        </xdr:to>
        <xdr:sp macro="" textlink="">
          <xdr:nvSpPr>
            <xdr:cNvPr id="5169" name="btnCarrera04" hidden="1">
              <a:extLst>
                <a:ext uri="{63B3BB69-23CF-44E3-9099-C40C66FF867C}">
                  <a14:compatExt spid="_x0000_s5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PARAR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8</xdr:row>
          <xdr:rowOff>19050</xdr:rowOff>
        </xdr:from>
        <xdr:to>
          <xdr:col>9</xdr:col>
          <xdr:colOff>733425</xdr:colOff>
          <xdr:row>8</xdr:row>
          <xdr:rowOff>200025</xdr:rowOff>
        </xdr:to>
        <xdr:sp macro="" textlink="">
          <xdr:nvSpPr>
            <xdr:cNvPr id="5170" name="btnCarrera05" hidden="1">
              <a:extLst>
                <a:ext uri="{63B3BB69-23CF-44E3-9099-C40C66FF867C}">
                  <a14:compatExt spid="_x0000_s5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PARAR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9</xdr:row>
          <xdr:rowOff>19050</xdr:rowOff>
        </xdr:from>
        <xdr:to>
          <xdr:col>9</xdr:col>
          <xdr:colOff>733425</xdr:colOff>
          <xdr:row>9</xdr:row>
          <xdr:rowOff>209550</xdr:rowOff>
        </xdr:to>
        <xdr:sp macro="" textlink="">
          <xdr:nvSpPr>
            <xdr:cNvPr id="5171" name="btnCarrera06" hidden="1">
              <a:extLst>
                <a:ext uri="{63B3BB69-23CF-44E3-9099-C40C66FF867C}">
                  <a14:compatExt spid="_x0000_s5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PARAR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10</xdr:row>
          <xdr:rowOff>19050</xdr:rowOff>
        </xdr:from>
        <xdr:to>
          <xdr:col>9</xdr:col>
          <xdr:colOff>733425</xdr:colOff>
          <xdr:row>10</xdr:row>
          <xdr:rowOff>200025</xdr:rowOff>
        </xdr:to>
        <xdr:sp macro="" textlink="">
          <xdr:nvSpPr>
            <xdr:cNvPr id="5172" name="btnCarrera07" hidden="1">
              <a:extLst>
                <a:ext uri="{63B3BB69-23CF-44E3-9099-C40C66FF867C}">
                  <a14:compatExt spid="_x0000_s5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PARAR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11</xdr:row>
          <xdr:rowOff>19050</xdr:rowOff>
        </xdr:from>
        <xdr:to>
          <xdr:col>9</xdr:col>
          <xdr:colOff>733425</xdr:colOff>
          <xdr:row>11</xdr:row>
          <xdr:rowOff>200025</xdr:rowOff>
        </xdr:to>
        <xdr:sp macro="" textlink="">
          <xdr:nvSpPr>
            <xdr:cNvPr id="5173" name="btnCarrera08" hidden="1">
              <a:extLst>
                <a:ext uri="{63B3BB69-23CF-44E3-9099-C40C66FF867C}">
                  <a14:compatExt spid="_x0000_s5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PARAR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12</xdr:row>
          <xdr:rowOff>19050</xdr:rowOff>
        </xdr:from>
        <xdr:to>
          <xdr:col>9</xdr:col>
          <xdr:colOff>733425</xdr:colOff>
          <xdr:row>12</xdr:row>
          <xdr:rowOff>200025</xdr:rowOff>
        </xdr:to>
        <xdr:sp macro="" textlink="">
          <xdr:nvSpPr>
            <xdr:cNvPr id="5174" name="btnCarrera09" hidden="1">
              <a:extLst>
                <a:ext uri="{63B3BB69-23CF-44E3-9099-C40C66FF867C}">
                  <a14:compatExt spid="_x0000_s5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PARAR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13</xdr:row>
          <xdr:rowOff>19050</xdr:rowOff>
        </xdr:from>
        <xdr:to>
          <xdr:col>9</xdr:col>
          <xdr:colOff>733425</xdr:colOff>
          <xdr:row>13</xdr:row>
          <xdr:rowOff>200025</xdr:rowOff>
        </xdr:to>
        <xdr:sp macro="" textlink="">
          <xdr:nvSpPr>
            <xdr:cNvPr id="5175" name="btnCarrera10" hidden="1">
              <a:extLst>
                <a:ext uri="{63B3BB69-23CF-44E3-9099-C40C66FF867C}">
                  <a14:compatExt spid="_x0000_s5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PARAR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14</xdr:row>
          <xdr:rowOff>19050</xdr:rowOff>
        </xdr:from>
        <xdr:to>
          <xdr:col>9</xdr:col>
          <xdr:colOff>733425</xdr:colOff>
          <xdr:row>14</xdr:row>
          <xdr:rowOff>200025</xdr:rowOff>
        </xdr:to>
        <xdr:sp macro="" textlink="">
          <xdr:nvSpPr>
            <xdr:cNvPr id="5176" name="btnCarrera11" hidden="1">
              <a:extLst>
                <a:ext uri="{63B3BB69-23CF-44E3-9099-C40C66FF867C}">
                  <a14:compatExt spid="_x0000_s5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PARAR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15</xdr:row>
          <xdr:rowOff>19050</xdr:rowOff>
        </xdr:from>
        <xdr:to>
          <xdr:col>9</xdr:col>
          <xdr:colOff>733425</xdr:colOff>
          <xdr:row>15</xdr:row>
          <xdr:rowOff>209550</xdr:rowOff>
        </xdr:to>
        <xdr:sp macro="" textlink="">
          <xdr:nvSpPr>
            <xdr:cNvPr id="5177" name="btnCarrera12" hidden="1">
              <a:extLst>
                <a:ext uri="{63B3BB69-23CF-44E3-9099-C40C66FF867C}">
                  <a14:compatExt spid="_x0000_s5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PARAR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</xdr:row>
          <xdr:rowOff>9525</xdr:rowOff>
        </xdr:from>
        <xdr:to>
          <xdr:col>11</xdr:col>
          <xdr:colOff>0</xdr:colOff>
          <xdr:row>3</xdr:row>
          <xdr:rowOff>19050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0" name="Tabla10" displayName="Tabla10" ref="H10:P24" totalsRowShown="0" headerRowDxfId="121" dataDxfId="120" tableBorderDxfId="119">
  <tableColumns count="9">
    <tableColumn id="1" name="CATEGORÍAS" dataDxfId="118"/>
    <tableColumn id="2" name="Inscritos" dataDxfId="117">
      <calculatedColumnFormula>COUNTIF(TablaCorredores[Categoría],Tabla10[[#This Row],[CATEGORÍAS]])</calculatedColumnFormula>
    </tableColumn>
    <tableColumn id="3" name="En Meta" dataDxfId="116">
      <calculatedColumnFormula>COUNTIF(TablaTiempos[Categoría],Tabla10[[#This Row],[CATEGORÍAS]])</calculatedColumnFormula>
    </tableColumn>
    <tableColumn id="4" name="PRIMERO" dataDxfId="115">
      <calculatedColumnFormula>IFERROR(VLOOKUP(CONCATENATE("1_",Tabla10[[#This Row],[CATEGORÍAS]]),TablaTiempos[[Dato 1]:[Corredor]],11,FALSE),"")</calculatedColumnFormula>
    </tableColumn>
    <tableColumn id="9" name="Time1" dataDxfId="114">
      <calculatedColumnFormula>IFERROR(VLOOKUP(CONCATENATE("1_",Tabla10[[#This Row],[CATEGORÍAS]]),TablaTiempos[[Dato 1]:[Corredor]],10,FALSE),"")</calculatedColumnFormula>
    </tableColumn>
    <tableColumn id="5" name="SEGUNDO" dataDxfId="113">
      <calculatedColumnFormula>IFERROR(VLOOKUP(CONCATENATE("2_",Tabla10[[#This Row],[CATEGORÍAS]]),TablaTiempos[[Dato 1]:[Corredor]],11,FALSE),"")</calculatedColumnFormula>
    </tableColumn>
    <tableColumn id="8" name="Time2" dataDxfId="112">
      <calculatedColumnFormula>IFERROR(VLOOKUP(CONCATENATE("2_",Tabla10[[#This Row],[CATEGORÍAS]]),TablaTiempos[[Dato 1]:[Corredor]],10,FALSE),"")</calculatedColumnFormula>
    </tableColumn>
    <tableColumn id="6" name="TERCERO" dataDxfId="111">
      <calculatedColumnFormula>IFERROR(VLOOKUP(CONCATENATE("3_",Tabla10[[#This Row],[CATEGORÍAS]]),TablaTiempos[[Dato 1]:[Corredor]],11,FALSE),"")</calculatedColumnFormula>
    </tableColumn>
    <tableColumn id="7" name="Time3" dataDxfId="110">
      <calculatedColumnFormula>IFERROR(VLOOKUP(CONCATENATE("3_",Tabla10[[#This Row],[CATEGORÍAS]]),TablaTiempos[[Dato 1]:[Corredor]],10,FALSE),"")</calculatedColumnFormula>
    </tableColumn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id="12" name="Tabla12" displayName="Tabla12" ref="H5:I8" totalsRowShown="0">
  <tableColumns count="2">
    <tableColumn id="1" name="Dato"/>
    <tableColumn id="2" name="Valor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id="7" name="TablaCarreras" displayName="TablaCarreras" ref="A3:K16" totalsRowShown="0" headerRowDxfId="109" headerRowBorderDxfId="108" tableBorderDxfId="107">
  <autoFilter ref="A3:K16"/>
  <tableColumns count="11">
    <tableColumn id="1" name="Id" dataDxfId="106"/>
    <tableColumn id="2" name="Estado" dataDxfId="105"/>
    <tableColumn id="9" name="Botones1" dataDxfId="104"/>
    <tableColumn id="3" name="Carrera" dataDxfId="103"/>
    <tableColumn id="5" name="Distancia" dataDxfId="102"/>
    <tableColumn id="4" name="Inscritos" dataDxfId="101">
      <calculatedColumnFormula>COUNTIF(InscripcionesCarrera,TablaCarreras[[#This Row],[Carrera]])</calculatedColumnFormula>
    </tableColumn>
    <tableColumn id="8" name="En Meta" dataDxfId="100">
      <calculatedColumnFormula>COUNTIF(TablaTiempos[Carrera],TablaCarreras[[#This Row],[Carrera]])</calculatedColumnFormula>
    </tableColumn>
    <tableColumn id="6" name="Hora Inicio" dataDxfId="99">
      <calculatedColumnFormula>NOW()</calculatedColumnFormula>
    </tableColumn>
    <tableColumn id="7" name="Botones2" dataDxfId="98"/>
    <tableColumn id="10" name="Botones3"/>
    <tableColumn id="11" name="Calcular" dataDxfId="97">
      <calculatedColumnFormula>IF(AND(TablaCarreras[[#This Row],[Estado]]=1,NOT(ISBLANK(TablaCarreras[[#This Row],[Hora Inicio]]))),NOW()-TablaCarreras[[#This Row],[Hora Inicio]],"")</calculatedColumnFormula>
    </tableColumn>
  </tableColumns>
  <tableStyleInfo name="TableStyleMedium17" showFirstColumn="0" showLastColumn="0" showRowStripes="1" showColumnStripes="0"/>
</table>
</file>

<file path=xl/tables/table4.xml><?xml version="1.0" encoding="utf-8"?>
<table xmlns="http://schemas.openxmlformats.org/spreadsheetml/2006/main" id="6" name="TablaCategorias" displayName="TablaCategorias" ref="A3:H18" totalsRowShown="0" headerRowDxfId="96" headerRowBorderDxfId="95" tableBorderDxfId="94">
  <autoFilter ref="A3:H18"/>
  <tableColumns count="8">
    <tableColumn id="1" name="Id" dataDxfId="93"/>
    <tableColumn id="2" name="Compite" dataDxfId="92"/>
    <tableColumn id="6" name="Año Mínimo" dataDxfId="91"/>
    <tableColumn id="7" name="Año Máximo" dataDxfId="90"/>
    <tableColumn id="8" name="Sexo" dataDxfId="89"/>
    <tableColumn id="3" name="Categoría" dataDxfId="88"/>
    <tableColumn id="9" name="Carrera" dataDxfId="87"/>
    <tableColumn id="4" name="Participantes" dataDxfId="86">
      <calculatedColumnFormula>COUNTIF(InscripcionesCategoría,TablaCategorias[[#This Row],[Categoría]])</calculatedColumnFormula>
    </tableColumn>
  </tableColumns>
  <tableStyleInfo name="TableStyleMedium17" showFirstColumn="0" showLastColumn="0" showRowStripes="1" showColumnStripes="0"/>
</table>
</file>

<file path=xl/tables/table5.xml><?xml version="1.0" encoding="utf-8"?>
<table xmlns="http://schemas.openxmlformats.org/spreadsheetml/2006/main" id="8" name="TablaSexos" displayName="TablaSexos" ref="K3:K6" totalsRowShown="0" headerRowDxfId="85" dataDxfId="84">
  <autoFilter ref="K3:K6"/>
  <tableColumns count="1">
    <tableColumn id="1" name="SEXOS" dataDxfId="8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" name="TablaCorredores" displayName="TablaCorredores" ref="A3:K25" totalsRowShown="0" headerRowDxfId="80" dataDxfId="78" headerRowBorderDxfId="79">
  <autoFilter ref="A3:K25"/>
  <sortState ref="A4:N337">
    <sortCondition ref="C3:C337"/>
  </sortState>
  <tableColumns count="11">
    <tableColumn id="1" name="Id" dataDxfId="77" totalsRowDxfId="76"/>
    <tableColumn id="3" name="Compite" dataDxfId="75" totalsRowDxfId="74"/>
    <tableColumn id="14" name="Dorsal" dataDxfId="73" totalsRowDxfId="72"/>
    <tableColumn id="12" name="Participante" dataDxfId="71" totalsRowDxfId="70"/>
    <tableColumn id="6" name="Sexo" dataDxfId="69" totalsRowDxfId="68"/>
    <tableColumn id="7" name="Año" dataDxfId="67" totalsRowDxfId="66"/>
    <tableColumn id="9" name="Localidad" dataDxfId="65" totalsRowDxfId="64"/>
    <tableColumn id="4" name="Categoría" dataDxfId="63" totalsRowDxfId="62">
      <calculatedColumnFormula>IF(AND(AND(TablaCorredores[[#This Row],[Año]]&gt;='LAS CATEGORIAS'!C$5,TablaCorredores[[#This Row],[Año]]&lt;='LAS CATEGORIAS'!D$5),OR('LAS CATEGORIAS'!E$5="*",'LAS CATEGORIAS'!E$5=TablaCorredores[[#This Row],[Sexo]])),'LAS CATEGORIAS'!F$5,
 IF(AND(AND(TablaCorredores[[#This Row],[Año]]&gt;='LAS CATEGORIAS'!C$6,TablaCorredores[[#This Row],[Año]]&lt;='LAS CATEGORIAS'!D$6),OR('LAS CATEGORIAS'!E$6="*",'LAS CATEGORIAS'!E$6=TablaCorredores[[#This Row],[Sexo]])),'LAS CATEGORIAS'!F$6,
  IF(AND(AND(TablaCorredores[[#This Row],[Año]]&gt;='LAS CATEGORIAS'!$C7,TablaCorredores[[#This Row],[Año]]&lt;='LAS CATEGORIAS'!D$7),OR('LAS CATEGORIAS'!E$7="*",'LAS CATEGORIAS'!E$7=TablaCorredores[[#This Row],[Sexo]])),'LAS CATEGORIAS'!F$7,
   IF(AND(AND(TablaCorredores[[#This Row],[Año]]&gt;='LAS CATEGORIAS'!C$8,TablaCorredores[[#This Row],[Año]]&lt;='LAS CATEGORIAS'!D$8),OR('LAS CATEGORIAS'!E$8="*",'LAS CATEGORIAS'!E$8=TablaCorredores[[#This Row],[Sexo]])),'LAS CATEGORIAS'!F$8,
    IF(AND(AND(TablaCorredores[[#This Row],[Año]]&gt;='LAS CATEGORIAS'!C$9,TablaCorredores[[#This Row],[Año]]&lt;='LAS CATEGORIAS'!D$9),OR('LAS CATEGORIAS'!E$9="*",'LAS CATEGORIAS'!E$9=TablaCorredores[[#This Row],[Sexo]])),'LAS CATEGORIAS'!F$9,
     IF(AND(AND(TablaCorredores[[#This Row],[Año]]&gt;='LAS CATEGORIAS'!C$10,TablaCorredores[[#This Row],[Año]]&lt;='LAS CATEGORIAS'!D$10),OR('LAS CATEGORIAS'!E$10="*",'LAS CATEGORIAS'!E$10=TablaCorredores[[#This Row],[Sexo]])),'LAS CATEGORIAS'!F$10,
      IF(AND(AND(TablaCorredores[[#This Row],[Año]]&gt;='LAS CATEGORIAS'!C$11,TablaCorredores[[#This Row],[Año]]&lt;='LAS CATEGORIAS'!D$11),OR('LAS CATEGORIAS'!E$11="*",'LAS CATEGORIAS'!E$11=TablaCorredores[[#This Row],[Sexo]])),'LAS CATEGORIAS'!F$11,
        IF(AND(AND(TablaCorredores[[#This Row],[Año]]&gt;='LAS CATEGORIAS'!C$13,TablaCorredores[[#This Row],[Año]]&lt;='LAS CATEGORIAS'!D$13),OR('LAS CATEGORIAS'!E$13="*",'LAS CATEGORIAS'!E$13=TablaCorredores[[#This Row],[Sexo]])),'LAS CATEGORIAS'!F$13,
         IF(AND(AND(TablaCorredores[[#This Row],[Año]]&gt;='LAS CATEGORIAS'!C$14,TablaCorredores[[#This Row],[Año]]&lt;='LAS CATEGORIAS'!D$14),OR('LAS CATEGORIAS'!E$14="*",'LAS CATEGORIAS'!E$14=TablaCorredores[[#This Row],[Sexo]])),'LAS CATEGORIAS'!F$14,
          IF(AND(AND(TablaCorredores[[#This Row],[Año]]&gt;='LAS CATEGORIAS'!C$15,TablaCorredores[[#This Row],[Año]]&lt;='LAS CATEGORIAS'!D$15),OR('LAS CATEGORIAS'!E$15="*",'LAS CATEGORIAS'!E$15=TablaCorredores[[#This Row],[Sexo]])),'LAS CATEGORIAS'!F$15,
           IF(AND(AND(TablaCorredores[[#This Row],[Año]]&gt;='LAS CATEGORIAS'!C$16,TablaCorredores[[#This Row],[Año]]&lt;='LAS CATEGORIAS'!D$16),OR('LAS CATEGORIAS'!E$16="*",'LAS CATEGORIAS'!E$16=TablaCorredores[[#This Row],[Sexo]])),'LAS CATEGORIAS'!F$16,
            IF(AND(AND(TablaCorredores[[#This Row],[Año]]&gt;='LAS CATEGORIAS'!C$17,TablaCorredores[[#This Row],[Año]]&lt;='LAS CATEGORIAS'!D$17),OR('LAS CATEGORIAS'!E$17="*",'LAS CATEGORIAS'!E$17=TablaCorredores[[#This Row],[Sexo]])),'LAS CATEGORIAS'!F$17,
             IF(AND(AND(TablaCorredores[[#This Row],[Año]]&gt;='LAS CATEGORIAS'!C$18,TablaCorredores[[#This Row],[Año]]&lt;='LAS CATEGORIAS'!D$18),OR('LAS CATEGORIAS'!E$18="*",'LAS CATEGORIAS'!E$18=TablaCorredores[[#This Row],[Sexo]])),'LAS CATEGORIAS'!F$18,
              IF(AND(AND(TablaCorredores[[#This Row],[Año]]&gt;='LAS CATEGORIAS'!C$19,TablaCorredores[[#This Row],[Año]]&lt;='LAS CATEGORIAS'!D$19),OR('LAS CATEGORIAS'!E$19="*",'LAS CATEGORIAS'!E$19=TablaCorredores[[#This Row],[Sexo]])),'LAS CATEGORIAS'!F$19,
               IF(AND(AND(TablaCorredores[[#This Row],[Año]]&gt;='LAS CATEGORIAS'!C$20,TablaCorredores[[#This Row],[Año]]&lt;='LAS CATEGORIAS'!D$20),OR('LAS CATEGORIAS'!E$20="*",'LAS CATEGORIAS'!E$20=TablaCorredores[[#This Row],[Sexo]])),'LAS CATEGORIAS'!F$20,"Sin Categoría"
              )
             )
            )
           )
          )
         )
        )
       )
      )
     )
    )
   )
  )
 )
)</calculatedColumnFormula>
    </tableColumn>
    <tableColumn id="11" name="Carrera" dataDxfId="61" totalsRowDxfId="60">
      <calculatedColumnFormula>VLOOKUP(TablaCorredores[[#This Row],[Categoría]],TablaCategorias[[Categoría]:[Carrera]],2,FALSE)</calculatedColumnFormula>
    </tableColumn>
    <tableColumn id="5" name="Club" dataDxfId="59" totalsRowDxfId="58"/>
    <tableColumn id="2" name="está" dataDxfId="57" totalsRowDxfId="56">
      <calculatedColumnFormula>COUNTIF(TablaEquipos[Club],TablaCorredores[[#This Row],[Club]])&gt;0</calculatedColumnFormula>
    </tableColumn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id="2" name="TablaEquipos" displayName="TablaEquipos" ref="A3:D28" totalsRowShown="0" headerRowDxfId="55">
  <autoFilter ref="A3:D28"/>
  <sortState ref="A4:C46">
    <sortCondition ref="A3:A46"/>
  </sortState>
  <tableColumns count="4">
    <tableColumn id="4" name="Id" dataDxfId="54"/>
    <tableColumn id="5" name="Compite" dataDxfId="53"/>
    <tableColumn id="1" name="Club" dataDxfId="52"/>
    <tableColumn id="2" name="Participantes" dataDxfId="51">
      <calculatedColumnFormula>COUNTIF(TablaCorredores[Club],TablaEquipos[[#This Row],[Club]])</calculatedColumnFormula>
    </tableColumn>
  </tableColumns>
  <tableStyleInfo name="TableStyleMedium16" showFirstColumn="0" showLastColumn="0" showRowStripes="1" showColumnStripes="0"/>
</table>
</file>

<file path=xl/tables/table8.xml><?xml version="1.0" encoding="utf-8"?>
<table xmlns="http://schemas.openxmlformats.org/spreadsheetml/2006/main" id="3" name="TablaTiempos" displayName="TablaTiempos" ref="A3:O19" totalsRowShown="0" headerRowDxfId="49" dataDxfId="48">
  <autoFilter ref="A3:O19"/>
  <tableColumns count="15">
    <tableColumn id="9" name="Pos 1" dataDxfId="47">
      <calculatedColumnFormula>COUNTIF(M$4:M4,TablaTiempos[[#This Row],[Categoría]])</calculatedColumnFormula>
    </tableColumn>
    <tableColumn id="14" name="Dato 1" dataDxfId="46">
      <calculatedColumnFormula>CONCATENATE(TablaTiempos[[#This Row],[Pos 1]],"_",TablaTiempos[[#This Row],[Categoría]])</calculatedColumnFormula>
    </tableColumn>
    <tableColumn id="10" name="Valor 2" dataDxfId="45">
      <calculatedColumnFormula>CONCATENATE(TablaTiempos[[#This Row],[Categoría]],"_",TablaTiempos[[#This Row],[Carrera]])</calculatedColumnFormula>
    </tableColumn>
    <tableColumn id="11" name="Pos 2" dataDxfId="44">
      <calculatedColumnFormula>COUNTIF(C$4:C4,TablaTiempos[[#This Row],[Valor 2]])</calculatedColumnFormula>
    </tableColumn>
    <tableColumn id="15" name="Dato 2" dataDxfId="43">
      <calculatedColumnFormula>CONCATENATE(TablaTiempos[[#This Row],[Pos 2]],"_",TablaTiempos[[#This Row],[Valor 2]])</calculatedColumnFormula>
    </tableColumn>
    <tableColumn id="12" name="Valor 3" dataDxfId="42">
      <calculatedColumnFormula>CONCATENATE(TablaTiempos[[#This Row],[Categoría]],"_",TablaTiempos[[#This Row],[Carrera]],"_",TablaTiempos[[#This Row],[Club]])</calculatedColumnFormula>
    </tableColumn>
    <tableColumn id="13" name="Pos 3" dataDxfId="41">
      <calculatedColumnFormula>COUNTIF(F$4:F4,TablaTiempos[[#This Row],[Valor 3]])</calculatedColumnFormula>
    </tableColumn>
    <tableColumn id="16" name="Dato 3" dataDxfId="40">
      <calculatedColumnFormula>CONCATENATE(TablaTiempos[[#This Row],[Pos 3]],"_",TablaTiempos[[#This Row],[Valor 3]])</calculatedColumnFormula>
    </tableColumn>
    <tableColumn id="1" name="Orden" dataDxfId="39">
      <calculatedColumnFormula>ROW()-4</calculatedColumnFormula>
    </tableColumn>
    <tableColumn id="2" name="Dorsal" dataDxfId="38"/>
    <tableColumn id="3" name="Tiempo Llegada" dataDxfId="37">
      <calculatedColumnFormula>IF(VLOOKUP(TablaTiempos[[#This Row],[Carrera]],#REF!,5,FALSE)="","",NOW()-VLOOKUP(TablaTiempos[[#This Row],[Carrera]],#REF!,5,FALSE))</calculatedColumnFormula>
    </tableColumn>
    <tableColumn id="4" name="Corredor" dataDxfId="36">
      <calculatedColumnFormula>VLOOKUP(TablaTiempos[[#This Row],[Dorsal]],TablaCorredores[[Dorsal]:[Participante]],2,FALSE)</calculatedColumnFormula>
    </tableColumn>
    <tableColumn id="5" name="Categoría" dataDxfId="35">
      <calculatedColumnFormula>VLOOKUP(TablaTiempos[[#This Row],[Dorsal]],TablaCorredores[[Dorsal]:[Club]],6,FALSE)</calculatedColumnFormula>
    </tableColumn>
    <tableColumn id="6" name="Carrera" dataDxfId="34">
      <calculatedColumnFormula>VLOOKUP(TablaTiempos[[#This Row],[Dorsal]],TablaCorredores[[Dorsal]:[Club]],7,FALSE)</calculatedColumnFormula>
    </tableColumn>
    <tableColumn id="7" name="Club" dataDxfId="33">
      <calculatedColumnFormula>VLOOKUP(TablaTiempos[[#This Row],[Dorsal]],TablaCorredores[[Dorsal]:[Club]],8,FALSE)</calculatedColumnFormula>
    </tableColumn>
  </tableColumns>
  <tableStyleInfo name="TableStyleMedium5" showFirstColumn="0" showLastColumn="0" showRowStripes="1" showColumnStripes="0"/>
</table>
</file>

<file path=xl/tables/table9.xml><?xml version="1.0" encoding="utf-8"?>
<table xmlns="http://schemas.openxmlformats.org/spreadsheetml/2006/main" id="9" name="Tabla9" displayName="Tabla9" ref="A7:G1007" totalsRowShown="0" headerRowDxfId="32" dataDxfId="31">
  <autoFilter ref="A7:G1007"/>
  <tableColumns count="7">
    <tableColumn id="1" name="Id" dataDxfId="30">
      <calculatedColumnFormula>ROW()-7</calculatedColumnFormula>
    </tableColumn>
    <tableColumn id="2" name="Pos" dataDxfId="29">
      <calculatedColumnFormula>IF(LaCategoria="",IF(Tabla9[[#This Row],[Id]]&lt;=COUNTIF(TablaTiempos[Categoría],LaCarrera),Tabla9[[#This Row],[Id]],""),IF(Tabla9[[#This Row],[Id]]&lt;=COUNTIF(TablaTiempos[Valor 2],CONCATENATE(LaCarrera,"_",LaCategoria)),Tabla9[[#This Row],[Id]],""))</calculatedColumnFormula>
    </tableColumn>
    <tableColumn id="3" name="Dorsal" dataDxfId="28">
      <calculatedColumnFormula>IF(Tabla9[[#This Row],[Pos]]="","",IF(LaCategoria="",VLOOKUP(CONCATENATE(Tabla9[[#This Row],[Pos]],"_",LaCarrera),TablaTiempos[[Dato 1]:[Club]],10,FALSE),VLOOKUP(CONCATENATE(Tabla9[[#This Row],[Pos]],"_",LaCarrera,"_",LaCategoria),TablaTiempos[[Dato 2]:[Club]],7,FALSE)))</calculatedColumnFormula>
    </tableColumn>
    <tableColumn id="4" name="Corredor" dataDxfId="27">
      <calculatedColumnFormula>IF(Tabla9[[#This Row],[Pos]]="","",IF(LaCategoria="",VLOOKUP(CONCATENATE(Tabla9[[#This Row],[Pos]],"_",LaCarrera),TablaTiempos[[Dato 1]:[Club]],12,FALSE),VLOOKUP(CONCATENATE(Tabla9[[#This Row],[Pos]],"_",LaCarrera,"_",LaCategoria),TablaTiempos[[Dato 2]:[Club]],9,FALSE)))</calculatedColumnFormula>
    </tableColumn>
    <tableColumn id="6" name="Club" dataDxfId="26">
      <calculatedColumnFormula>IF(Tabla9[[#This Row],[Pos]]="","",IF(LaCategoria="",VLOOKUP(CONCATENATE(Tabla9[[#This Row],[Pos]],"_",LaCarrera),TablaTiempos[[Dato 1]:[Club]],15,FALSE),VLOOKUP(CONCATENATE(Tabla9[[#This Row],[Pos]],"_",LaCarrera,"_",LaCategoria),TablaTiempos[[Dato 2]:[Club]],12,FALSE)))</calculatedColumnFormula>
    </tableColumn>
    <tableColumn id="7" name="Categoría" dataDxfId="25">
      <calculatedColumnFormula>IF(Tabla9[[#This Row],[Pos]]="","",IF(LaCategoria="",VLOOKUP(CONCATENATE(Tabla9[[#This Row],[Pos]],"_",LaCarrera),TablaTiempos[[Dato 1]:[Club]],14,FALSE),VLOOKUP(CONCATENATE(Tabla9[[#This Row],[Pos]],"_",LaCarrera,"_",LaCategoria),TablaTiempos[[Dato 2]:[Club]],11,FALSE)))</calculatedColumnFormula>
    </tableColumn>
    <tableColumn id="5" name="Tiempo" dataDxfId="24">
      <calculatedColumnFormula>NOW()-'LOS TIEMPOS'!$K$2</calculatedColumnFormula>
    </tableColumn>
  </tableColumns>
  <tableStyleInfo name="TableStyleMedium17" showFirstColumn="0" showLastColumn="0" showRowStripes="1" showColumnStripes="0"/>
</table>
</file>

<file path=xl/tables/table10.xml><?xml version="1.0" encoding="utf-8"?>
<table xmlns="http://schemas.openxmlformats.org/spreadsheetml/2006/main" id="5" name="Tabla96" displayName="Tabla96" ref="A7:H1007" totalsRowShown="0" headerRowDxfId="23" dataDxfId="22">
  <autoFilter ref="A7:H1007"/>
  <tableColumns count="8">
    <tableColumn id="1" name="Id" dataDxfId="21">
      <calculatedColumnFormula>IF(ROW()-5&lt;=COUNTA(TablaEquipos[Compite]),ROW()-7,"")</calculatedColumnFormula>
    </tableColumn>
    <tableColumn id="2" name="Pos" dataDxfId="20">
      <calculatedColumnFormula>IF(Tabla96[[#This Row],[Id]]="","",VLOOKUP(Tabla96[[#This Row],[Id]]+1,TablaEquipos[],3,FALSE))</calculatedColumnFormula>
    </tableColumn>
    <tableColumn id="3" name="Total Inscritos" dataDxfId="19">
      <calculatedColumnFormula>IF(Tabla96[[#This Row],[Id]]="","",VLOOKUP(Tabla96[[#This Row],[Id]]+1,TablaEquipos[],4,FALSE))</calculatedColumnFormula>
    </tableColumn>
    <tableColumn id="4" name="Total Llegados a Meta" dataDxfId="18">
      <calculatedColumnFormula>IF(Tabla96[[#This Row],[Id]]="","",COUNTIF(TablaTiempos[Club],Tabla96[[#This Row],[Pos]]))</calculatedColumnFormula>
    </tableColumn>
    <tableColumn id="6" name="% En Meta" dataDxfId="17" dataCellStyle="Porcentaje">
      <calculatedColumnFormula>IF(Tabla96[[#This Row],[Id]]="","",Tabla96[[#This Row],[Total Llegados a Meta]]/Tabla96[[#This Row],[Total Inscritos]])</calculatedColumnFormula>
    </tableColumn>
    <tableColumn id="7" name="4 M" dataDxfId="16">
      <calculatedColumnFormula>IF(Tabla96[[#This Row],[Pos]]="","",IF(LaCategoria="",VLOOKUP(CONCATENATE(Tabla96[[#This Row],[Pos]],"_",LaCarrera),TablaTiempos[[Dato 1]:[Club]],14,FALSE),VLOOKUP(CONCATENATE(Tabla96[[#This Row],[Pos]],"_",LaCarrera,"_",LaCategoria),TablaTiempos[[Dato 2]:[Club]],11,FALSE)))</calculatedColumnFormula>
    </tableColumn>
    <tableColumn id="8" name="4 F" dataDxfId="15"/>
    <tableColumn id="5" name="2 M + 2 F" dataDxfId="14">
      <calculatedColumnFormula>NOW()-'LOS TIEMPOS'!$K$2</calculatedColumnFormula>
    </tableColumn>
  </tableColumns>
  <tableStyleInfo name="TableStyleMedium17" showFirstColumn="0" showLastColumn="0" showRowStripes="1" showColumnStripes="0"/>
</table>
</file>

<file path=xl/tables/table11.xml><?xml version="1.0" encoding="utf-8"?>
<table xmlns="http://schemas.openxmlformats.org/spreadsheetml/2006/main" id="4" name="Tabla25" displayName="Tabla25" ref="A3:L45" totalsRowShown="0" headerRowDxfId="13" headerRowBorderDxfId="12">
  <autoFilter ref="A3:L45"/>
  <tableColumns count="12">
    <tableColumn id="1" name="Club" dataDxfId="11"/>
    <tableColumn id="13" name="Inscritos" dataDxfId="10">
      <calculatedColumnFormula>TablaEquipos[[#This Row],[Participantes]]</calculatedColumnFormula>
    </tableColumn>
    <tableColumn id="12" name="En Meta" dataDxfId="9">
      <calculatedColumnFormula>COUNTIF(#REF!,Tabla25[[#This Row],[Club]])</calculatedColumnFormula>
    </tableColumn>
    <tableColumn id="3" name="Num Meta Masculino" dataDxfId="8">
      <calculatedColumnFormula>COUNTIF(#REF!,Tabla25[[#This Row],[Club]])</calculatedColumnFormula>
    </tableColumn>
    <tableColumn id="6" name="Tiempo Meta Masculino" dataDxfId="7">
      <calculatedColumnFormula>IF(Tabla25[[#This Row],[Num Meta Masculino]]&gt;=4,SUMIF(#REF!,Tabla25[[#This Row],[Club]],TablaTiempos[Tiempo Llegada]),"")</calculatedColumnFormula>
    </tableColumn>
    <tableColumn id="10" name="Pos Meta Masculino" dataDxfId="6">
      <calculatedColumnFormula>IF(Tabla25[[#This Row],[Num Meta Masculino]]&gt;=4,_xlfn.RANK.AVG(Tabla25[[#This Row],[Tiempo Meta Masculino]],Tabla25[Tiempo Meta Masculino],1),"")</calculatedColumnFormula>
    </tableColumn>
    <tableColumn id="4" name="Num Meta Femenino" dataDxfId="5">
      <calculatedColumnFormula>COUNTIF(#REF!,Tabla25[[#This Row],[Club]])</calculatedColumnFormula>
    </tableColumn>
    <tableColumn id="7" name="Tiempo Meta Femenino" dataDxfId="4">
      <calculatedColumnFormula>IF(Tabla25[[#This Row],[Num Meta Femenino]]&gt;=4,SUMIF(#REF!,Tabla25[[#This Row],[Club]],TablaTiempos[Tiempo Llegada]),"")</calculatedColumnFormula>
    </tableColumn>
    <tableColumn id="11" name="Pos Meta Femenino" dataDxfId="3">
      <calculatedColumnFormula>IF(Tabla25[[#This Row],[Num Meta Femenino]]&gt;=4,_xlfn.RANK.AVG(Tabla25[[#This Row],[Tiempo Meta Femenino]],Tabla25[Tiempo Meta Femenino],1),"")</calculatedColumnFormula>
    </tableColumn>
    <tableColumn id="5" name="Num Meta Mixto" dataDxfId="2">
      <calculatedColumnFormula>COUNTIF(#REF!,Tabla25[[#This Row],[Club]])</calculatedColumnFormula>
    </tableColumn>
    <tableColumn id="8" name="Tiempo Meta Mixto" dataDxfId="1">
      <calculatedColumnFormula>IF(Tabla25[[#This Row],[Num Meta Mixto]]&gt;=4,SUMIF(#REF!,Tabla25[[#This Row],[Club]],TablaTiempos[Tiempo Llegada]),"")</calculatedColumnFormula>
    </tableColumn>
    <tableColumn id="9" name="Pos Meta Mixto" dataDxfId="0">
      <calculatedColumnFormula>IF(Tabla25[[#This Row],[Num Meta Mixto]]&gt;=4,_xlfn.RANK.AVG(Tabla25[[#This Row],[Tiempo Meta Mixto]],Tabla25[Tiempo Meta Mixto],1),"")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9" Type="http://schemas.openxmlformats.org/officeDocument/2006/relationships/ctrlProp" Target="../ctrlProps/ctrlProp38.xml"/><Relationship Id="rId21" Type="http://schemas.openxmlformats.org/officeDocument/2006/relationships/ctrlProp" Target="../ctrlProps/ctrlProp20.xml"/><Relationship Id="rId34" Type="http://schemas.openxmlformats.org/officeDocument/2006/relationships/ctrlProp" Target="../ctrlProps/ctrlProp33.xml"/><Relationship Id="rId42" Type="http://schemas.openxmlformats.org/officeDocument/2006/relationships/table" Target="../tables/table3.x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5.xml"/><Relationship Id="rId20" Type="http://schemas.openxmlformats.org/officeDocument/2006/relationships/ctrlProp" Target="../ctrlProps/ctrlProp19.xml"/><Relationship Id="rId29" Type="http://schemas.openxmlformats.org/officeDocument/2006/relationships/ctrlProp" Target="../ctrlProps/ctrlProp28.xml"/><Relationship Id="rId41" Type="http://schemas.openxmlformats.org/officeDocument/2006/relationships/ctrlProp" Target="../ctrlProps/ctrlProp4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37" Type="http://schemas.openxmlformats.org/officeDocument/2006/relationships/ctrlProp" Target="../ctrlProps/ctrlProp36.xml"/><Relationship Id="rId40" Type="http://schemas.openxmlformats.org/officeDocument/2006/relationships/ctrlProp" Target="../ctrlProps/ctrlProp39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36" Type="http://schemas.openxmlformats.org/officeDocument/2006/relationships/ctrlProp" Target="../ctrlProps/ctrlProp35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Relationship Id="rId35" Type="http://schemas.openxmlformats.org/officeDocument/2006/relationships/ctrlProp" Target="../ctrlProps/ctrlProp34.xml"/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33" Type="http://schemas.openxmlformats.org/officeDocument/2006/relationships/ctrlProp" Target="../ctrlProps/ctrlProp32.xml"/><Relationship Id="rId38" Type="http://schemas.openxmlformats.org/officeDocument/2006/relationships/ctrlProp" Target="../ctrlProps/ctrlProp3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1"/>
  </sheetPr>
  <dimension ref="H2:P24"/>
  <sheetViews>
    <sheetView tabSelected="1" topLeftCell="E1" zoomScale="115" zoomScaleNormal="115" workbookViewId="0">
      <selection activeCell="K6" sqref="K6"/>
    </sheetView>
  </sheetViews>
  <sheetFormatPr baseColWidth="10" defaultRowHeight="15" x14ac:dyDescent="0.25"/>
  <cols>
    <col min="8" max="8" width="28.140625" customWidth="1"/>
    <col min="9" max="9" width="11.5703125" customWidth="1"/>
    <col min="10" max="10" width="11.42578125" customWidth="1"/>
    <col min="11" max="11" width="28.5703125" customWidth="1"/>
    <col min="12" max="12" width="9.85546875" customWidth="1"/>
    <col min="13" max="13" width="28.5703125" customWidth="1"/>
    <col min="14" max="14" width="9.85546875" customWidth="1"/>
    <col min="15" max="15" width="28.5703125" customWidth="1"/>
    <col min="16" max="16" width="9.85546875" customWidth="1"/>
  </cols>
  <sheetData>
    <row r="2" spans="8:16" x14ac:dyDescent="0.25">
      <c r="H2" t="s">
        <v>153</v>
      </c>
      <c r="K2" s="60"/>
    </row>
    <row r="3" spans="8:16" x14ac:dyDescent="0.25">
      <c r="H3" t="s">
        <v>174</v>
      </c>
    </row>
    <row r="5" spans="8:16" x14ac:dyDescent="0.25">
      <c r="H5" t="s">
        <v>175</v>
      </c>
      <c r="I5" t="s">
        <v>176</v>
      </c>
    </row>
    <row r="6" spans="8:16" x14ac:dyDescent="0.25">
      <c r="H6" t="s">
        <v>163</v>
      </c>
      <c r="I6">
        <f>COUNTA(TablaCorredores[Participante])-1</f>
        <v>21</v>
      </c>
    </row>
    <row r="7" spans="8:16" x14ac:dyDescent="0.25">
      <c r="H7" t="s">
        <v>162</v>
      </c>
      <c r="I7">
        <f>COUNTA(TablaEquipos[Club])-1</f>
        <v>24</v>
      </c>
    </row>
    <row r="8" spans="8:16" x14ac:dyDescent="0.25">
      <c r="H8" t="s">
        <v>164</v>
      </c>
      <c r="I8">
        <f>COUNTA(TablaTiempos[Corredor])-1</f>
        <v>15</v>
      </c>
    </row>
    <row r="10" spans="8:16" ht="15.75" x14ac:dyDescent="0.25">
      <c r="H10" s="105" t="s">
        <v>168</v>
      </c>
      <c r="I10" s="105" t="s">
        <v>27</v>
      </c>
      <c r="J10" s="105" t="s">
        <v>48</v>
      </c>
      <c r="K10" s="102" t="s">
        <v>165</v>
      </c>
      <c r="L10" s="103" t="s">
        <v>171</v>
      </c>
      <c r="M10" s="102" t="s">
        <v>166</v>
      </c>
      <c r="N10" s="103" t="s">
        <v>172</v>
      </c>
      <c r="O10" s="102" t="s">
        <v>167</v>
      </c>
      <c r="P10" s="105" t="s">
        <v>173</v>
      </c>
    </row>
    <row r="11" spans="8:16" x14ac:dyDescent="0.25">
      <c r="H11" s="108" t="s">
        <v>116</v>
      </c>
      <c r="I11" s="106">
        <f>COUNTIF(TablaCorredores[Categoría],Tabla10[[#This Row],[CATEGORÍAS]])</f>
        <v>5</v>
      </c>
      <c r="J11" s="106">
        <f>COUNTIF(TablaTiempos[Categoría],Tabla10[[#This Row],[CATEGORÍAS]])</f>
        <v>3</v>
      </c>
      <c r="K11" s="109" t="str">
        <f>IFERROR(VLOOKUP(CONCATENATE("1_",Tabla10[[#This Row],[CATEGORÍAS]]),TablaTiempos[[Dato 1]:[Corredor]],11,FALSE),"")</f>
        <v>ALEX ARAGON</v>
      </c>
      <c r="L11" s="104">
        <f>IFERROR(VLOOKUP(CONCATENATE("1_",Tabla10[[#This Row],[CATEGORÍAS]]),TablaTiempos[[Dato 1]:[Corredor]],10,FALSE),"")</f>
        <v>42360.026218749997</v>
      </c>
      <c r="M11" s="109" t="str">
        <f>IFERROR(VLOOKUP(CONCATENATE("2_",Tabla10[[#This Row],[CATEGORÍAS]]),TablaTiempos[[Dato 1]:[Corredor]],11,FALSE),"")</f>
        <v>ALICIA SANTOS ESPINOSA</v>
      </c>
      <c r="N11" s="104">
        <f>IFERROR(VLOOKUP(CONCATENATE("2_",Tabla10[[#This Row],[CATEGORÍAS]]),TablaTiempos[[Dato 1]:[Corredor]],10,FALSE),"")</f>
        <v>42361.026248842594</v>
      </c>
      <c r="O11" s="109" t="str">
        <f>IFERROR(VLOOKUP(CONCATENATE("3_",Tabla10[[#This Row],[CATEGORÍAS]]),TablaTiempos[[Dato 1]:[Corredor]],11,FALSE),"")</f>
        <v>ALVARO MARTINEZ MENDOZA</v>
      </c>
      <c r="P11" s="107">
        <f>IFERROR(VLOOKUP(CONCATENATE("3_",Tabla10[[#This Row],[CATEGORÍAS]]),TablaTiempos[[Dato 1]:[Corredor]],10,FALSE),"")</f>
        <v>42361.029602546296</v>
      </c>
    </row>
    <row r="12" spans="8:16" x14ac:dyDescent="0.25">
      <c r="H12" s="108" t="s">
        <v>117</v>
      </c>
      <c r="I12" s="106">
        <f>COUNTIF(TablaCorredores[Categoría],Tabla10[[#This Row],[CATEGORÍAS]])</f>
        <v>4</v>
      </c>
      <c r="J12" s="106">
        <f>COUNTIF(TablaTiempos[Categoría],Tabla10[[#This Row],[CATEGORÍAS]])</f>
        <v>3</v>
      </c>
      <c r="K12" s="109" t="str">
        <f>IFERROR(VLOOKUP(CONCATENATE("1_",Tabla10[[#This Row],[CATEGORÍAS]]),TablaTiempos[[Dato 1]:[Corredor]],11,FALSE),"")</f>
        <v>ALASSANE DIALLO</v>
      </c>
      <c r="L12" s="104">
        <f>IFERROR(VLOOKUP(CONCATENATE("1_",Tabla10[[#This Row],[CATEGORÍAS]]),TablaTiempos[[Dato 1]:[Corredor]],10,FALSE),"")</f>
        <v>42361.026143518517</v>
      </c>
      <c r="M12" s="109" t="str">
        <f>IFERROR(VLOOKUP(CONCATENATE("2_",Tabla10[[#This Row],[CATEGORÍAS]]),TablaTiempos[[Dato 1]:[Corredor]],11,FALSE),"")</f>
        <v>ALBERTO ALVAREZ JIMENEZ</v>
      </c>
      <c r="N12" s="104">
        <f>IFERROR(VLOOKUP(CONCATENATE("2_",Tabla10[[#This Row],[CATEGORÍAS]]),TablaTiempos[[Dato 1]:[Corredor]],10,FALSE),"")</f>
        <v>42361.02615636574</v>
      </c>
      <c r="O12" s="109" t="str">
        <f>IFERROR(VLOOKUP(CONCATENATE("3_",Tabla10[[#This Row],[CATEGORÍAS]]),TablaTiempos[[Dato 1]:[Corredor]],11,FALSE),"")</f>
        <v>ALEJANDRO MUÑOZ FERNÁNDEZ</v>
      </c>
      <c r="P12" s="107">
        <f>IFERROR(VLOOKUP(CONCATENATE("3_",Tabla10[[#This Row],[CATEGORÍAS]]),TablaTiempos[[Dato 1]:[Corredor]],10,FALSE),"")</f>
        <v>42361.026207291667</v>
      </c>
    </row>
    <row r="13" spans="8:16" x14ac:dyDescent="0.25">
      <c r="H13" s="108" t="s">
        <v>114</v>
      </c>
      <c r="I13" s="106">
        <f>COUNTIF(TablaCorredores[Categoría],Tabla10[[#This Row],[CATEGORÍAS]])</f>
        <v>1</v>
      </c>
      <c r="J13" s="106">
        <f>COUNTIF(TablaTiempos[Categoría],Tabla10[[#This Row],[CATEGORÍAS]])</f>
        <v>0</v>
      </c>
      <c r="K13" s="109" t="str">
        <f>IFERROR(VLOOKUP(CONCATENATE("1_",Tabla10[[#This Row],[CATEGORÍAS]]),TablaTiempos[[Dato 1]:[Corredor]],11,FALSE),"")</f>
        <v/>
      </c>
      <c r="L13" s="104" t="str">
        <f>IFERROR(VLOOKUP(CONCATENATE("1_",Tabla10[[#This Row],[CATEGORÍAS]]),TablaTiempos[[Dato 1]:[Corredor]],10,FALSE),"")</f>
        <v/>
      </c>
      <c r="M13" s="109" t="str">
        <f>IFERROR(VLOOKUP(CONCATENATE("2_",Tabla10[[#This Row],[CATEGORÍAS]]),TablaTiempos[[Dato 1]:[Corredor]],11,FALSE),"")</f>
        <v/>
      </c>
      <c r="N13" s="104" t="str">
        <f>IFERROR(VLOOKUP(CONCATENATE("2_",Tabla10[[#This Row],[CATEGORÍAS]]),TablaTiempos[[Dato 1]:[Corredor]],10,FALSE),"")</f>
        <v/>
      </c>
      <c r="O13" s="109" t="str">
        <f>IFERROR(VLOOKUP(CONCATENATE("3_",Tabla10[[#This Row],[CATEGORÍAS]]),TablaTiempos[[Dato 1]:[Corredor]],11,FALSE),"")</f>
        <v/>
      </c>
      <c r="P13" s="107" t="str">
        <f>IFERROR(VLOOKUP(CONCATENATE("3_",Tabla10[[#This Row],[CATEGORÍAS]]),TablaTiempos[[Dato 1]:[Corredor]],10,FALSE),"")</f>
        <v/>
      </c>
    </row>
    <row r="14" spans="8:16" x14ac:dyDescent="0.25">
      <c r="H14" s="108" t="s">
        <v>115</v>
      </c>
      <c r="I14" s="106">
        <f>COUNTIF(TablaCorredores[Categoría],Tabla10[[#This Row],[CATEGORÍAS]])</f>
        <v>3</v>
      </c>
      <c r="J14" s="106">
        <f>COUNTIF(TablaTiempos[Categoría],Tabla10[[#This Row],[CATEGORÍAS]])</f>
        <v>1</v>
      </c>
      <c r="K14" s="109" t="str">
        <f>IFERROR(VLOOKUP(CONCATENATE("1_",Tabla10[[#This Row],[CATEGORÍAS]]),TablaTiempos[[Dato 1]:[Corredor]],11,FALSE),"")</f>
        <v>ALBERTO BENITO DEL RIO</v>
      </c>
      <c r="L14" s="104">
        <f>IFERROR(VLOOKUP(CONCATENATE("1_",Tabla10[[#This Row],[CATEGORÍAS]]),TablaTiempos[[Dato 1]:[Corredor]],10,FALSE),"")</f>
        <v>42360.026169560188</v>
      </c>
      <c r="M14" s="109" t="str">
        <f>IFERROR(VLOOKUP(CONCATENATE("2_",Tabla10[[#This Row],[CATEGORÍAS]]),TablaTiempos[[Dato 1]:[Corredor]],11,FALSE),"")</f>
        <v/>
      </c>
      <c r="N14" s="104" t="str">
        <f>IFERROR(VLOOKUP(CONCATENATE("2_",Tabla10[[#This Row],[CATEGORÍAS]]),TablaTiempos[[Dato 1]:[Corredor]],10,FALSE),"")</f>
        <v/>
      </c>
      <c r="O14" s="109" t="str">
        <f>IFERROR(VLOOKUP(CONCATENATE("3_",Tabla10[[#This Row],[CATEGORÍAS]]),TablaTiempos[[Dato 1]:[Corredor]],11,FALSE),"")</f>
        <v/>
      </c>
      <c r="P14" s="107" t="str">
        <f>IFERROR(VLOOKUP(CONCATENATE("3_",Tabla10[[#This Row],[CATEGORÍAS]]),TablaTiempos[[Dato 1]:[Corredor]],10,FALSE),"")</f>
        <v/>
      </c>
    </row>
    <row r="15" spans="8:16" x14ac:dyDescent="0.25">
      <c r="H15" s="108" t="s">
        <v>113</v>
      </c>
      <c r="I15" s="106">
        <f>COUNTIF(TablaCorredores[Categoría],Tabla10[[#This Row],[CATEGORÍAS]])</f>
        <v>0</v>
      </c>
      <c r="J15" s="106">
        <f>COUNTIF(TablaTiempos[Categoría],Tabla10[[#This Row],[CATEGORÍAS]])</f>
        <v>0</v>
      </c>
      <c r="K15" s="109" t="str">
        <f>IFERROR(VLOOKUP(CONCATENATE("1_",Tabla10[[#This Row],[CATEGORÍAS]]),TablaTiempos[[Dato 1]:[Corredor]],11,FALSE),"")</f>
        <v/>
      </c>
      <c r="L15" s="104" t="str">
        <f>IFERROR(VLOOKUP(CONCATENATE("1_",Tabla10[[#This Row],[CATEGORÍAS]]),TablaTiempos[[Dato 1]:[Corredor]],10,FALSE),"")</f>
        <v/>
      </c>
      <c r="M15" s="109" t="str">
        <f>IFERROR(VLOOKUP(CONCATENATE("2_",Tabla10[[#This Row],[CATEGORÍAS]]),TablaTiempos[[Dato 1]:[Corredor]],11,FALSE),"")</f>
        <v/>
      </c>
      <c r="N15" s="104" t="str">
        <f>IFERROR(VLOOKUP(CONCATENATE("2_",Tabla10[[#This Row],[CATEGORÍAS]]),TablaTiempos[[Dato 1]:[Corredor]],10,FALSE),"")</f>
        <v/>
      </c>
      <c r="O15" s="109" t="str">
        <f>IFERROR(VLOOKUP(CONCATENATE("3_",Tabla10[[#This Row],[CATEGORÍAS]]),TablaTiempos[[Dato 1]:[Corredor]],11,FALSE),"")</f>
        <v/>
      </c>
      <c r="P15" s="107" t="str">
        <f>IFERROR(VLOOKUP(CONCATENATE("3_",Tabla10[[#This Row],[CATEGORÍAS]]),TablaTiempos[[Dato 1]:[Corredor]],10,FALSE),"")</f>
        <v/>
      </c>
    </row>
    <row r="16" spans="8:16" x14ac:dyDescent="0.25">
      <c r="H16" s="108" t="s">
        <v>112</v>
      </c>
      <c r="I16" s="106">
        <f>COUNTIF(TablaCorredores[Categoría],Tabla10[[#This Row],[CATEGORÍAS]])</f>
        <v>0</v>
      </c>
      <c r="J16" s="106">
        <f>COUNTIF(TablaTiempos[Categoría],Tabla10[[#This Row],[CATEGORÍAS]])</f>
        <v>0</v>
      </c>
      <c r="K16" s="109" t="str">
        <f>IFERROR(VLOOKUP(CONCATENATE("1_",Tabla10[[#This Row],[CATEGORÍAS]]),TablaTiempos[[Dato 1]:[Corredor]],11,FALSE),"")</f>
        <v/>
      </c>
      <c r="L16" s="104" t="str">
        <f>IFERROR(VLOOKUP(CONCATENATE("1_",Tabla10[[#This Row],[CATEGORÍAS]]),TablaTiempos[[Dato 1]:[Corredor]],10,FALSE),"")</f>
        <v/>
      </c>
      <c r="M16" s="109" t="str">
        <f>IFERROR(VLOOKUP(CONCATENATE("2_",Tabla10[[#This Row],[CATEGORÍAS]]),TablaTiempos[[Dato 1]:[Corredor]],11,FALSE),"")</f>
        <v/>
      </c>
      <c r="N16" s="104" t="str">
        <f>IFERROR(VLOOKUP(CONCATENATE("2_",Tabla10[[#This Row],[CATEGORÍAS]]),TablaTiempos[[Dato 1]:[Corredor]],10,FALSE),"")</f>
        <v/>
      </c>
      <c r="O16" s="109" t="str">
        <f>IFERROR(VLOOKUP(CONCATENATE("3_",Tabla10[[#This Row],[CATEGORÍAS]]),TablaTiempos[[Dato 1]:[Corredor]],11,FALSE),"")</f>
        <v/>
      </c>
      <c r="P16" s="107" t="str">
        <f>IFERROR(VLOOKUP(CONCATENATE("3_",Tabla10[[#This Row],[CATEGORÍAS]]),TablaTiempos[[Dato 1]:[Corredor]],10,FALSE),"")</f>
        <v/>
      </c>
    </row>
    <row r="17" spans="8:16" x14ac:dyDescent="0.25">
      <c r="H17" s="108" t="s">
        <v>143</v>
      </c>
      <c r="I17" s="106">
        <f>COUNTIF(TablaCorredores[Categoría],Tabla10[[#This Row],[CATEGORÍAS]])</f>
        <v>1</v>
      </c>
      <c r="J17" s="106">
        <f>COUNTIF(TablaTiempos[Categoría],Tabla10[[#This Row],[CATEGORÍAS]])</f>
        <v>1</v>
      </c>
      <c r="K17" s="109" t="str">
        <f>IFERROR(VLOOKUP(CONCATENATE("1_",Tabla10[[#This Row],[CATEGORÍAS]]),TablaTiempos[[Dato 1]:[Corredor]],11,FALSE),"")</f>
        <v>ALEJANDRO MARQUEZ CANO</v>
      </c>
      <c r="L17" s="104">
        <f>IFERROR(VLOOKUP(CONCATENATE("1_",Tabla10[[#This Row],[CATEGORÍAS]]),TablaTiempos[[Dato 1]:[Corredor]],10,FALSE),"")</f>
        <v>42367.026196064813</v>
      </c>
      <c r="M17" s="109" t="str">
        <f>IFERROR(VLOOKUP(CONCATENATE("2_",Tabla10[[#This Row],[CATEGORÍAS]]),TablaTiempos[[Dato 1]:[Corredor]],11,FALSE),"")</f>
        <v/>
      </c>
      <c r="N17" s="104" t="str">
        <f>IFERROR(VLOOKUP(CONCATENATE("2_",Tabla10[[#This Row],[CATEGORÍAS]]),TablaTiempos[[Dato 1]:[Corredor]],10,FALSE),"")</f>
        <v/>
      </c>
      <c r="O17" s="109" t="str">
        <f>IFERROR(VLOOKUP(CONCATENATE("3_",Tabla10[[#This Row],[CATEGORÍAS]]),TablaTiempos[[Dato 1]:[Corredor]],11,FALSE),"")</f>
        <v/>
      </c>
      <c r="P17" s="107" t="str">
        <f>IFERROR(VLOOKUP(CONCATENATE("3_",Tabla10[[#This Row],[CATEGORÍAS]]),TablaTiempos[[Dato 1]:[Corredor]],10,FALSE),"")</f>
        <v/>
      </c>
    </row>
    <row r="18" spans="8:16" x14ac:dyDescent="0.25">
      <c r="H18" s="108" t="s">
        <v>144</v>
      </c>
      <c r="I18" s="106">
        <f>COUNTIF(TablaCorredores[Categoría],Tabla10[[#This Row],[CATEGORÍAS]])</f>
        <v>0</v>
      </c>
      <c r="J18" s="106">
        <f>COUNTIF(TablaTiempos[Categoría],Tabla10[[#This Row],[CATEGORÍAS]])</f>
        <v>0</v>
      </c>
      <c r="K18" s="109" t="str">
        <f>IFERROR(VLOOKUP(CONCATENATE("1_",Tabla10[[#This Row],[CATEGORÍAS]]),TablaTiempos[[Dato 1]:[Corredor]],11,FALSE),"")</f>
        <v/>
      </c>
      <c r="L18" s="104" t="str">
        <f>IFERROR(VLOOKUP(CONCATENATE("1_",Tabla10[[#This Row],[CATEGORÍAS]]),TablaTiempos[[Dato 1]:[Corredor]],10,FALSE),"")</f>
        <v/>
      </c>
      <c r="M18" s="109" t="str">
        <f>IFERROR(VLOOKUP(CONCATENATE("2_",Tabla10[[#This Row],[CATEGORÍAS]]),TablaTiempos[[Dato 1]:[Corredor]],11,FALSE),"")</f>
        <v/>
      </c>
      <c r="N18" s="104" t="str">
        <f>IFERROR(VLOOKUP(CONCATENATE("2_",Tabla10[[#This Row],[CATEGORÍAS]]),TablaTiempos[[Dato 1]:[Corredor]],10,FALSE),"")</f>
        <v/>
      </c>
      <c r="O18" s="109" t="str">
        <f>IFERROR(VLOOKUP(CONCATENATE("3_",Tabla10[[#This Row],[CATEGORÍAS]]),TablaTiempos[[Dato 1]:[Corredor]],11,FALSE),"")</f>
        <v/>
      </c>
      <c r="P18" s="107" t="str">
        <f>IFERROR(VLOOKUP(CONCATENATE("3_",Tabla10[[#This Row],[CATEGORÍAS]]),TablaTiempos[[Dato 1]:[Corredor]],10,FALSE),"")</f>
        <v/>
      </c>
    </row>
    <row r="19" spans="8:16" x14ac:dyDescent="0.25">
      <c r="H19" s="108" t="s">
        <v>107</v>
      </c>
      <c r="I19" s="106">
        <f>COUNTIF(TablaCorredores[Categoría],Tabla10[[#This Row],[CATEGORÍAS]])</f>
        <v>0</v>
      </c>
      <c r="J19" s="106">
        <f>COUNTIF(TablaTiempos[Categoría],Tabla10[[#This Row],[CATEGORÍAS]])</f>
        <v>0</v>
      </c>
      <c r="K19" s="109" t="str">
        <f>IFERROR(VLOOKUP(CONCATENATE("1_",Tabla10[[#This Row],[CATEGORÍAS]]),TablaTiempos[[Dato 1]:[Corredor]],11,FALSE),"")</f>
        <v/>
      </c>
      <c r="L19" s="104" t="str">
        <f>IFERROR(VLOOKUP(CONCATENATE("1_",Tabla10[[#This Row],[CATEGORÍAS]]),TablaTiempos[[Dato 1]:[Corredor]],10,FALSE),"")</f>
        <v/>
      </c>
      <c r="M19" s="109" t="str">
        <f>IFERROR(VLOOKUP(CONCATENATE("2_",Tabla10[[#This Row],[CATEGORÍAS]]),TablaTiempos[[Dato 1]:[Corredor]],11,FALSE),"")</f>
        <v/>
      </c>
      <c r="N19" s="104" t="str">
        <f>IFERROR(VLOOKUP(CONCATENATE("2_",Tabla10[[#This Row],[CATEGORÍAS]]),TablaTiempos[[Dato 1]:[Corredor]],10,FALSE),"")</f>
        <v/>
      </c>
      <c r="O19" s="109" t="str">
        <f>IFERROR(VLOOKUP(CONCATENATE("3_",Tabla10[[#This Row],[CATEGORÍAS]]),TablaTiempos[[Dato 1]:[Corredor]],11,FALSE),"")</f>
        <v/>
      </c>
      <c r="P19" s="107" t="str">
        <f>IFERROR(VLOOKUP(CONCATENATE("3_",Tabla10[[#This Row],[CATEGORÍAS]]),TablaTiempos[[Dato 1]:[Corredor]],10,FALSE),"")</f>
        <v/>
      </c>
    </row>
    <row r="20" spans="8:16" x14ac:dyDescent="0.25">
      <c r="H20" s="108" t="s">
        <v>108</v>
      </c>
      <c r="I20" s="106">
        <f>COUNTIF(TablaCorredores[Categoría],Tabla10[[#This Row],[CATEGORÍAS]])</f>
        <v>0</v>
      </c>
      <c r="J20" s="106">
        <f>COUNTIF(TablaTiempos[Categoría],Tabla10[[#This Row],[CATEGORÍAS]])</f>
        <v>0</v>
      </c>
      <c r="K20" s="109" t="str">
        <f>IFERROR(VLOOKUP(CONCATENATE("1_",Tabla10[[#This Row],[CATEGORÍAS]]),TablaTiempos[[Dato 1]:[Corredor]],11,FALSE),"")</f>
        <v/>
      </c>
      <c r="L20" s="104" t="str">
        <f>IFERROR(VLOOKUP(CONCATENATE("1_",Tabla10[[#This Row],[CATEGORÍAS]]),TablaTiempos[[Dato 1]:[Corredor]],10,FALSE),"")</f>
        <v/>
      </c>
      <c r="M20" s="109" t="str">
        <f>IFERROR(VLOOKUP(CONCATENATE("2_",Tabla10[[#This Row],[CATEGORÍAS]]),TablaTiempos[[Dato 1]:[Corredor]],11,FALSE),"")</f>
        <v/>
      </c>
      <c r="N20" s="104" t="str">
        <f>IFERROR(VLOOKUP(CONCATENATE("2_",Tabla10[[#This Row],[CATEGORÍAS]]),TablaTiempos[[Dato 1]:[Corredor]],10,FALSE),"")</f>
        <v/>
      </c>
      <c r="O20" s="109" t="str">
        <f>IFERROR(VLOOKUP(CONCATENATE("3_",Tabla10[[#This Row],[CATEGORÍAS]]),TablaTiempos[[Dato 1]:[Corredor]],11,FALSE),"")</f>
        <v/>
      </c>
      <c r="P20" s="107" t="str">
        <f>IFERROR(VLOOKUP(CONCATENATE("3_",Tabla10[[#This Row],[CATEGORÍAS]]),TablaTiempos[[Dato 1]:[Corredor]],10,FALSE),"")</f>
        <v/>
      </c>
    </row>
    <row r="21" spans="8:16" x14ac:dyDescent="0.25">
      <c r="H21" s="108" t="s">
        <v>105</v>
      </c>
      <c r="I21" s="106">
        <f>COUNTIF(TablaCorredores[Categoría],Tabla10[[#This Row],[CATEGORÍAS]])</f>
        <v>0</v>
      </c>
      <c r="J21" s="106">
        <f>COUNTIF(TablaTiempos[Categoría],Tabla10[[#This Row],[CATEGORÍAS]])</f>
        <v>0</v>
      </c>
      <c r="K21" s="109" t="str">
        <f>IFERROR(VLOOKUP(CONCATENATE("1_",Tabla10[[#This Row],[CATEGORÍAS]]),TablaTiempos[[Dato 1]:[Corredor]],11,FALSE),"")</f>
        <v/>
      </c>
      <c r="L21" s="104" t="str">
        <f>IFERROR(VLOOKUP(CONCATENATE("1_",Tabla10[[#This Row],[CATEGORÍAS]]),TablaTiempos[[Dato 1]:[Corredor]],10,FALSE),"")</f>
        <v/>
      </c>
      <c r="M21" s="109" t="str">
        <f>IFERROR(VLOOKUP(CONCATENATE("2_",Tabla10[[#This Row],[CATEGORÍAS]]),TablaTiempos[[Dato 1]:[Corredor]],11,FALSE),"")</f>
        <v/>
      </c>
      <c r="N21" s="104" t="str">
        <f>IFERROR(VLOOKUP(CONCATENATE("2_",Tabla10[[#This Row],[CATEGORÍAS]]),TablaTiempos[[Dato 1]:[Corredor]],10,FALSE),"")</f>
        <v/>
      </c>
      <c r="O21" s="109" t="str">
        <f>IFERROR(VLOOKUP(CONCATENATE("3_",Tabla10[[#This Row],[CATEGORÍAS]]),TablaTiempos[[Dato 1]:[Corredor]],11,FALSE),"")</f>
        <v/>
      </c>
      <c r="P21" s="107" t="str">
        <f>IFERROR(VLOOKUP(CONCATENATE("3_",Tabla10[[#This Row],[CATEGORÍAS]]),TablaTiempos[[Dato 1]:[Corredor]],10,FALSE),"")</f>
        <v/>
      </c>
    </row>
    <row r="22" spans="8:16" x14ac:dyDescent="0.25">
      <c r="H22" s="108" t="s">
        <v>106</v>
      </c>
      <c r="I22" s="106">
        <f>COUNTIF(TablaCorredores[Categoría],Tabla10[[#This Row],[CATEGORÍAS]])</f>
        <v>0</v>
      </c>
      <c r="J22" s="106">
        <f>COUNTIF(TablaTiempos[Categoría],Tabla10[[#This Row],[CATEGORÍAS]])</f>
        <v>0</v>
      </c>
      <c r="K22" s="109" t="str">
        <f>IFERROR(VLOOKUP(CONCATENATE("1_",Tabla10[[#This Row],[CATEGORÍAS]]),TablaTiempos[[Dato 1]:[Corredor]],11,FALSE),"")</f>
        <v/>
      </c>
      <c r="L22" s="104" t="str">
        <f>IFERROR(VLOOKUP(CONCATENATE("1_",Tabla10[[#This Row],[CATEGORÍAS]]),TablaTiempos[[Dato 1]:[Corredor]],10,FALSE),"")</f>
        <v/>
      </c>
      <c r="M22" s="109" t="str">
        <f>IFERROR(VLOOKUP(CONCATENATE("2_",Tabla10[[#This Row],[CATEGORÍAS]]),TablaTiempos[[Dato 1]:[Corredor]],11,FALSE),"")</f>
        <v/>
      </c>
      <c r="N22" s="104" t="str">
        <f>IFERROR(VLOOKUP(CONCATENATE("2_",Tabla10[[#This Row],[CATEGORÍAS]]),TablaTiempos[[Dato 1]:[Corredor]],10,FALSE),"")</f>
        <v/>
      </c>
      <c r="O22" s="109" t="str">
        <f>IFERROR(VLOOKUP(CONCATENATE("3_",Tabla10[[#This Row],[CATEGORÍAS]]),TablaTiempos[[Dato 1]:[Corredor]],11,FALSE),"")</f>
        <v/>
      </c>
      <c r="P22" s="107" t="str">
        <f>IFERROR(VLOOKUP(CONCATENATE("3_",Tabla10[[#This Row],[CATEGORÍAS]]),TablaTiempos[[Dato 1]:[Corredor]],10,FALSE),"")</f>
        <v/>
      </c>
    </row>
    <row r="23" spans="8:16" x14ac:dyDescent="0.25">
      <c r="H23" s="108" t="s">
        <v>110</v>
      </c>
      <c r="I23" s="106">
        <f>COUNTIF(TablaCorredores[Categoría],Tabla10[[#This Row],[CATEGORÍAS]])</f>
        <v>6</v>
      </c>
      <c r="J23" s="106">
        <f>COUNTIF(TablaTiempos[Categoría],Tabla10[[#This Row],[CATEGORÍAS]])</f>
        <v>5</v>
      </c>
      <c r="K23" s="109" t="str">
        <f>IFERROR(VLOOKUP(CONCATENATE("1_",Tabla10[[#This Row],[CATEGORÍAS]]),TablaTiempos[[Dato 1]:[Corredor]],11,FALSE),"")</f>
        <v>TOMAS CABALLERO</v>
      </c>
      <c r="L23" s="104">
        <f>IFERROR(VLOOKUP(CONCATENATE("1_",Tabla10[[#This Row],[CATEGORÍAS]]),TablaTiempos[[Dato 1]:[Corredor]],10,FALSE),"")</f>
        <v>2.582175875431858E-4</v>
      </c>
      <c r="M23" s="109" t="str">
        <f>IFERROR(VLOOKUP(CONCATENATE("2_",Tabla10[[#This Row],[CATEGORÍAS]]),TablaTiempos[[Dato 1]:[Corredor]],11,FALSE),"")</f>
        <v>LUISA BERNARDA</v>
      </c>
      <c r="N23" s="104">
        <f>IFERROR(VLOOKUP(CONCATENATE("2_",Tabla10[[#This Row],[CATEGORÍAS]]),TablaTiempos[[Dato 1]:[Corredor]],10,FALSE),"")</f>
        <v>3.113425918854773E-4</v>
      </c>
      <c r="O23" s="109" t="str">
        <f>IFERROR(VLOOKUP(CONCATENATE("3_",Tabla10[[#This Row],[CATEGORÍAS]]),TablaTiempos[[Dato 1]:[Corredor]],11,FALSE),"")</f>
        <v>TIMOTEO VARGAS LLOSA</v>
      </c>
      <c r="P23" s="107">
        <f>IFERROR(VLOOKUP(CONCATENATE("3_",Tabla10[[#This Row],[CATEGORÍAS]]),TablaTiempos[[Dato 1]:[Corredor]],10,FALSE),"")</f>
        <v>3.9872685010777786E-4</v>
      </c>
    </row>
    <row r="24" spans="8:16" x14ac:dyDescent="0.25">
      <c r="H24" s="108" t="s">
        <v>111</v>
      </c>
      <c r="I24" s="106">
        <f>COUNTIF(TablaCorredores[Categoría],Tabla10[[#This Row],[CATEGORÍAS]])</f>
        <v>1</v>
      </c>
      <c r="J24" s="106">
        <f>COUNTIF(TablaTiempos[Categoría],Tabla10[[#This Row],[CATEGORÍAS]])</f>
        <v>1</v>
      </c>
      <c r="K24" s="109" t="str">
        <f>IFERROR(VLOOKUP(CONCATENATE("1_",Tabla10[[#This Row],[CATEGORÍAS]]),TablaTiempos[[Dato 1]:[Corredor]],11,FALSE),"")</f>
        <v>ALBERTO RUBIO BRETON</v>
      </c>
      <c r="L24" s="104">
        <f>IFERROR(VLOOKUP(CONCATENATE("1_",Tabla10[[#This Row],[CATEGORÍAS]]),TablaTiempos[[Dato 1]:[Corredor]],10,FALSE),"")</f>
        <v>42367.026183680558</v>
      </c>
      <c r="M24" s="109" t="str">
        <f>IFERROR(VLOOKUP(CONCATENATE("2_",Tabla10[[#This Row],[CATEGORÍAS]]),TablaTiempos[[Dato 1]:[Corredor]],11,FALSE),"")</f>
        <v/>
      </c>
      <c r="N24" s="104" t="str">
        <f>IFERROR(VLOOKUP(CONCATENATE("2_",Tabla10[[#This Row],[CATEGORÍAS]]),TablaTiempos[[Dato 1]:[Corredor]],10,FALSE),"")</f>
        <v/>
      </c>
      <c r="O24" s="109" t="str">
        <f>IFERROR(VLOOKUP(CONCATENATE("3_",Tabla10[[#This Row],[CATEGORÍAS]]),TablaTiempos[[Dato 1]:[Corredor]],11,FALSE),"")</f>
        <v/>
      </c>
      <c r="P24" s="107" t="str">
        <f>IFERROR(VLOOKUP(CONCATENATE("3_",Tabla10[[#This Row],[CATEGORÍAS]]),TablaTiempos[[Dato 1]:[Corredor]],10,FALSE),"")</f>
        <v/>
      </c>
    </row>
  </sheetData>
  <conditionalFormatting sqref="H3">
    <cfRule type="cellIs" dxfId="123" priority="1" operator="equal">
      <formula>"MACROS DESACTIVADAS"</formula>
    </cfRule>
    <cfRule type="cellIs" dxfId="122" priority="2" operator="equal">
      <formula>"MACROS ACTIVADAS"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ActivarMacros">
                <anchor moveWithCells="1" sizeWithCells="1">
                  <from>
                    <xdr:col>7</xdr:col>
                    <xdr:colOff>1866900</xdr:colOff>
                    <xdr:row>1</xdr:row>
                    <xdr:rowOff>9525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DesactivarMacros">
                <anchor moveWithCells="1" sizeWithCells="1">
                  <from>
                    <xdr:col>9</xdr:col>
                    <xdr:colOff>9525</xdr:colOff>
                    <xdr:row>1</xdr:row>
                    <xdr:rowOff>9525</xdr:rowOff>
                  </from>
                  <to>
                    <xdr:col>10</xdr:col>
                    <xdr:colOff>38100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theme="4" tint="-0.249977111117893"/>
  </sheetPr>
  <dimension ref="A1:N16"/>
  <sheetViews>
    <sheetView zoomScale="145" zoomScaleNormal="145" workbookViewId="0">
      <selection activeCell="I5" sqref="I5"/>
    </sheetView>
  </sheetViews>
  <sheetFormatPr baseColWidth="10" defaultRowHeight="15" x14ac:dyDescent="0.25"/>
  <cols>
    <col min="1" max="2" width="5.7109375" customWidth="1"/>
    <col min="4" max="5" width="11" style="4" customWidth="1"/>
    <col min="6" max="7" width="8.5703125" style="52" customWidth="1"/>
    <col min="8" max="8" width="19" style="58" bestFit="1" customWidth="1"/>
    <col min="9" max="9" width="11.5703125" style="59" customWidth="1"/>
    <col min="10" max="10" width="11.85546875" customWidth="1"/>
    <col min="11" max="11" width="11.85546875" bestFit="1" customWidth="1"/>
    <col min="14" max="14" width="16" style="53" bestFit="1" customWidth="1"/>
  </cols>
  <sheetData>
    <row r="1" spans="1:14" ht="24" customHeight="1" x14ac:dyDescent="0.25">
      <c r="A1" s="114" t="s">
        <v>151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</row>
    <row r="2" spans="1:14" ht="24" customHeight="1" thickBot="1" x14ac:dyDescent="0.3">
      <c r="A2" s="112" t="str">
        <f>IF(CONTROL!$H$3&lt;&gt;"MACROS ACTIVADAS","ACTIVA PRIMERO LAS MACROS EN LA PESTAÑA DE CONTROL",CONCATENATE("Hay ",COUNTIF(TablaCarreras[Estado],1)," carreras en activo"))</f>
        <v>Hay 0 carreras en activo</v>
      </c>
      <c r="B2" s="113"/>
      <c r="C2" s="113"/>
      <c r="D2" s="113"/>
      <c r="E2" s="113"/>
      <c r="F2" s="113"/>
      <c r="G2" s="113"/>
      <c r="H2" s="113"/>
      <c r="I2" s="113"/>
      <c r="J2" s="113"/>
      <c r="K2" s="113"/>
    </row>
    <row r="3" spans="1:14" s="14" customFormat="1" ht="24" customHeight="1" thickTop="1" thickBot="1" x14ac:dyDescent="0.35">
      <c r="A3" s="79" t="s">
        <v>46</v>
      </c>
      <c r="B3" s="82" t="s">
        <v>153</v>
      </c>
      <c r="C3" s="82" t="s">
        <v>152</v>
      </c>
      <c r="D3" s="80" t="s">
        <v>79</v>
      </c>
      <c r="E3" s="80" t="s">
        <v>133</v>
      </c>
      <c r="F3" s="80" t="s">
        <v>27</v>
      </c>
      <c r="G3" s="80" t="s">
        <v>48</v>
      </c>
      <c r="H3" s="81" t="s">
        <v>145</v>
      </c>
      <c r="I3" s="84" t="s">
        <v>154</v>
      </c>
      <c r="J3" s="85" t="s">
        <v>155</v>
      </c>
      <c r="K3" s="89" t="s">
        <v>156</v>
      </c>
      <c r="L3" s="56"/>
      <c r="N3" s="54"/>
    </row>
    <row r="4" spans="1:14" ht="17.25" customHeight="1" thickTop="1" x14ac:dyDescent="0.25">
      <c r="A4" s="8">
        <v>0</v>
      </c>
      <c r="B4" s="8">
        <v>2</v>
      </c>
      <c r="C4" s="8"/>
      <c r="D4" s="29" t="s">
        <v>81</v>
      </c>
      <c r="E4" s="29"/>
      <c r="F4" s="52">
        <f>COUNTIF(InscripcionesCarrera,TablaCarreras[[#This Row],[Carrera]])</f>
        <v>1</v>
      </c>
      <c r="G4" s="52">
        <f>COUNTIF(TablaTiempos[Carrera],TablaCarreras[[#This Row],[Carrera]])</f>
        <v>1</v>
      </c>
      <c r="H4" s="62">
        <f t="shared" ref="H4" ca="1" si="0">NOW()</f>
        <v>42368.075526157409</v>
      </c>
      <c r="I4" s="61"/>
      <c r="J4" s="57"/>
      <c r="K4" s="87" t="str">
        <f ca="1">IF(AND(TablaCarreras[[#This Row],[Estado]]=1,NOT(ISBLANK(TablaCarreras[[#This Row],[Hora Inicio]]))),NOW()-TablaCarreras[[#This Row],[Hora Inicio]],"")</f>
        <v/>
      </c>
      <c r="L4" s="57"/>
    </row>
    <row r="5" spans="1:14" ht="17.25" customHeight="1" x14ac:dyDescent="0.25">
      <c r="A5" s="8">
        <v>1</v>
      </c>
      <c r="B5" s="8">
        <v>0</v>
      </c>
      <c r="C5" s="8"/>
      <c r="D5" s="1" t="s">
        <v>126</v>
      </c>
      <c r="E5" s="1"/>
      <c r="F5" s="52">
        <f>COUNTIF(InscripcionesCarrera,TablaCarreras[[#This Row],[Carrera]])</f>
        <v>0</v>
      </c>
      <c r="G5" s="52">
        <f>COUNTIF(TablaTiempos[Carrera],TablaCarreras[[#This Row],[Carrera]])</f>
        <v>0</v>
      </c>
      <c r="H5" s="86"/>
      <c r="I5" s="61"/>
      <c r="J5" s="57"/>
      <c r="K5" s="87" t="str">
        <f ca="1">IF(AND(TablaCarreras[[#This Row],[Estado]]=1,NOT(ISBLANK(TablaCarreras[[#This Row],[Hora Inicio]]))),NOW()-TablaCarreras[[#This Row],[Hora Inicio]],"")</f>
        <v/>
      </c>
      <c r="L5" s="60"/>
    </row>
    <row r="6" spans="1:14" ht="17.25" customHeight="1" x14ac:dyDescent="0.25">
      <c r="A6" s="8">
        <v>2</v>
      </c>
      <c r="B6" s="8">
        <v>0</v>
      </c>
      <c r="C6" s="8"/>
      <c r="D6" s="1" t="s">
        <v>127</v>
      </c>
      <c r="E6" s="1"/>
      <c r="F6" s="52">
        <f>COUNTIF(InscripcionesCarrera,TablaCarreras[[#This Row],[Carrera]])</f>
        <v>0</v>
      </c>
      <c r="G6" s="52">
        <f>COUNTIF(TablaTiempos[Carrera],TablaCarreras[[#This Row],[Carrera]])</f>
        <v>0</v>
      </c>
      <c r="H6" s="86"/>
      <c r="I6" s="61"/>
      <c r="K6" s="88" t="str">
        <f ca="1">IF(AND(TablaCarreras[[#This Row],[Estado]]=1,NOT(ISBLANK(TablaCarreras[[#This Row],[Hora Inicio]]))),NOW()-TablaCarreras[[#This Row],[Hora Inicio]],"")</f>
        <v/>
      </c>
    </row>
    <row r="7" spans="1:14" ht="17.25" customHeight="1" x14ac:dyDescent="0.25">
      <c r="A7" s="8">
        <v>3</v>
      </c>
      <c r="B7" s="8">
        <v>0</v>
      </c>
      <c r="C7" s="8"/>
      <c r="D7" s="28" t="s">
        <v>128</v>
      </c>
      <c r="E7" s="28"/>
      <c r="F7" s="52">
        <f>COUNTIF(InscripcionesCarrera,TablaCarreras[[#This Row],[Carrera]])</f>
        <v>0</v>
      </c>
      <c r="G7" s="52">
        <f>COUNTIF(TablaTiempos[Carrera],TablaCarreras[[#This Row],[Carrera]])</f>
        <v>0</v>
      </c>
      <c r="H7" s="86"/>
      <c r="I7" s="61"/>
      <c r="K7" s="88" t="str">
        <f ca="1">IF(AND(TablaCarreras[[#This Row],[Estado]]=1,NOT(ISBLANK(TablaCarreras[[#This Row],[Hora Inicio]]))),NOW()-TablaCarreras[[#This Row],[Hora Inicio]],"")</f>
        <v/>
      </c>
    </row>
    <row r="8" spans="1:14" ht="17.25" customHeight="1" x14ac:dyDescent="0.25">
      <c r="A8" s="8">
        <v>4</v>
      </c>
      <c r="B8" s="8">
        <v>0</v>
      </c>
      <c r="C8" s="8"/>
      <c r="D8" s="28" t="s">
        <v>129</v>
      </c>
      <c r="E8" s="28"/>
      <c r="F8" s="52">
        <f>COUNTIF(InscripcionesCarrera,TablaCarreras[[#This Row],[Carrera]])</f>
        <v>0</v>
      </c>
      <c r="G8" s="52">
        <f>COUNTIF(TablaTiempos[Carrera],TablaCarreras[[#This Row],[Carrera]])</f>
        <v>0</v>
      </c>
      <c r="H8" s="86"/>
      <c r="I8" s="61"/>
      <c r="K8" s="88" t="str">
        <f ca="1">IF(AND(TablaCarreras[[#This Row],[Estado]]=1,NOT(ISBLANK(TablaCarreras[[#This Row],[Hora Inicio]]))),NOW()-TablaCarreras[[#This Row],[Hora Inicio]],"")</f>
        <v/>
      </c>
    </row>
    <row r="9" spans="1:14" ht="17.25" customHeight="1" x14ac:dyDescent="0.25">
      <c r="A9" s="8">
        <v>5</v>
      </c>
      <c r="B9" s="8">
        <v>0</v>
      </c>
      <c r="C9" s="8"/>
      <c r="D9" s="28" t="s">
        <v>130</v>
      </c>
      <c r="E9" s="28"/>
      <c r="F9" s="52">
        <f>COUNTIF(InscripcionesCarrera,TablaCarreras[[#This Row],[Carrera]])</f>
        <v>1</v>
      </c>
      <c r="G9" s="52">
        <f>COUNTIF(TablaTiempos[Carrera],TablaCarreras[[#This Row],[Carrera]])</f>
        <v>1</v>
      </c>
      <c r="H9" s="86"/>
      <c r="I9" s="61"/>
      <c r="K9" s="88" t="str">
        <f ca="1">IF(AND(TablaCarreras[[#This Row],[Estado]]=1,NOT(ISBLANK(TablaCarreras[[#This Row],[Hora Inicio]]))),NOW()-TablaCarreras[[#This Row],[Hora Inicio]],"")</f>
        <v/>
      </c>
    </row>
    <row r="10" spans="1:14" ht="17.25" customHeight="1" x14ac:dyDescent="0.25">
      <c r="A10" s="50">
        <v>6</v>
      </c>
      <c r="B10" s="8">
        <v>0</v>
      </c>
      <c r="C10" s="8"/>
      <c r="D10" s="28" t="s">
        <v>131</v>
      </c>
      <c r="E10" s="28"/>
      <c r="F10" s="83">
        <f>COUNTIF(InscripcionesCarrera,TablaCarreras[[#This Row],[Carrera]])</f>
        <v>6</v>
      </c>
      <c r="G10" s="83">
        <f>COUNTIF(TablaTiempos[Carrera],TablaCarreras[[#This Row],[Carrera]])</f>
        <v>5</v>
      </c>
      <c r="H10" s="86"/>
      <c r="I10" s="61"/>
      <c r="K10" s="88" t="str">
        <f ca="1">IF(AND(TablaCarreras[[#This Row],[Estado]]=1,NOT(ISBLANK(TablaCarreras[[#This Row],[Hora Inicio]]))),NOW()-TablaCarreras[[#This Row],[Hora Inicio]],"")</f>
        <v/>
      </c>
      <c r="M10" s="90"/>
    </row>
    <row r="11" spans="1:14" ht="17.25" customHeight="1" x14ac:dyDescent="0.25">
      <c r="A11" s="50">
        <v>7</v>
      </c>
      <c r="B11" s="8">
        <v>0</v>
      </c>
      <c r="C11" s="8"/>
      <c r="D11" s="28" t="s">
        <v>132</v>
      </c>
      <c r="E11" s="28"/>
      <c r="F11" s="83">
        <f>COUNTIF(InscripcionesCarrera,TablaCarreras[[#This Row],[Carrera]])</f>
        <v>1</v>
      </c>
      <c r="G11" s="83">
        <f>COUNTIF(TablaTiempos[Carrera],TablaCarreras[[#This Row],[Carrera]])</f>
        <v>1</v>
      </c>
      <c r="H11" s="86"/>
      <c r="I11" s="61"/>
      <c r="K11" s="88" t="str">
        <f ca="1">IF(AND(TablaCarreras[[#This Row],[Estado]]=1,NOT(ISBLANK(TablaCarreras[[#This Row],[Hora Inicio]]))),NOW()-TablaCarreras[[#This Row],[Hora Inicio]],"")</f>
        <v/>
      </c>
      <c r="M11" s="90"/>
    </row>
    <row r="12" spans="1:14" ht="17.25" customHeight="1" x14ac:dyDescent="0.25">
      <c r="A12" s="50">
        <v>8</v>
      </c>
      <c r="B12" s="8">
        <v>0</v>
      </c>
      <c r="C12" s="8"/>
      <c r="D12" s="1" t="s">
        <v>150</v>
      </c>
      <c r="E12" s="1"/>
      <c r="F12" s="83">
        <f>COUNTIF(InscripcionesCarrera,TablaCarreras[[#This Row],[Carrera]])</f>
        <v>13</v>
      </c>
      <c r="G12" s="83">
        <f>COUNTIF(TablaTiempos[Carrera],TablaCarreras[[#This Row],[Carrera]])</f>
        <v>7</v>
      </c>
      <c r="H12" s="86"/>
      <c r="I12" s="61"/>
      <c r="K12" s="88" t="str">
        <f ca="1">IF(AND(TablaCarreras[[#This Row],[Estado]]=1,NOT(ISBLANK(TablaCarreras[[#This Row],[Hora Inicio]]))),NOW()-TablaCarreras[[#This Row],[Hora Inicio]],"")</f>
        <v/>
      </c>
    </row>
    <row r="13" spans="1:14" ht="17.25" customHeight="1" x14ac:dyDescent="0.25">
      <c r="A13" s="8">
        <v>9</v>
      </c>
      <c r="B13" s="8">
        <v>0</v>
      </c>
      <c r="C13" s="8"/>
      <c r="D13" s="1"/>
      <c r="E13" s="28"/>
      <c r="F13" s="52">
        <f>COUNTIF(InscripcionesCarrera,TablaCarreras[[#This Row],[Carrera]])</f>
        <v>0</v>
      </c>
      <c r="G13" s="52">
        <f>COUNTIF(TablaTiempos[Carrera],TablaCarreras[[#This Row],[Carrera]])</f>
        <v>0</v>
      </c>
      <c r="H13" s="86"/>
      <c r="I13" s="61"/>
      <c r="K13" s="88" t="str">
        <f ca="1">IF(AND(TablaCarreras[[#This Row],[Estado]]=1,NOT(ISBLANK(TablaCarreras[[#This Row],[Hora Inicio]]))),NOW()-TablaCarreras[[#This Row],[Hora Inicio]],"")</f>
        <v/>
      </c>
    </row>
    <row r="14" spans="1:14" ht="17.25" customHeight="1" x14ac:dyDescent="0.25">
      <c r="A14" s="8">
        <v>10</v>
      </c>
      <c r="B14" s="8">
        <v>0</v>
      </c>
      <c r="C14" s="8"/>
      <c r="D14" s="28"/>
      <c r="E14" s="28"/>
      <c r="F14" s="52">
        <f>COUNTIF(InscripcionesCarrera,TablaCarreras[[#This Row],[Carrera]])</f>
        <v>0</v>
      </c>
      <c r="G14" s="52">
        <f>COUNTIF(TablaTiempos[Carrera],TablaCarreras[[#This Row],[Carrera]])</f>
        <v>0</v>
      </c>
      <c r="H14" s="86"/>
      <c r="I14" s="61"/>
      <c r="K14" s="88" t="str">
        <f ca="1">IF(AND(TablaCarreras[[#This Row],[Estado]]=1,NOT(ISBLANK(TablaCarreras[[#This Row],[Hora Inicio]]))),NOW()-TablaCarreras[[#This Row],[Hora Inicio]],"")</f>
        <v/>
      </c>
    </row>
    <row r="15" spans="1:14" ht="17.25" customHeight="1" x14ac:dyDescent="0.25">
      <c r="A15" s="8">
        <v>11</v>
      </c>
      <c r="B15" s="8">
        <v>0</v>
      </c>
      <c r="C15" s="8"/>
      <c r="D15" s="28"/>
      <c r="E15" s="28"/>
      <c r="F15" s="52">
        <f>COUNTIF(InscripcionesCarrera,TablaCarreras[[#This Row],[Carrera]])</f>
        <v>0</v>
      </c>
      <c r="G15" s="52">
        <f>COUNTIF(TablaTiempos[Carrera],TablaCarreras[[#This Row],[Carrera]])</f>
        <v>0</v>
      </c>
      <c r="H15" s="86"/>
      <c r="I15" s="61"/>
      <c r="K15" s="88" t="str">
        <f ca="1">IF(AND(TablaCarreras[[#This Row],[Estado]]=1,NOT(ISBLANK(TablaCarreras[[#This Row],[Hora Inicio]]))),NOW()-TablaCarreras[[#This Row],[Hora Inicio]],"")</f>
        <v/>
      </c>
    </row>
    <row r="16" spans="1:14" ht="17.25" customHeight="1" x14ac:dyDescent="0.25">
      <c r="A16" s="8">
        <v>12</v>
      </c>
      <c r="B16" s="8">
        <v>0</v>
      </c>
      <c r="C16" s="8"/>
      <c r="D16" s="1"/>
      <c r="E16" s="1"/>
      <c r="F16" s="52">
        <f>COUNTIF(InscripcionesCarrera,TablaCarreras[[#This Row],[Carrera]])</f>
        <v>0</v>
      </c>
      <c r="G16" s="52">
        <f>COUNTIF(TablaTiempos[Carrera],TablaCarreras[[#This Row],[Carrera]])</f>
        <v>0</v>
      </c>
      <c r="H16" s="86"/>
      <c r="I16" s="61"/>
      <c r="K16" s="88" t="str">
        <f ca="1">IF(AND(TablaCarreras[[#This Row],[Estado]]=1,NOT(ISBLANK(TablaCarreras[[#This Row],[Hora Inicio]]))),NOW()-TablaCarreras[[#This Row],[Hora Inicio]],"")</f>
        <v/>
      </c>
    </row>
  </sheetData>
  <mergeCells count="2">
    <mergeCell ref="A2:K2"/>
    <mergeCell ref="A1:K1"/>
  </mergeCells>
  <conditionalFormatting sqref="B4:B16">
    <cfRule type="iconSet" priority="1">
      <iconSet showValue="0" reverse="1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tnCarrera01">
              <controlPr defaultSize="0" print="0" autoFill="0" autoPict="0" macro="[0]!ControlCarrera">
                <anchor moveWithCells="1" sizeWithCells="1">
                  <from>
                    <xdr:col>8</xdr:col>
                    <xdr:colOff>38100</xdr:colOff>
                    <xdr:row>4</xdr:row>
                    <xdr:rowOff>19050</xdr:rowOff>
                  </from>
                  <to>
                    <xdr:col>8</xdr:col>
                    <xdr:colOff>742950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5" name="btnCarrera02">
              <controlPr defaultSize="0" print="0" autoFill="0" autoPict="0" macro="[0]!ControlCarrera">
                <anchor moveWithCells="1" sizeWithCells="1">
                  <from>
                    <xdr:col>8</xdr:col>
                    <xdr:colOff>38100</xdr:colOff>
                    <xdr:row>5</xdr:row>
                    <xdr:rowOff>19050</xdr:rowOff>
                  </from>
                  <to>
                    <xdr:col>8</xdr:col>
                    <xdr:colOff>742950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6" name="btnCarrera03">
              <controlPr defaultSize="0" print="0" autoFill="0" autoPict="0" macro="[0]!ControlCarrera">
                <anchor moveWithCells="1" sizeWithCells="1">
                  <from>
                    <xdr:col>8</xdr:col>
                    <xdr:colOff>38100</xdr:colOff>
                    <xdr:row>6</xdr:row>
                    <xdr:rowOff>19050</xdr:rowOff>
                  </from>
                  <to>
                    <xdr:col>8</xdr:col>
                    <xdr:colOff>742950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7" name="btnCarrera04">
              <controlPr defaultSize="0" print="0" autoFill="0" autoPict="0" macro="[0]!ControlCarrera">
                <anchor moveWithCells="1" sizeWithCells="1">
                  <from>
                    <xdr:col>8</xdr:col>
                    <xdr:colOff>38100</xdr:colOff>
                    <xdr:row>7</xdr:row>
                    <xdr:rowOff>19050</xdr:rowOff>
                  </from>
                  <to>
                    <xdr:col>8</xdr:col>
                    <xdr:colOff>742950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8" name="btnCarrera05">
              <controlPr defaultSize="0" print="0" autoFill="0" autoPict="0" macro="[0]!ControlCarrera">
                <anchor moveWithCells="1" sizeWithCells="1">
                  <from>
                    <xdr:col>8</xdr:col>
                    <xdr:colOff>38100</xdr:colOff>
                    <xdr:row>8</xdr:row>
                    <xdr:rowOff>19050</xdr:rowOff>
                  </from>
                  <to>
                    <xdr:col>8</xdr:col>
                    <xdr:colOff>742950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9" name="btnCarrera06">
              <controlPr defaultSize="0" print="0" autoFill="0" autoPict="0" macro="[0]!ControlCarrera">
                <anchor moveWithCells="1" sizeWithCells="1">
                  <from>
                    <xdr:col>8</xdr:col>
                    <xdr:colOff>28575</xdr:colOff>
                    <xdr:row>9</xdr:row>
                    <xdr:rowOff>19050</xdr:rowOff>
                  </from>
                  <to>
                    <xdr:col>8</xdr:col>
                    <xdr:colOff>742950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0" name="btnCarrera07">
              <controlPr defaultSize="0" print="0" autoFill="0" autoPict="0" macro="[0]!ControlCarrera">
                <anchor moveWithCells="1" sizeWithCells="1">
                  <from>
                    <xdr:col>8</xdr:col>
                    <xdr:colOff>38100</xdr:colOff>
                    <xdr:row>10</xdr:row>
                    <xdr:rowOff>19050</xdr:rowOff>
                  </from>
                  <to>
                    <xdr:col>8</xdr:col>
                    <xdr:colOff>742950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1" name="btnCarrera08">
              <controlPr defaultSize="0" print="0" autoFill="0" autoPict="0" macro="[0]!ControlCarrera">
                <anchor moveWithCells="1" sizeWithCells="1">
                  <from>
                    <xdr:col>8</xdr:col>
                    <xdr:colOff>38100</xdr:colOff>
                    <xdr:row>11</xdr:row>
                    <xdr:rowOff>19050</xdr:rowOff>
                  </from>
                  <to>
                    <xdr:col>8</xdr:col>
                    <xdr:colOff>742950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2" name="btnCarrera09">
              <controlPr defaultSize="0" print="0" autoFill="0" autoPict="0" macro="[0]!ControlCarrera">
                <anchor moveWithCells="1" sizeWithCells="1">
                  <from>
                    <xdr:col>8</xdr:col>
                    <xdr:colOff>38100</xdr:colOff>
                    <xdr:row>12</xdr:row>
                    <xdr:rowOff>19050</xdr:rowOff>
                  </from>
                  <to>
                    <xdr:col>8</xdr:col>
                    <xdr:colOff>742950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3" name="btnCarrera10">
              <controlPr defaultSize="0" print="0" autoFill="0" autoPict="0" macro="[0]!ControlCarrera">
                <anchor moveWithCells="1" sizeWithCells="1">
                  <from>
                    <xdr:col>8</xdr:col>
                    <xdr:colOff>38100</xdr:colOff>
                    <xdr:row>13</xdr:row>
                    <xdr:rowOff>19050</xdr:rowOff>
                  </from>
                  <to>
                    <xdr:col>8</xdr:col>
                    <xdr:colOff>742950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4" name="btnCarrera11">
              <controlPr defaultSize="0" print="0" autoFill="0" autoPict="0" macro="[0]!ControlCarrera">
                <anchor moveWithCells="1" sizeWithCells="1">
                  <from>
                    <xdr:col>8</xdr:col>
                    <xdr:colOff>38100</xdr:colOff>
                    <xdr:row>14</xdr:row>
                    <xdr:rowOff>19050</xdr:rowOff>
                  </from>
                  <to>
                    <xdr:col>8</xdr:col>
                    <xdr:colOff>742950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15" name="btnCarrera12">
              <controlPr defaultSize="0" print="0" autoFill="0" autoPict="0" macro="[0]!ControlCarrera">
                <anchor moveWithCells="1" sizeWithCells="1">
                  <from>
                    <xdr:col>8</xdr:col>
                    <xdr:colOff>28575</xdr:colOff>
                    <xdr:row>15</xdr:row>
                    <xdr:rowOff>19050</xdr:rowOff>
                  </from>
                  <to>
                    <xdr:col>8</xdr:col>
                    <xdr:colOff>742950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16" name="Button 33">
              <controlPr defaultSize="0" print="0" autoFill="0" autoPict="0" macro="[0]!IniciarSistema">
                <anchor moveWithCells="1" sizeWithCells="1">
                  <from>
                    <xdr:col>7</xdr:col>
                    <xdr:colOff>28575</xdr:colOff>
                    <xdr:row>2</xdr:row>
                    <xdr:rowOff>19050</xdr:rowOff>
                  </from>
                  <to>
                    <xdr:col>7</xdr:col>
                    <xdr:colOff>1257300</xdr:colOff>
                    <xdr:row>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7" name="Button 34">
              <controlPr defaultSize="0" print="0" autoFill="0" autoPict="0" macro="[0]!ControlCarrera">
                <anchor moveWithCells="1" sizeWithCells="1">
                  <from>
                    <xdr:col>2</xdr:col>
                    <xdr:colOff>28575</xdr:colOff>
                    <xdr:row>4</xdr:row>
                    <xdr:rowOff>19050</xdr:rowOff>
                  </from>
                  <to>
                    <xdr:col>2</xdr:col>
                    <xdr:colOff>733425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8" name="Button 35">
              <controlPr defaultSize="0" print="0" autoFill="0" autoPict="0" macro="[0]!ControlCarrera">
                <anchor moveWithCells="1" sizeWithCells="1">
                  <from>
                    <xdr:col>2</xdr:col>
                    <xdr:colOff>28575</xdr:colOff>
                    <xdr:row>5</xdr:row>
                    <xdr:rowOff>19050</xdr:rowOff>
                  </from>
                  <to>
                    <xdr:col>2</xdr:col>
                    <xdr:colOff>733425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9" name="Button 36">
              <controlPr defaultSize="0" print="0" autoFill="0" autoPict="0" macro="[0]!ControlCarrera">
                <anchor moveWithCells="1" sizeWithCells="1">
                  <from>
                    <xdr:col>2</xdr:col>
                    <xdr:colOff>28575</xdr:colOff>
                    <xdr:row>6</xdr:row>
                    <xdr:rowOff>19050</xdr:rowOff>
                  </from>
                  <to>
                    <xdr:col>2</xdr:col>
                    <xdr:colOff>733425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20" name="Button 37">
              <controlPr defaultSize="0" print="0" autoFill="0" autoPict="0" macro="[0]!ControlCarrera">
                <anchor moveWithCells="1" sizeWithCells="1">
                  <from>
                    <xdr:col>2</xdr:col>
                    <xdr:colOff>28575</xdr:colOff>
                    <xdr:row>7</xdr:row>
                    <xdr:rowOff>19050</xdr:rowOff>
                  </from>
                  <to>
                    <xdr:col>2</xdr:col>
                    <xdr:colOff>733425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21" name="Button 38">
              <controlPr defaultSize="0" print="0" autoFill="0" autoPict="0" macro="[0]!ControlCarrera">
                <anchor moveWithCells="1" sizeWithCells="1">
                  <from>
                    <xdr:col>2</xdr:col>
                    <xdr:colOff>28575</xdr:colOff>
                    <xdr:row>8</xdr:row>
                    <xdr:rowOff>19050</xdr:rowOff>
                  </from>
                  <to>
                    <xdr:col>2</xdr:col>
                    <xdr:colOff>733425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22" name="Button 39">
              <controlPr defaultSize="0" print="0" autoFill="0" autoPict="0" macro="[0]!ControlCarrera">
                <anchor moveWithCells="1" sizeWithCells="1">
                  <from>
                    <xdr:col>2</xdr:col>
                    <xdr:colOff>19050</xdr:colOff>
                    <xdr:row>9</xdr:row>
                    <xdr:rowOff>19050</xdr:rowOff>
                  </from>
                  <to>
                    <xdr:col>2</xdr:col>
                    <xdr:colOff>733425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23" name="Button 40">
              <controlPr defaultSize="0" print="0" autoFill="0" autoPict="0" macro="[0]!ControlCarrera">
                <anchor moveWithCells="1" sizeWithCells="1">
                  <from>
                    <xdr:col>2</xdr:col>
                    <xdr:colOff>28575</xdr:colOff>
                    <xdr:row>10</xdr:row>
                    <xdr:rowOff>19050</xdr:rowOff>
                  </from>
                  <to>
                    <xdr:col>2</xdr:col>
                    <xdr:colOff>733425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24" name="Button 41">
              <controlPr defaultSize="0" print="0" autoFill="0" autoPict="0" macro="[0]!ControlCarrera">
                <anchor moveWithCells="1" sizeWithCells="1">
                  <from>
                    <xdr:col>2</xdr:col>
                    <xdr:colOff>28575</xdr:colOff>
                    <xdr:row>11</xdr:row>
                    <xdr:rowOff>19050</xdr:rowOff>
                  </from>
                  <to>
                    <xdr:col>2</xdr:col>
                    <xdr:colOff>733425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25" name="Button 42">
              <controlPr defaultSize="0" print="0" autoFill="0" autoPict="0" macro="[0]!ControlCarrera">
                <anchor moveWithCells="1" sizeWithCells="1">
                  <from>
                    <xdr:col>2</xdr:col>
                    <xdr:colOff>28575</xdr:colOff>
                    <xdr:row>12</xdr:row>
                    <xdr:rowOff>19050</xdr:rowOff>
                  </from>
                  <to>
                    <xdr:col>2</xdr:col>
                    <xdr:colOff>733425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26" name="Button 43">
              <controlPr defaultSize="0" print="0" autoFill="0" autoPict="0" macro="[0]!ControlCarrera">
                <anchor moveWithCells="1" sizeWithCells="1">
                  <from>
                    <xdr:col>2</xdr:col>
                    <xdr:colOff>28575</xdr:colOff>
                    <xdr:row>13</xdr:row>
                    <xdr:rowOff>19050</xdr:rowOff>
                  </from>
                  <to>
                    <xdr:col>2</xdr:col>
                    <xdr:colOff>733425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27" name="Button 44">
              <controlPr defaultSize="0" print="0" autoFill="0" autoPict="0" macro="[0]!ControlCarrera">
                <anchor moveWithCells="1" sizeWithCells="1">
                  <from>
                    <xdr:col>2</xdr:col>
                    <xdr:colOff>28575</xdr:colOff>
                    <xdr:row>14</xdr:row>
                    <xdr:rowOff>19050</xdr:rowOff>
                  </from>
                  <to>
                    <xdr:col>2</xdr:col>
                    <xdr:colOff>733425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28" name="Button 45">
              <controlPr defaultSize="0" print="0" autoFill="0" autoPict="0" macro="[0]!ControlCarrera">
                <anchor moveWithCells="1" sizeWithCells="1">
                  <from>
                    <xdr:col>2</xdr:col>
                    <xdr:colOff>19050</xdr:colOff>
                    <xdr:row>15</xdr:row>
                    <xdr:rowOff>19050</xdr:rowOff>
                  </from>
                  <to>
                    <xdr:col>2</xdr:col>
                    <xdr:colOff>733425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29" name="Button 46">
              <controlPr defaultSize="0" print="0" autoFill="0" autoPict="0" macro="[0]!ControlCarrera">
                <anchor moveWithCells="1" sizeWithCells="1">
                  <from>
                    <xdr:col>9</xdr:col>
                    <xdr:colOff>28575</xdr:colOff>
                    <xdr:row>4</xdr:row>
                    <xdr:rowOff>19050</xdr:rowOff>
                  </from>
                  <to>
                    <xdr:col>9</xdr:col>
                    <xdr:colOff>733425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30" name="Button 47">
              <controlPr defaultSize="0" print="0" autoFill="0" autoPict="0" macro="[0]!ControlCarrera">
                <anchor moveWithCells="1" sizeWithCells="1">
                  <from>
                    <xdr:col>9</xdr:col>
                    <xdr:colOff>28575</xdr:colOff>
                    <xdr:row>5</xdr:row>
                    <xdr:rowOff>19050</xdr:rowOff>
                  </from>
                  <to>
                    <xdr:col>9</xdr:col>
                    <xdr:colOff>733425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31" name="Button 48">
              <controlPr defaultSize="0" print="0" autoFill="0" autoPict="0" macro="[0]!ControlCarrera">
                <anchor moveWithCells="1" sizeWithCells="1">
                  <from>
                    <xdr:col>9</xdr:col>
                    <xdr:colOff>28575</xdr:colOff>
                    <xdr:row>6</xdr:row>
                    <xdr:rowOff>19050</xdr:rowOff>
                  </from>
                  <to>
                    <xdr:col>9</xdr:col>
                    <xdr:colOff>733425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32" name="Button 49">
              <controlPr defaultSize="0" print="0" autoFill="0" autoPict="0" macro="[0]!ControlCarrera">
                <anchor moveWithCells="1" sizeWithCells="1">
                  <from>
                    <xdr:col>9</xdr:col>
                    <xdr:colOff>28575</xdr:colOff>
                    <xdr:row>7</xdr:row>
                    <xdr:rowOff>19050</xdr:rowOff>
                  </from>
                  <to>
                    <xdr:col>9</xdr:col>
                    <xdr:colOff>733425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33" name="Button 50">
              <controlPr defaultSize="0" print="0" autoFill="0" autoPict="0" macro="[0]!ControlCarrera">
                <anchor moveWithCells="1" sizeWithCells="1">
                  <from>
                    <xdr:col>9</xdr:col>
                    <xdr:colOff>28575</xdr:colOff>
                    <xdr:row>8</xdr:row>
                    <xdr:rowOff>19050</xdr:rowOff>
                  </from>
                  <to>
                    <xdr:col>9</xdr:col>
                    <xdr:colOff>733425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34" name="Button 51">
              <controlPr defaultSize="0" print="0" autoFill="0" autoPict="0" macro="[0]!ControlCarrera">
                <anchor moveWithCells="1" sizeWithCells="1">
                  <from>
                    <xdr:col>9</xdr:col>
                    <xdr:colOff>19050</xdr:colOff>
                    <xdr:row>9</xdr:row>
                    <xdr:rowOff>19050</xdr:rowOff>
                  </from>
                  <to>
                    <xdr:col>9</xdr:col>
                    <xdr:colOff>733425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35" name="Button 52">
              <controlPr defaultSize="0" print="0" autoFill="0" autoPict="0" macro="[0]!ControlCarrera">
                <anchor moveWithCells="1" sizeWithCells="1">
                  <from>
                    <xdr:col>9</xdr:col>
                    <xdr:colOff>28575</xdr:colOff>
                    <xdr:row>10</xdr:row>
                    <xdr:rowOff>19050</xdr:rowOff>
                  </from>
                  <to>
                    <xdr:col>9</xdr:col>
                    <xdr:colOff>733425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36" name="Button 53">
              <controlPr defaultSize="0" print="0" autoFill="0" autoPict="0" macro="[0]!ControlCarrera">
                <anchor moveWithCells="1" sizeWithCells="1">
                  <from>
                    <xdr:col>9</xdr:col>
                    <xdr:colOff>28575</xdr:colOff>
                    <xdr:row>11</xdr:row>
                    <xdr:rowOff>19050</xdr:rowOff>
                  </from>
                  <to>
                    <xdr:col>9</xdr:col>
                    <xdr:colOff>733425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37" name="Button 54">
              <controlPr defaultSize="0" print="0" autoFill="0" autoPict="0" macro="[0]!ControlCarrera">
                <anchor moveWithCells="1" sizeWithCells="1">
                  <from>
                    <xdr:col>9</xdr:col>
                    <xdr:colOff>28575</xdr:colOff>
                    <xdr:row>12</xdr:row>
                    <xdr:rowOff>19050</xdr:rowOff>
                  </from>
                  <to>
                    <xdr:col>9</xdr:col>
                    <xdr:colOff>733425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38" name="Button 55">
              <controlPr defaultSize="0" print="0" autoFill="0" autoPict="0" macro="[0]!ControlCarrera">
                <anchor moveWithCells="1" sizeWithCells="1">
                  <from>
                    <xdr:col>9</xdr:col>
                    <xdr:colOff>28575</xdr:colOff>
                    <xdr:row>13</xdr:row>
                    <xdr:rowOff>19050</xdr:rowOff>
                  </from>
                  <to>
                    <xdr:col>9</xdr:col>
                    <xdr:colOff>733425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39" name="Button 56">
              <controlPr defaultSize="0" print="0" autoFill="0" autoPict="0" macro="[0]!ControlCarrera">
                <anchor moveWithCells="1" sizeWithCells="1">
                  <from>
                    <xdr:col>9</xdr:col>
                    <xdr:colOff>28575</xdr:colOff>
                    <xdr:row>14</xdr:row>
                    <xdr:rowOff>19050</xdr:rowOff>
                  </from>
                  <to>
                    <xdr:col>9</xdr:col>
                    <xdr:colOff>733425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40" name="Button 57">
              <controlPr defaultSize="0" print="0" autoFill="0" autoPict="0" macro="[0]!ControlCarrera">
                <anchor moveWithCells="1" sizeWithCells="1">
                  <from>
                    <xdr:col>9</xdr:col>
                    <xdr:colOff>19050</xdr:colOff>
                    <xdr:row>15</xdr:row>
                    <xdr:rowOff>19050</xdr:rowOff>
                  </from>
                  <to>
                    <xdr:col>9</xdr:col>
                    <xdr:colOff>733425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41" name="Button 58">
              <controlPr defaultSize="0" print="0" autoFill="0" autoPict="0" macro="[0]!CalcularTiempoCarrerasEnCurso">
                <anchor moveWithCells="1" sizeWithCells="1">
                  <from>
                    <xdr:col>10</xdr:col>
                    <xdr:colOff>28575</xdr:colOff>
                    <xdr:row>2</xdr:row>
                    <xdr:rowOff>9525</xdr:rowOff>
                  </from>
                  <to>
                    <xdr:col>11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4" tint="-0.499984740745262"/>
  </sheetPr>
  <dimension ref="A1:K18"/>
  <sheetViews>
    <sheetView zoomScale="160" zoomScaleNormal="160" workbookViewId="0">
      <selection activeCell="E8" sqref="E8"/>
    </sheetView>
  </sheetViews>
  <sheetFormatPr baseColWidth="10" defaultRowHeight="15" x14ac:dyDescent="0.25"/>
  <cols>
    <col min="1" max="5" width="7.85546875" customWidth="1"/>
    <col min="6" max="6" width="26" style="4" bestFit="1" customWidth="1"/>
    <col min="7" max="7" width="12.7109375" style="4" bestFit="1" customWidth="1"/>
    <col min="8" max="8" width="16.140625" customWidth="1"/>
    <col min="11" max="11" width="11.42578125" style="52"/>
  </cols>
  <sheetData>
    <row r="1" spans="1:11" ht="23.25" customHeight="1" thickTop="1" thickBot="1" x14ac:dyDescent="0.3">
      <c r="A1" s="116" t="s">
        <v>109</v>
      </c>
      <c r="B1" s="116"/>
      <c r="C1" s="116"/>
      <c r="D1" s="116"/>
      <c r="E1" s="116"/>
      <c r="F1" s="116"/>
      <c r="G1" s="116"/>
      <c r="H1" s="116"/>
    </row>
    <row r="2" spans="1:11" ht="23.25" customHeight="1" thickTop="1" thickBot="1" x14ac:dyDescent="0.3">
      <c r="A2" s="117" t="str">
        <f>CONCATENATE("Hay ",COUNTA(TablaCategorias[Categoría])," categorías registradas")</f>
        <v>Hay 15 categorías registradas</v>
      </c>
      <c r="B2" s="118"/>
      <c r="C2" s="118"/>
      <c r="D2" s="118"/>
      <c r="E2" s="118"/>
      <c r="F2" s="118"/>
      <c r="G2" s="118"/>
      <c r="H2" s="119"/>
    </row>
    <row r="3" spans="1:11" s="14" customFormat="1" ht="39" customHeight="1" thickTop="1" thickBot="1" x14ac:dyDescent="0.3">
      <c r="A3" s="98" t="s">
        <v>46</v>
      </c>
      <c r="B3" s="99" t="s">
        <v>77</v>
      </c>
      <c r="C3" s="98" t="s">
        <v>121</v>
      </c>
      <c r="D3" s="98" t="s">
        <v>122</v>
      </c>
      <c r="E3" s="98" t="s">
        <v>118</v>
      </c>
      <c r="F3" s="80" t="s">
        <v>25</v>
      </c>
      <c r="G3" s="80" t="s">
        <v>79</v>
      </c>
      <c r="H3" s="80" t="s">
        <v>75</v>
      </c>
      <c r="K3" s="14" t="s">
        <v>134</v>
      </c>
    </row>
    <row r="4" spans="1:11" ht="15.75" thickTop="1" x14ac:dyDescent="0.25">
      <c r="A4" s="8">
        <v>0</v>
      </c>
      <c r="B4" s="8">
        <v>0</v>
      </c>
      <c r="C4" s="8"/>
      <c r="D4" s="8"/>
      <c r="E4" s="8"/>
      <c r="F4" s="29" t="s">
        <v>78</v>
      </c>
      <c r="G4" s="29" t="s">
        <v>81</v>
      </c>
      <c r="H4" s="30">
        <f>COUNTIF(InscripcionesCategoría,TablaCategorias[[#This Row],[Categoría]])</f>
        <v>1</v>
      </c>
      <c r="K4" s="49" t="s">
        <v>123</v>
      </c>
    </row>
    <row r="5" spans="1:11" x14ac:dyDescent="0.25">
      <c r="A5" s="8">
        <v>1</v>
      </c>
      <c r="B5" s="8">
        <v>1</v>
      </c>
      <c r="C5" s="28">
        <v>1900</v>
      </c>
      <c r="D5" s="28">
        <v>1974</v>
      </c>
      <c r="E5" s="28" t="s">
        <v>123</v>
      </c>
      <c r="F5" s="28" t="s">
        <v>116</v>
      </c>
      <c r="G5" s="28" t="s">
        <v>150</v>
      </c>
      <c r="H5" s="51">
        <f>COUNTIF(InscripcionesCategoría,TablaCategorias[[#This Row],[Categoría]])</f>
        <v>5</v>
      </c>
      <c r="K5" s="48" t="s">
        <v>124</v>
      </c>
    </row>
    <row r="6" spans="1:11" x14ac:dyDescent="0.25">
      <c r="A6" s="8">
        <v>2</v>
      </c>
      <c r="B6" s="8">
        <v>1</v>
      </c>
      <c r="C6" s="28">
        <v>1900</v>
      </c>
      <c r="D6" s="28">
        <v>1974</v>
      </c>
      <c r="E6" s="28" t="s">
        <v>124</v>
      </c>
      <c r="F6" s="28" t="s">
        <v>117</v>
      </c>
      <c r="G6" s="28" t="s">
        <v>150</v>
      </c>
      <c r="H6" s="51">
        <f>COUNTIF(InscripcionesCategoría,TablaCategorias[[#This Row],[Categoría]])</f>
        <v>4</v>
      </c>
      <c r="K6" s="49" t="s">
        <v>125</v>
      </c>
    </row>
    <row r="7" spans="1:11" x14ac:dyDescent="0.25">
      <c r="A7" s="8">
        <v>3</v>
      </c>
      <c r="B7" s="8">
        <v>1</v>
      </c>
      <c r="C7" s="28">
        <v>1975</v>
      </c>
      <c r="D7" s="28">
        <v>2000</v>
      </c>
      <c r="E7" s="28" t="s">
        <v>123</v>
      </c>
      <c r="F7" s="1" t="s">
        <v>114</v>
      </c>
      <c r="G7" s="28" t="s">
        <v>150</v>
      </c>
      <c r="H7" s="30">
        <f>COUNTIF(InscripcionesCategoría,TablaCategorias[[#This Row],[Categoría]])</f>
        <v>1</v>
      </c>
    </row>
    <row r="8" spans="1:11" x14ac:dyDescent="0.25">
      <c r="A8" s="8">
        <v>4</v>
      </c>
      <c r="B8" s="8">
        <v>1</v>
      </c>
      <c r="C8" s="28">
        <v>1975</v>
      </c>
      <c r="D8" s="28">
        <v>2000</v>
      </c>
      <c r="E8" s="28" t="s">
        <v>124</v>
      </c>
      <c r="F8" s="28" t="s">
        <v>115</v>
      </c>
      <c r="G8" s="28" t="s">
        <v>150</v>
      </c>
      <c r="H8" s="51">
        <f>COUNTIF(InscripcionesCategoría,TablaCategorias[[#This Row],[Categoría]])</f>
        <v>3</v>
      </c>
    </row>
    <row r="9" spans="1:11" x14ac:dyDescent="0.25">
      <c r="A9" s="8">
        <v>5</v>
      </c>
      <c r="B9" s="8">
        <v>1</v>
      </c>
      <c r="C9" s="28">
        <v>2001</v>
      </c>
      <c r="D9" s="28">
        <v>2002</v>
      </c>
      <c r="E9" s="28" t="s">
        <v>123</v>
      </c>
      <c r="F9" s="28" t="s">
        <v>113</v>
      </c>
      <c r="G9" s="28" t="s">
        <v>150</v>
      </c>
      <c r="H9" s="51">
        <f>COUNTIF(InscripcionesCategoría,TablaCategorias[[#This Row],[Categoría]])</f>
        <v>0</v>
      </c>
    </row>
    <row r="10" spans="1:11" x14ac:dyDescent="0.25">
      <c r="A10" s="8">
        <v>6</v>
      </c>
      <c r="B10" s="8">
        <v>1</v>
      </c>
      <c r="C10" s="28">
        <v>2001</v>
      </c>
      <c r="D10" s="28">
        <v>2002</v>
      </c>
      <c r="E10" s="28" t="s">
        <v>124</v>
      </c>
      <c r="F10" s="28" t="s">
        <v>112</v>
      </c>
      <c r="G10" s="28" t="s">
        <v>150</v>
      </c>
      <c r="H10" s="51">
        <f>COUNTIF(InscripcionesCategoría,TablaCategorias[[#This Row],[Categoría]])</f>
        <v>0</v>
      </c>
    </row>
    <row r="11" spans="1:11" x14ac:dyDescent="0.25">
      <c r="A11" s="8">
        <v>7</v>
      </c>
      <c r="B11" s="8">
        <v>1</v>
      </c>
      <c r="C11" s="28">
        <v>2003</v>
      </c>
      <c r="D11" s="28">
        <v>2004</v>
      </c>
      <c r="E11" s="1" t="s">
        <v>123</v>
      </c>
      <c r="F11" s="1" t="s">
        <v>143</v>
      </c>
      <c r="G11" s="1" t="s">
        <v>130</v>
      </c>
      <c r="H11" s="51">
        <f>COUNTIF(InscripcionesCategoría,TablaCategorias[[#This Row],[Categoría]])</f>
        <v>1</v>
      </c>
    </row>
    <row r="12" spans="1:11" x14ac:dyDescent="0.25">
      <c r="A12" s="8">
        <v>8</v>
      </c>
      <c r="B12" s="8">
        <v>1</v>
      </c>
      <c r="C12" s="28">
        <v>2003</v>
      </c>
      <c r="D12" s="28">
        <v>2004</v>
      </c>
      <c r="E12" s="28" t="s">
        <v>124</v>
      </c>
      <c r="F12" s="1" t="s">
        <v>144</v>
      </c>
      <c r="G12" s="1" t="s">
        <v>130</v>
      </c>
      <c r="H12" s="51">
        <f>COUNTIF(InscripcionesCategoría,TablaCategorias[[#This Row],[Categoría]])</f>
        <v>0</v>
      </c>
    </row>
    <row r="13" spans="1:11" x14ac:dyDescent="0.25">
      <c r="A13" s="8">
        <v>9</v>
      </c>
      <c r="B13" s="8">
        <v>1</v>
      </c>
      <c r="C13" s="28">
        <v>2005</v>
      </c>
      <c r="D13" s="28">
        <v>2006</v>
      </c>
      <c r="E13" s="28" t="s">
        <v>123</v>
      </c>
      <c r="F13" s="28" t="s">
        <v>107</v>
      </c>
      <c r="G13" s="1" t="s">
        <v>128</v>
      </c>
      <c r="H13" s="51">
        <f>COUNTIF(InscripcionesCategoría,TablaCategorias[[#This Row],[Categoría]])</f>
        <v>0</v>
      </c>
    </row>
    <row r="14" spans="1:11" x14ac:dyDescent="0.25">
      <c r="A14" s="8">
        <v>10</v>
      </c>
      <c r="B14" s="8">
        <v>1</v>
      </c>
      <c r="C14" s="28">
        <v>2005</v>
      </c>
      <c r="D14" s="28">
        <v>2006</v>
      </c>
      <c r="E14" s="28" t="s">
        <v>124</v>
      </c>
      <c r="F14" s="28" t="s">
        <v>108</v>
      </c>
      <c r="G14" s="1" t="s">
        <v>129</v>
      </c>
      <c r="H14" s="51">
        <f>COUNTIF(InscripcionesCategoría,TablaCategorias[[#This Row],[Categoría]])</f>
        <v>0</v>
      </c>
    </row>
    <row r="15" spans="1:11" x14ac:dyDescent="0.25">
      <c r="A15" s="8">
        <v>11</v>
      </c>
      <c r="B15" s="8">
        <v>1</v>
      </c>
      <c r="C15" s="28">
        <v>2007</v>
      </c>
      <c r="D15" s="28">
        <v>2008</v>
      </c>
      <c r="E15" s="28" t="s">
        <v>123</v>
      </c>
      <c r="F15" s="1" t="s">
        <v>105</v>
      </c>
      <c r="G15" s="1" t="s">
        <v>126</v>
      </c>
      <c r="H15" s="30">
        <f>COUNTIF(InscripcionesCategoría,TablaCategorias[[#This Row],[Categoría]])</f>
        <v>0</v>
      </c>
    </row>
    <row r="16" spans="1:11" x14ac:dyDescent="0.25">
      <c r="A16" s="8">
        <v>12</v>
      </c>
      <c r="B16" s="8">
        <v>1</v>
      </c>
      <c r="C16" s="28">
        <v>2007</v>
      </c>
      <c r="D16" s="28">
        <v>2008</v>
      </c>
      <c r="E16" s="28" t="s">
        <v>124</v>
      </c>
      <c r="F16" s="28" t="s">
        <v>106</v>
      </c>
      <c r="G16" s="1" t="s">
        <v>127</v>
      </c>
      <c r="H16" s="51">
        <f>COUNTIF(InscripcionesCategoría,TablaCategorias[[#This Row],[Categoría]])</f>
        <v>0</v>
      </c>
    </row>
    <row r="17" spans="1:8" x14ac:dyDescent="0.25">
      <c r="A17" s="8">
        <v>13</v>
      </c>
      <c r="B17" s="8">
        <v>1</v>
      </c>
      <c r="C17" s="28">
        <v>2009</v>
      </c>
      <c r="D17" s="28">
        <v>2011</v>
      </c>
      <c r="E17" s="28" t="s">
        <v>125</v>
      </c>
      <c r="F17" s="1" t="s">
        <v>110</v>
      </c>
      <c r="G17" s="1" t="s">
        <v>131</v>
      </c>
      <c r="H17" s="30">
        <f>COUNTIF(InscripcionesCategoría,TablaCategorias[[#This Row],[Categoría]])</f>
        <v>6</v>
      </c>
    </row>
    <row r="18" spans="1:8" x14ac:dyDescent="0.25">
      <c r="A18" s="8">
        <v>14</v>
      </c>
      <c r="B18" s="8">
        <v>1</v>
      </c>
      <c r="C18" s="1">
        <v>2012</v>
      </c>
      <c r="D18" s="1">
        <v>2015</v>
      </c>
      <c r="E18" s="1" t="s">
        <v>125</v>
      </c>
      <c r="F18" s="1" t="s">
        <v>111</v>
      </c>
      <c r="G18" s="1" t="s">
        <v>132</v>
      </c>
      <c r="H18" s="30">
        <f>COUNTIF(InscripcionesCategoría,TablaCategorias[[#This Row],[Categoría]])</f>
        <v>1</v>
      </c>
    </row>
  </sheetData>
  <mergeCells count="2">
    <mergeCell ref="A1:H1"/>
    <mergeCell ref="A2:H2"/>
  </mergeCells>
  <conditionalFormatting sqref="B4:E4 B5:B11 B13:B18">
    <cfRule type="iconSet" priority="17">
      <iconSet showValue="0">
        <cfvo type="percent" val="0"/>
        <cfvo type="percent" val="33"/>
        <cfvo type="percent" val="67"/>
      </iconSet>
    </cfRule>
  </conditionalFormatting>
  <conditionalFormatting sqref="B12">
    <cfRule type="iconSet" priority="1">
      <iconSet showValue="0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horizontalDpi="4294967293" verticalDpi="0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CARRERA" prompt="Configura la carrera para esa categoría">
          <x14:formula1>
            <xm:f>OFFSET('LAS CARRERAS'!$D$4:$D$4,0,0,COUNTA('LAS CARRERAS'!D:D)-2)</xm:f>
          </x14:formula1>
          <xm:sqref>G4</xm:sqref>
        </x14:dataValidation>
        <x14:dataValidation type="list" allowBlank="1" showInputMessage="1" showErrorMessage="1" promptTitle="CARRERA" prompt="Configura la carrera para esa categoría">
          <x14:formula1>
            <xm:f>OFFSET('LAS CARRERAS'!$D$4:$D$4,0,0,COUNTA('LAS CARRERAS'!D:D)-1)</xm:f>
          </x14:formula1>
          <xm:sqref>G5:G18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3" tint="-0.499984740745262"/>
  </sheetPr>
  <dimension ref="A1:K64"/>
  <sheetViews>
    <sheetView zoomScale="130" zoomScaleNormal="130" workbookViewId="0">
      <selection activeCell="C4" sqref="C4"/>
    </sheetView>
  </sheetViews>
  <sheetFormatPr baseColWidth="10" defaultRowHeight="13.5" customHeight="1" x14ac:dyDescent="0.25"/>
  <cols>
    <col min="1" max="1" width="7.42578125" style="5" bestFit="1" customWidth="1"/>
    <col min="2" max="2" width="4.42578125" style="7" customWidth="1"/>
    <col min="3" max="3" width="11.7109375" style="7" bestFit="1" customWidth="1"/>
    <col min="4" max="4" width="33.140625" style="5" bestFit="1" customWidth="1"/>
    <col min="5" max="6" width="12.7109375" style="5" customWidth="1"/>
    <col min="7" max="7" width="14.85546875" style="5" bestFit="1" customWidth="1"/>
    <col min="8" max="9" width="19.28515625" style="4" bestFit="1" customWidth="1"/>
    <col min="10" max="10" width="24.140625" style="4" bestFit="1" customWidth="1"/>
    <col min="11" max="11" width="2.28515625" style="4" customWidth="1"/>
    <col min="12" max="16384" width="11.42578125" style="4"/>
  </cols>
  <sheetData>
    <row r="1" spans="1:11" ht="24" customHeight="1" thickTop="1" thickBot="1" x14ac:dyDescent="0.3">
      <c r="A1" s="120" t="s">
        <v>83</v>
      </c>
      <c r="B1" s="120"/>
      <c r="C1" s="120"/>
      <c r="D1" s="120"/>
      <c r="E1" s="120"/>
      <c r="F1" s="120"/>
      <c r="G1" s="120"/>
      <c r="H1" s="120"/>
      <c r="I1" s="120"/>
      <c r="J1" s="120"/>
    </row>
    <row r="2" spans="1:11" ht="24" customHeight="1" thickTop="1" thickBot="1" x14ac:dyDescent="0.3">
      <c r="A2" s="117" t="str">
        <f>CONCATENATE("Hay ",DatoNumInscritos," corredores inscritos")</f>
        <v>Hay 21 corredores inscritos</v>
      </c>
      <c r="B2" s="118"/>
      <c r="C2" s="118"/>
      <c r="D2" s="118"/>
      <c r="E2" s="118"/>
      <c r="F2" s="118"/>
      <c r="G2" s="118"/>
      <c r="H2" s="118"/>
      <c r="I2" s="118"/>
      <c r="J2" s="119"/>
    </row>
    <row r="3" spans="1:11" s="3" customFormat="1" ht="24" customHeight="1" thickTop="1" thickBot="1" x14ac:dyDescent="0.3">
      <c r="A3" s="91" t="s">
        <v>46</v>
      </c>
      <c r="B3" s="97" t="s">
        <v>77</v>
      </c>
      <c r="C3" s="91" t="s">
        <v>24</v>
      </c>
      <c r="D3" s="91" t="s">
        <v>35</v>
      </c>
      <c r="E3" s="91" t="s">
        <v>118</v>
      </c>
      <c r="F3" s="91" t="s">
        <v>119</v>
      </c>
      <c r="G3" s="91" t="s">
        <v>120</v>
      </c>
      <c r="H3" s="92" t="s">
        <v>25</v>
      </c>
      <c r="I3" s="92" t="s">
        <v>79</v>
      </c>
      <c r="J3" s="92" t="s">
        <v>26</v>
      </c>
      <c r="K3" s="100" t="s">
        <v>161</v>
      </c>
    </row>
    <row r="4" spans="1:11" ht="13.5" customHeight="1" thickTop="1" x14ac:dyDescent="0.25">
      <c r="A4" s="2">
        <v>0</v>
      </c>
      <c r="B4" s="8">
        <v>1</v>
      </c>
      <c r="C4" s="9">
        <v>0</v>
      </c>
      <c r="D4" s="74" t="s">
        <v>147</v>
      </c>
      <c r="E4" s="1" t="s">
        <v>125</v>
      </c>
      <c r="F4" s="1">
        <v>1900</v>
      </c>
      <c r="G4" s="1" t="s">
        <v>135</v>
      </c>
      <c r="H4" s="1" t="str">
        <f>IF(AND(AND(TablaCorredores[[#This Row],[Año]]&gt;='LAS CATEGORIAS'!C$5,TablaCorredores[[#This Row],[Año]]&lt;='LAS CATEGORIAS'!D$5),OR('LAS CATEGORIAS'!E$5="*",'LAS CATEGORIAS'!E$5=TablaCorredores[[#This Row],[Sexo]])),'LAS CATEGORIAS'!F$5,
 IF(AND(AND(TablaCorredores[[#This Row],[Año]]&gt;='LAS CATEGORIAS'!C$6,TablaCorredores[[#This Row],[Año]]&lt;='LAS CATEGORIAS'!D$6),OR('LAS CATEGORIAS'!E$6="*",'LAS CATEGORIAS'!E$6=TablaCorredores[[#This Row],[Sexo]])),'LAS CATEGORIAS'!F$6,
  IF(AND(AND(TablaCorredores[[#This Row],[Año]]&gt;='LAS CATEGORIAS'!$C7,TablaCorredores[[#This Row],[Año]]&lt;='LAS CATEGORIAS'!D$7),OR('LAS CATEGORIAS'!E$7="*",'LAS CATEGORIAS'!E$7=TablaCorredores[[#This Row],[Sexo]])),'LAS CATEGORIAS'!F$7,
   IF(AND(AND(TablaCorredores[[#This Row],[Año]]&gt;='LAS CATEGORIAS'!C$8,TablaCorredores[[#This Row],[Año]]&lt;='LAS CATEGORIAS'!D$8),OR('LAS CATEGORIAS'!E$8="*",'LAS CATEGORIAS'!E$8=TablaCorredores[[#This Row],[Sexo]])),'LAS CATEGORIAS'!F$8,
    IF(AND(AND(TablaCorredores[[#This Row],[Año]]&gt;='LAS CATEGORIAS'!C$9,TablaCorredores[[#This Row],[Año]]&lt;='LAS CATEGORIAS'!D$9),OR('LAS CATEGORIAS'!E$9="*",'LAS CATEGORIAS'!E$9=TablaCorredores[[#This Row],[Sexo]])),'LAS CATEGORIAS'!F$9,
     IF(AND(AND(TablaCorredores[[#This Row],[Año]]&gt;='LAS CATEGORIAS'!C$10,TablaCorredores[[#This Row],[Año]]&lt;='LAS CATEGORIAS'!D$10),OR('LAS CATEGORIAS'!E$10="*",'LAS CATEGORIAS'!E$10=TablaCorredores[[#This Row],[Sexo]])),'LAS CATEGORIAS'!F$10,
      IF(AND(AND(TablaCorredores[[#This Row],[Año]]&gt;='LAS CATEGORIAS'!C$11,TablaCorredores[[#This Row],[Año]]&lt;='LAS CATEGORIAS'!D$11),OR('LAS CATEGORIAS'!E$11="*",'LAS CATEGORIAS'!E$11=TablaCorredores[[#This Row],[Sexo]])),'LAS CATEGORIAS'!F$11,
        IF(AND(AND(TablaCorredores[[#This Row],[Año]]&gt;='LAS CATEGORIAS'!C$13,TablaCorredores[[#This Row],[Año]]&lt;='LAS CATEGORIAS'!D$13),OR('LAS CATEGORIAS'!E$13="*",'LAS CATEGORIAS'!E$13=TablaCorredores[[#This Row],[Sexo]])),'LAS CATEGORIAS'!F$13,
         IF(AND(AND(TablaCorredores[[#This Row],[Año]]&gt;='LAS CATEGORIAS'!C$14,TablaCorredores[[#This Row],[Año]]&lt;='LAS CATEGORIAS'!D$14),OR('LAS CATEGORIAS'!E$14="*",'LAS CATEGORIAS'!E$14=TablaCorredores[[#This Row],[Sexo]])),'LAS CATEGORIAS'!F$14,
          IF(AND(AND(TablaCorredores[[#This Row],[Año]]&gt;='LAS CATEGORIAS'!C$15,TablaCorredores[[#This Row],[Año]]&lt;='LAS CATEGORIAS'!D$15),OR('LAS CATEGORIAS'!E$15="*",'LAS CATEGORIAS'!E$15=TablaCorredores[[#This Row],[Sexo]])),'LAS CATEGORIAS'!F$15,
           IF(AND(AND(TablaCorredores[[#This Row],[Año]]&gt;='LAS CATEGORIAS'!C$16,TablaCorredores[[#This Row],[Año]]&lt;='LAS CATEGORIAS'!D$16),OR('LAS CATEGORIAS'!E$16="*",'LAS CATEGORIAS'!E$16=TablaCorredores[[#This Row],[Sexo]])),'LAS CATEGORIAS'!F$16,
            IF(AND(AND(TablaCorredores[[#This Row],[Año]]&gt;='LAS CATEGORIAS'!C$17,TablaCorredores[[#This Row],[Año]]&lt;='LAS CATEGORIAS'!D$17),OR('LAS CATEGORIAS'!E$17="*",'LAS CATEGORIAS'!E$17=TablaCorredores[[#This Row],[Sexo]])),'LAS CATEGORIAS'!F$17,
             IF(AND(AND(TablaCorredores[[#This Row],[Año]]&gt;='LAS CATEGORIAS'!C$18,TablaCorredores[[#This Row],[Año]]&lt;='LAS CATEGORIAS'!D$18),OR('LAS CATEGORIAS'!E$18="*",'LAS CATEGORIAS'!E$18=TablaCorredores[[#This Row],[Sexo]])),'LAS CATEGORIAS'!F$18,
              IF(AND(AND(TablaCorredores[[#This Row],[Año]]&gt;='LAS CATEGORIAS'!C$19,TablaCorredores[[#This Row],[Año]]&lt;='LAS CATEGORIAS'!D$19),OR('LAS CATEGORIAS'!E$19="*",'LAS CATEGORIAS'!E$19=TablaCorredores[[#This Row],[Sexo]])),'LAS CATEGORIAS'!F$19,
               IF(AND(AND(TablaCorredores[[#This Row],[Año]]&gt;='LAS CATEGORIAS'!C$20,TablaCorredores[[#This Row],[Año]]&lt;='LAS CATEGORIAS'!D$20),OR('LAS CATEGORIAS'!E$20="*",'LAS CATEGORIAS'!E$20=TablaCorredores[[#This Row],[Sexo]])),'LAS CATEGORIAS'!F$20,"Sin Categoría"
              )
             )
            )
           )
          )
         )
        )
       )
      )
     )
    )
   )
  )
 )
)</f>
        <v>Sin Categoría</v>
      </c>
      <c r="I4" s="1" t="str">
        <f>VLOOKUP(TablaCorredores[[#This Row],[Categoría]],TablaCategorias[[Categoría]:[Carrera]],2,FALSE)</f>
        <v>Sin carrera</v>
      </c>
      <c r="J4" s="1" t="s">
        <v>76</v>
      </c>
      <c r="K4" s="95" t="b">
        <f>COUNTIF(TablaEquipos[Club],TablaCorredores[[#This Row],[Club]])&gt;0</f>
        <v>1</v>
      </c>
    </row>
    <row r="5" spans="1:11" ht="13.5" customHeight="1" x14ac:dyDescent="0.25">
      <c r="A5" s="2">
        <v>1</v>
      </c>
      <c r="B5" s="8">
        <v>1</v>
      </c>
      <c r="C5" s="9">
        <v>1</v>
      </c>
      <c r="D5" s="74" t="s">
        <v>43</v>
      </c>
      <c r="E5" s="1" t="s">
        <v>124</v>
      </c>
      <c r="F5" s="1">
        <v>1900</v>
      </c>
      <c r="G5" s="1" t="s">
        <v>136</v>
      </c>
      <c r="H5" s="1" t="str">
        <f>IF(AND(AND(TablaCorredores[[#This Row],[Año]]&gt;='LAS CATEGORIAS'!C$5,TablaCorredores[[#This Row],[Año]]&lt;='LAS CATEGORIAS'!D$5),OR('LAS CATEGORIAS'!E$5="*",'LAS CATEGORIAS'!E$5=TablaCorredores[[#This Row],[Sexo]])),'LAS CATEGORIAS'!F$5,
 IF(AND(AND(TablaCorredores[[#This Row],[Año]]&gt;='LAS CATEGORIAS'!C$6,TablaCorredores[[#This Row],[Año]]&lt;='LAS CATEGORIAS'!D$6),OR('LAS CATEGORIAS'!E$6="*",'LAS CATEGORIAS'!E$6=TablaCorredores[[#This Row],[Sexo]])),'LAS CATEGORIAS'!F$6,
  IF(AND(AND(TablaCorredores[[#This Row],[Año]]&gt;='LAS CATEGORIAS'!$C8,TablaCorredores[[#This Row],[Año]]&lt;='LAS CATEGORIAS'!D$7),OR('LAS CATEGORIAS'!E$7="*",'LAS CATEGORIAS'!E$7=TablaCorredores[[#This Row],[Sexo]])),'LAS CATEGORIAS'!F$7,
   IF(AND(AND(TablaCorredores[[#This Row],[Año]]&gt;='LAS CATEGORIAS'!C$8,TablaCorredores[[#This Row],[Año]]&lt;='LAS CATEGORIAS'!D$8),OR('LAS CATEGORIAS'!E$8="*",'LAS CATEGORIAS'!E$8=TablaCorredores[[#This Row],[Sexo]])),'LAS CATEGORIAS'!F$8,
    IF(AND(AND(TablaCorredores[[#This Row],[Año]]&gt;='LAS CATEGORIAS'!C$9,TablaCorredores[[#This Row],[Año]]&lt;='LAS CATEGORIAS'!D$9),OR('LAS CATEGORIAS'!E$9="*",'LAS CATEGORIAS'!E$9=TablaCorredores[[#This Row],[Sexo]])),'LAS CATEGORIAS'!F$9,
     IF(AND(AND(TablaCorredores[[#This Row],[Año]]&gt;='LAS CATEGORIAS'!C$10,TablaCorredores[[#This Row],[Año]]&lt;='LAS CATEGORIAS'!D$10),OR('LAS CATEGORIAS'!E$10="*",'LAS CATEGORIAS'!E$10=TablaCorredores[[#This Row],[Sexo]])),'LAS CATEGORIAS'!F$10,
      IF(AND(AND(TablaCorredores[[#This Row],[Año]]&gt;='LAS CATEGORIAS'!C$11,TablaCorredores[[#This Row],[Año]]&lt;='LAS CATEGORIAS'!D$11),OR('LAS CATEGORIAS'!E$11="*",'LAS CATEGORIAS'!E$11=TablaCorredores[[#This Row],[Sexo]])),'LAS CATEGORIAS'!F$11,
        IF(AND(AND(TablaCorredores[[#This Row],[Año]]&gt;='LAS CATEGORIAS'!C$13,TablaCorredores[[#This Row],[Año]]&lt;='LAS CATEGORIAS'!D$13),OR('LAS CATEGORIAS'!E$13="*",'LAS CATEGORIAS'!E$13=TablaCorredores[[#This Row],[Sexo]])),'LAS CATEGORIAS'!F$13,
         IF(AND(AND(TablaCorredores[[#This Row],[Año]]&gt;='LAS CATEGORIAS'!C$14,TablaCorredores[[#This Row],[Año]]&lt;='LAS CATEGORIAS'!D$14),OR('LAS CATEGORIAS'!E$14="*",'LAS CATEGORIAS'!E$14=TablaCorredores[[#This Row],[Sexo]])),'LAS CATEGORIAS'!F$14,
          IF(AND(AND(TablaCorredores[[#This Row],[Año]]&gt;='LAS CATEGORIAS'!C$15,TablaCorredores[[#This Row],[Año]]&lt;='LAS CATEGORIAS'!D$15),OR('LAS CATEGORIAS'!E$15="*",'LAS CATEGORIAS'!E$15=TablaCorredores[[#This Row],[Sexo]])),'LAS CATEGORIAS'!F$15,
           IF(AND(AND(TablaCorredores[[#This Row],[Año]]&gt;='LAS CATEGORIAS'!C$16,TablaCorredores[[#This Row],[Año]]&lt;='LAS CATEGORIAS'!D$16),OR('LAS CATEGORIAS'!E$16="*",'LAS CATEGORIAS'!E$16=TablaCorredores[[#This Row],[Sexo]])),'LAS CATEGORIAS'!F$16,
            IF(AND(AND(TablaCorredores[[#This Row],[Año]]&gt;='LAS CATEGORIAS'!C$17,TablaCorredores[[#This Row],[Año]]&lt;='LAS CATEGORIAS'!D$17),OR('LAS CATEGORIAS'!E$17="*",'LAS CATEGORIAS'!E$17=TablaCorredores[[#This Row],[Sexo]])),'LAS CATEGORIAS'!F$17,
             IF(AND(AND(TablaCorredores[[#This Row],[Año]]&gt;='LAS CATEGORIAS'!C$18,TablaCorredores[[#This Row],[Año]]&lt;='LAS CATEGORIAS'!D$18),OR('LAS CATEGORIAS'!E$18="*",'LAS CATEGORIAS'!E$18=TablaCorredores[[#This Row],[Sexo]])),'LAS CATEGORIAS'!F$18,
              IF(AND(AND(TablaCorredores[[#This Row],[Año]]&gt;='LAS CATEGORIAS'!C$19,TablaCorredores[[#This Row],[Año]]&lt;='LAS CATEGORIAS'!D$19),OR('LAS CATEGORIAS'!E$19="*",'LAS CATEGORIAS'!E$19=TablaCorredores[[#This Row],[Sexo]])),'LAS CATEGORIAS'!F$19,
               IF(AND(AND(TablaCorredores[[#This Row],[Año]]&gt;='LAS CATEGORIAS'!C$20,TablaCorredores[[#This Row],[Año]]&lt;='LAS CATEGORIAS'!D$20),OR('LAS CATEGORIAS'!E$20="*",'LAS CATEGORIAS'!E$20=TablaCorredores[[#This Row],[Sexo]])),'LAS CATEGORIAS'!F$20,"Sin Categoría"
              )
             )
            )
           )
          )
         )
        )
       )
      )
     )
    )
   )
  )
 )
)</f>
        <v>VETERANO MASCULINO</v>
      </c>
      <c r="I5" s="1" t="str">
        <f>VLOOKUP(TablaCorredores[[#This Row],[Categoría]],TablaCategorias[[Categoría]:[Carrera]],2,FALSE)</f>
        <v>CARRERA 8</v>
      </c>
      <c r="J5" s="1" t="s">
        <v>2</v>
      </c>
      <c r="K5" s="95" t="b">
        <f>COUNTIF(TablaEquipos[Club],TablaCorredores[[#This Row],[Club]])&gt;0</f>
        <v>1</v>
      </c>
    </row>
    <row r="6" spans="1:11" ht="13.5" customHeight="1" x14ac:dyDescent="0.25">
      <c r="A6" s="2">
        <v>2</v>
      </c>
      <c r="B6" s="8">
        <v>1</v>
      </c>
      <c r="C6" s="9">
        <v>2</v>
      </c>
      <c r="D6" s="74" t="s">
        <v>39</v>
      </c>
      <c r="E6" s="1" t="s">
        <v>124</v>
      </c>
      <c r="F6" s="1">
        <v>1900</v>
      </c>
      <c r="G6" s="1" t="s">
        <v>137</v>
      </c>
      <c r="H6" s="1" t="str">
        <f>IF(AND(AND(TablaCorredores[[#This Row],[Año]]&gt;='LAS CATEGORIAS'!C$5,TablaCorredores[[#This Row],[Año]]&lt;='LAS CATEGORIAS'!D$5),OR('LAS CATEGORIAS'!E$5="*",'LAS CATEGORIAS'!E$5=TablaCorredores[[#This Row],[Sexo]])),'LAS CATEGORIAS'!F$5,
 IF(AND(AND(TablaCorredores[[#This Row],[Año]]&gt;='LAS CATEGORIAS'!C$6,TablaCorredores[[#This Row],[Año]]&lt;='LAS CATEGORIAS'!D$6),OR('LAS CATEGORIAS'!E$6="*",'LAS CATEGORIAS'!E$6=TablaCorredores[[#This Row],[Sexo]])),'LAS CATEGORIAS'!F$6,
  IF(AND(AND(TablaCorredores[[#This Row],[Año]]&gt;='LAS CATEGORIAS'!$C9,TablaCorredores[[#This Row],[Año]]&lt;='LAS CATEGORIAS'!D$7),OR('LAS CATEGORIAS'!E$7="*",'LAS CATEGORIAS'!E$7=TablaCorredores[[#This Row],[Sexo]])),'LAS CATEGORIAS'!F$7,
   IF(AND(AND(TablaCorredores[[#This Row],[Año]]&gt;='LAS CATEGORIAS'!C$8,TablaCorredores[[#This Row],[Año]]&lt;='LAS CATEGORIAS'!D$8),OR('LAS CATEGORIAS'!E$8="*",'LAS CATEGORIAS'!E$8=TablaCorredores[[#This Row],[Sexo]])),'LAS CATEGORIAS'!F$8,
    IF(AND(AND(TablaCorredores[[#This Row],[Año]]&gt;='LAS CATEGORIAS'!C$9,TablaCorredores[[#This Row],[Año]]&lt;='LAS CATEGORIAS'!D$9),OR('LAS CATEGORIAS'!E$9="*",'LAS CATEGORIAS'!E$9=TablaCorredores[[#This Row],[Sexo]])),'LAS CATEGORIAS'!F$9,
     IF(AND(AND(TablaCorredores[[#This Row],[Año]]&gt;='LAS CATEGORIAS'!C$10,TablaCorredores[[#This Row],[Año]]&lt;='LAS CATEGORIAS'!D$10),OR('LAS CATEGORIAS'!E$10="*",'LAS CATEGORIAS'!E$10=TablaCorredores[[#This Row],[Sexo]])),'LAS CATEGORIAS'!F$10,
      IF(AND(AND(TablaCorredores[[#This Row],[Año]]&gt;='LAS CATEGORIAS'!C$11,TablaCorredores[[#This Row],[Año]]&lt;='LAS CATEGORIAS'!D$11),OR('LAS CATEGORIAS'!E$11="*",'LAS CATEGORIAS'!E$11=TablaCorredores[[#This Row],[Sexo]])),'LAS CATEGORIAS'!F$11,
        IF(AND(AND(TablaCorredores[[#This Row],[Año]]&gt;='LAS CATEGORIAS'!C$13,TablaCorredores[[#This Row],[Año]]&lt;='LAS CATEGORIAS'!D$13),OR('LAS CATEGORIAS'!E$13="*",'LAS CATEGORIAS'!E$13=TablaCorredores[[#This Row],[Sexo]])),'LAS CATEGORIAS'!F$13,
         IF(AND(AND(TablaCorredores[[#This Row],[Año]]&gt;='LAS CATEGORIAS'!C$14,TablaCorredores[[#This Row],[Año]]&lt;='LAS CATEGORIAS'!D$14),OR('LAS CATEGORIAS'!E$14="*",'LAS CATEGORIAS'!E$14=TablaCorredores[[#This Row],[Sexo]])),'LAS CATEGORIAS'!F$14,
          IF(AND(AND(TablaCorredores[[#This Row],[Año]]&gt;='LAS CATEGORIAS'!C$15,TablaCorredores[[#This Row],[Año]]&lt;='LAS CATEGORIAS'!D$15),OR('LAS CATEGORIAS'!E$15="*",'LAS CATEGORIAS'!E$15=TablaCorredores[[#This Row],[Sexo]])),'LAS CATEGORIAS'!F$15,
           IF(AND(AND(TablaCorredores[[#This Row],[Año]]&gt;='LAS CATEGORIAS'!C$16,TablaCorredores[[#This Row],[Año]]&lt;='LAS CATEGORIAS'!D$16),OR('LAS CATEGORIAS'!E$16="*",'LAS CATEGORIAS'!E$16=TablaCorredores[[#This Row],[Sexo]])),'LAS CATEGORIAS'!F$16,
            IF(AND(AND(TablaCorredores[[#This Row],[Año]]&gt;='LAS CATEGORIAS'!C$17,TablaCorredores[[#This Row],[Año]]&lt;='LAS CATEGORIAS'!D$17),OR('LAS CATEGORIAS'!E$17="*",'LAS CATEGORIAS'!E$17=TablaCorredores[[#This Row],[Sexo]])),'LAS CATEGORIAS'!F$17,
             IF(AND(AND(TablaCorredores[[#This Row],[Año]]&gt;='LAS CATEGORIAS'!C$18,TablaCorredores[[#This Row],[Año]]&lt;='LAS CATEGORIAS'!D$18),OR('LAS CATEGORIAS'!E$18="*",'LAS CATEGORIAS'!E$18=TablaCorredores[[#This Row],[Sexo]])),'LAS CATEGORIAS'!F$18,
              IF(AND(AND(TablaCorredores[[#This Row],[Año]]&gt;='LAS CATEGORIAS'!C$19,TablaCorredores[[#This Row],[Año]]&lt;='LAS CATEGORIAS'!D$19),OR('LAS CATEGORIAS'!E$19="*",'LAS CATEGORIAS'!E$19=TablaCorredores[[#This Row],[Sexo]])),'LAS CATEGORIAS'!F$19,
               IF(AND(AND(TablaCorredores[[#This Row],[Año]]&gt;='LAS CATEGORIAS'!C$20,TablaCorredores[[#This Row],[Año]]&lt;='LAS CATEGORIAS'!D$20),OR('LAS CATEGORIAS'!E$20="*",'LAS CATEGORIAS'!E$20=TablaCorredores[[#This Row],[Sexo]])),'LAS CATEGORIAS'!F$20,"Sin Categoría"
              )
             )
            )
           )
          )
         )
        )
       )
      )
     )
    )
   )
  )
 )
)</f>
        <v>VETERANO MASCULINO</v>
      </c>
      <c r="I6" s="1" t="str">
        <f>VLOOKUP(TablaCorredores[[#This Row],[Categoría]],TablaCategorias[[Categoría]:[Carrera]],2,FALSE)</f>
        <v>CARRERA 8</v>
      </c>
      <c r="J6" s="1" t="s">
        <v>29</v>
      </c>
      <c r="K6" s="95" t="b">
        <f>COUNTIF(TablaEquipos[Club],TablaCorredores[[#This Row],[Club]])&gt;0</f>
        <v>1</v>
      </c>
    </row>
    <row r="7" spans="1:11" ht="13.5" customHeight="1" x14ac:dyDescent="0.25">
      <c r="A7" s="2">
        <v>3</v>
      </c>
      <c r="B7" s="8">
        <v>1</v>
      </c>
      <c r="C7" s="9">
        <v>3</v>
      </c>
      <c r="D7" s="74" t="s">
        <v>37</v>
      </c>
      <c r="E7" s="1" t="s">
        <v>124</v>
      </c>
      <c r="F7" s="1">
        <v>2000</v>
      </c>
      <c r="G7" s="1" t="s">
        <v>135</v>
      </c>
      <c r="H7" s="1" t="str">
        <f>IF(AND(AND(TablaCorredores[[#This Row],[Año]]&gt;='LAS CATEGORIAS'!C$5,TablaCorredores[[#This Row],[Año]]&lt;='LAS CATEGORIAS'!D$5),OR('LAS CATEGORIAS'!E$5="*",'LAS CATEGORIAS'!E$5=TablaCorredores[[#This Row],[Sexo]])),'LAS CATEGORIAS'!F$5,
 IF(AND(AND(TablaCorredores[[#This Row],[Año]]&gt;='LAS CATEGORIAS'!C$6,TablaCorredores[[#This Row],[Año]]&lt;='LAS CATEGORIAS'!D$6),OR('LAS CATEGORIAS'!E$6="*",'LAS CATEGORIAS'!E$6=TablaCorredores[[#This Row],[Sexo]])),'LAS CATEGORIAS'!F$6,
  IF(AND(AND(TablaCorredores[[#This Row],[Año]]&gt;='LAS CATEGORIAS'!$C10,TablaCorredores[[#This Row],[Año]]&lt;='LAS CATEGORIAS'!D$7),OR('LAS CATEGORIAS'!E$7="*",'LAS CATEGORIAS'!E$7=TablaCorredores[[#This Row],[Sexo]])),'LAS CATEGORIAS'!F$7,
   IF(AND(AND(TablaCorredores[[#This Row],[Año]]&gt;='LAS CATEGORIAS'!C$8,TablaCorredores[[#This Row],[Año]]&lt;='LAS CATEGORIAS'!D$8),OR('LAS CATEGORIAS'!E$8="*",'LAS CATEGORIAS'!E$8=TablaCorredores[[#This Row],[Sexo]])),'LAS CATEGORIAS'!F$8,
    IF(AND(AND(TablaCorredores[[#This Row],[Año]]&gt;='LAS CATEGORIAS'!C$9,TablaCorredores[[#This Row],[Año]]&lt;='LAS CATEGORIAS'!D$9),OR('LAS CATEGORIAS'!E$9="*",'LAS CATEGORIAS'!E$9=TablaCorredores[[#This Row],[Sexo]])),'LAS CATEGORIAS'!F$9,
     IF(AND(AND(TablaCorredores[[#This Row],[Año]]&gt;='LAS CATEGORIAS'!C$10,TablaCorredores[[#This Row],[Año]]&lt;='LAS CATEGORIAS'!D$10),OR('LAS CATEGORIAS'!E$10="*",'LAS CATEGORIAS'!E$10=TablaCorredores[[#This Row],[Sexo]])),'LAS CATEGORIAS'!F$10,
      IF(AND(AND(TablaCorredores[[#This Row],[Año]]&gt;='LAS CATEGORIAS'!C$11,TablaCorredores[[#This Row],[Año]]&lt;='LAS CATEGORIAS'!D$11),OR('LAS CATEGORIAS'!E$11="*",'LAS CATEGORIAS'!E$11=TablaCorredores[[#This Row],[Sexo]])),'LAS CATEGORIAS'!F$11,
        IF(AND(AND(TablaCorredores[[#This Row],[Año]]&gt;='LAS CATEGORIAS'!C$13,TablaCorredores[[#This Row],[Año]]&lt;='LAS CATEGORIAS'!D$13),OR('LAS CATEGORIAS'!E$13="*",'LAS CATEGORIAS'!E$13=TablaCorredores[[#This Row],[Sexo]])),'LAS CATEGORIAS'!F$13,
         IF(AND(AND(TablaCorredores[[#This Row],[Año]]&gt;='LAS CATEGORIAS'!C$14,TablaCorredores[[#This Row],[Año]]&lt;='LAS CATEGORIAS'!D$14),OR('LAS CATEGORIAS'!E$14="*",'LAS CATEGORIAS'!E$14=TablaCorredores[[#This Row],[Sexo]])),'LAS CATEGORIAS'!F$14,
          IF(AND(AND(TablaCorredores[[#This Row],[Año]]&gt;='LAS CATEGORIAS'!C$15,TablaCorredores[[#This Row],[Año]]&lt;='LAS CATEGORIAS'!D$15),OR('LAS CATEGORIAS'!E$15="*",'LAS CATEGORIAS'!E$15=TablaCorredores[[#This Row],[Sexo]])),'LAS CATEGORIAS'!F$15,
           IF(AND(AND(TablaCorredores[[#This Row],[Año]]&gt;='LAS CATEGORIAS'!C$16,TablaCorredores[[#This Row],[Año]]&lt;='LAS CATEGORIAS'!D$16),OR('LAS CATEGORIAS'!E$16="*",'LAS CATEGORIAS'!E$16=TablaCorredores[[#This Row],[Sexo]])),'LAS CATEGORIAS'!F$16,
            IF(AND(AND(TablaCorredores[[#This Row],[Año]]&gt;='LAS CATEGORIAS'!C$17,TablaCorredores[[#This Row],[Año]]&lt;='LAS CATEGORIAS'!D$17),OR('LAS CATEGORIAS'!E$17="*",'LAS CATEGORIAS'!E$17=TablaCorredores[[#This Row],[Sexo]])),'LAS CATEGORIAS'!F$17,
             IF(AND(AND(TablaCorredores[[#This Row],[Año]]&gt;='LAS CATEGORIAS'!C$18,TablaCorredores[[#This Row],[Año]]&lt;='LAS CATEGORIAS'!D$18),OR('LAS CATEGORIAS'!E$18="*",'LAS CATEGORIAS'!E$18=TablaCorredores[[#This Row],[Sexo]])),'LAS CATEGORIAS'!F$18,
              IF(AND(AND(TablaCorredores[[#This Row],[Año]]&gt;='LAS CATEGORIAS'!C$19,TablaCorredores[[#This Row],[Año]]&lt;='LAS CATEGORIAS'!D$19),OR('LAS CATEGORIAS'!E$19="*",'LAS CATEGORIAS'!E$19=TablaCorredores[[#This Row],[Sexo]])),'LAS CATEGORIAS'!F$19,
               IF(AND(AND(TablaCorredores[[#This Row],[Año]]&gt;='LAS CATEGORIAS'!C$20,TablaCorredores[[#This Row],[Año]]&lt;='LAS CATEGORIAS'!D$20),OR('LAS CATEGORIAS'!E$20="*",'LAS CATEGORIAS'!E$20=TablaCorredores[[#This Row],[Sexo]])),'LAS CATEGORIAS'!F$20,"Sin Categoría"
              )
             )
            )
           )
          )
         )
        )
       )
      )
     )
    )
   )
  )
 )
)</f>
        <v>SENIOR MASCULINO</v>
      </c>
      <c r="I7" s="1" t="str">
        <f>VLOOKUP(TablaCorredores[[#This Row],[Categoría]],TablaCategorias[[Categoría]:[Carrera]],2,FALSE)</f>
        <v>CARRERA 8</v>
      </c>
      <c r="J7" s="1" t="s">
        <v>30</v>
      </c>
      <c r="K7" s="95" t="b">
        <f>COUNTIF(TablaEquipos[Club],TablaCorredores[[#This Row],[Club]])&gt;0</f>
        <v>1</v>
      </c>
    </row>
    <row r="8" spans="1:11" ht="13.5" customHeight="1" x14ac:dyDescent="0.25">
      <c r="A8" s="2">
        <v>4</v>
      </c>
      <c r="B8" s="8">
        <v>1</v>
      </c>
      <c r="C8" s="9">
        <v>4</v>
      </c>
      <c r="D8" s="74" t="s">
        <v>38</v>
      </c>
      <c r="E8" s="1" t="s">
        <v>124</v>
      </c>
      <c r="F8" s="1">
        <v>2014</v>
      </c>
      <c r="G8" s="1" t="s">
        <v>135</v>
      </c>
      <c r="H8" s="1" t="str">
        <f>IF(AND(AND(TablaCorredores[[#This Row],[Año]]&gt;='LAS CATEGORIAS'!C$5,TablaCorredores[[#This Row],[Año]]&lt;='LAS CATEGORIAS'!D$5),OR('LAS CATEGORIAS'!E$5="*",'LAS CATEGORIAS'!E$5=TablaCorredores[[#This Row],[Sexo]])),'LAS CATEGORIAS'!F$5,
 IF(AND(AND(TablaCorredores[[#This Row],[Año]]&gt;='LAS CATEGORIAS'!C$6,TablaCorredores[[#This Row],[Año]]&lt;='LAS CATEGORIAS'!D$6),OR('LAS CATEGORIAS'!E$6="*",'LAS CATEGORIAS'!E$6=TablaCorredores[[#This Row],[Sexo]])),'LAS CATEGORIAS'!F$6,
  IF(AND(AND(TablaCorredores[[#This Row],[Año]]&gt;='LAS CATEGORIAS'!$C11,TablaCorredores[[#This Row],[Año]]&lt;='LAS CATEGORIAS'!D$7),OR('LAS CATEGORIAS'!E$7="*",'LAS CATEGORIAS'!E$7=TablaCorredores[[#This Row],[Sexo]])),'LAS CATEGORIAS'!F$7,
   IF(AND(AND(TablaCorredores[[#This Row],[Año]]&gt;='LAS CATEGORIAS'!C$8,TablaCorredores[[#This Row],[Año]]&lt;='LAS CATEGORIAS'!D$8),OR('LAS CATEGORIAS'!E$8="*",'LAS CATEGORIAS'!E$8=TablaCorredores[[#This Row],[Sexo]])),'LAS CATEGORIAS'!F$8,
    IF(AND(AND(TablaCorredores[[#This Row],[Año]]&gt;='LAS CATEGORIAS'!C$9,TablaCorredores[[#This Row],[Año]]&lt;='LAS CATEGORIAS'!D$9),OR('LAS CATEGORIAS'!E$9="*",'LAS CATEGORIAS'!E$9=TablaCorredores[[#This Row],[Sexo]])),'LAS CATEGORIAS'!F$9,
     IF(AND(AND(TablaCorredores[[#This Row],[Año]]&gt;='LAS CATEGORIAS'!C$10,TablaCorredores[[#This Row],[Año]]&lt;='LAS CATEGORIAS'!D$10),OR('LAS CATEGORIAS'!E$10="*",'LAS CATEGORIAS'!E$10=TablaCorredores[[#This Row],[Sexo]])),'LAS CATEGORIAS'!F$10,
      IF(AND(AND(TablaCorredores[[#This Row],[Año]]&gt;='LAS CATEGORIAS'!C$11,TablaCorredores[[#This Row],[Año]]&lt;='LAS CATEGORIAS'!D$11),OR('LAS CATEGORIAS'!E$11="*",'LAS CATEGORIAS'!E$11=TablaCorredores[[#This Row],[Sexo]])),'LAS CATEGORIAS'!F$11,
        IF(AND(AND(TablaCorredores[[#This Row],[Año]]&gt;='LAS CATEGORIAS'!C$13,TablaCorredores[[#This Row],[Año]]&lt;='LAS CATEGORIAS'!D$13),OR('LAS CATEGORIAS'!E$13="*",'LAS CATEGORIAS'!E$13=TablaCorredores[[#This Row],[Sexo]])),'LAS CATEGORIAS'!F$13,
         IF(AND(AND(TablaCorredores[[#This Row],[Año]]&gt;='LAS CATEGORIAS'!C$14,TablaCorredores[[#This Row],[Año]]&lt;='LAS CATEGORIAS'!D$14),OR('LAS CATEGORIAS'!E$14="*",'LAS CATEGORIAS'!E$14=TablaCorredores[[#This Row],[Sexo]])),'LAS CATEGORIAS'!F$14,
          IF(AND(AND(TablaCorredores[[#This Row],[Año]]&gt;='LAS CATEGORIAS'!C$15,TablaCorredores[[#This Row],[Año]]&lt;='LAS CATEGORIAS'!D$15),OR('LAS CATEGORIAS'!E$15="*",'LAS CATEGORIAS'!E$15=TablaCorredores[[#This Row],[Sexo]])),'LAS CATEGORIAS'!F$15,
           IF(AND(AND(TablaCorredores[[#This Row],[Año]]&gt;='LAS CATEGORIAS'!C$16,TablaCorredores[[#This Row],[Año]]&lt;='LAS CATEGORIAS'!D$16),OR('LAS CATEGORIAS'!E$16="*",'LAS CATEGORIAS'!E$16=TablaCorredores[[#This Row],[Sexo]])),'LAS CATEGORIAS'!F$16,
            IF(AND(AND(TablaCorredores[[#This Row],[Año]]&gt;='LAS CATEGORIAS'!C$17,TablaCorredores[[#This Row],[Año]]&lt;='LAS CATEGORIAS'!D$17),OR('LAS CATEGORIAS'!E$17="*",'LAS CATEGORIAS'!E$17=TablaCorredores[[#This Row],[Sexo]])),'LAS CATEGORIAS'!F$17,
             IF(AND(AND(TablaCorredores[[#This Row],[Año]]&gt;='LAS CATEGORIAS'!C$18,TablaCorredores[[#This Row],[Año]]&lt;='LAS CATEGORIAS'!D$18),OR('LAS CATEGORIAS'!E$18="*",'LAS CATEGORIAS'!E$18=TablaCorredores[[#This Row],[Sexo]])),'LAS CATEGORIAS'!F$18,
              IF(AND(AND(TablaCorredores[[#This Row],[Año]]&gt;='LAS CATEGORIAS'!C$19,TablaCorredores[[#This Row],[Año]]&lt;='LAS CATEGORIAS'!D$19),OR('LAS CATEGORIAS'!E$19="*",'LAS CATEGORIAS'!E$19=TablaCorredores[[#This Row],[Sexo]])),'LAS CATEGORIAS'!F$19,
               IF(AND(AND(TablaCorredores[[#This Row],[Año]]&gt;='LAS CATEGORIAS'!C$20,TablaCorredores[[#This Row],[Año]]&lt;='LAS CATEGORIAS'!D$20),OR('LAS CATEGORIAS'!E$20="*",'LAS CATEGORIAS'!E$20=TablaCorredores[[#This Row],[Sexo]])),'LAS CATEGORIAS'!F$20,"Sin Categoría"
              )
             )
            )
           )
          )
         )
        )
       )
      )
     )
    )
   )
  )
 )
)</f>
        <v>CHUPETE</v>
      </c>
      <c r="I8" s="1" t="str">
        <f>VLOOKUP(TablaCorredores[[#This Row],[Categoría]],TablaCategorias[[Categoría]:[Carrera]],2,FALSE)</f>
        <v>CARRERA 7</v>
      </c>
      <c r="J8" s="1" t="s">
        <v>30</v>
      </c>
      <c r="K8" s="95" t="b">
        <f>COUNTIF(TablaEquipos[Club],TablaCorredores[[#This Row],[Club]])&gt;0</f>
        <v>1</v>
      </c>
    </row>
    <row r="9" spans="1:11" ht="13.5" customHeight="1" x14ac:dyDescent="0.25">
      <c r="A9" s="2">
        <v>5</v>
      </c>
      <c r="B9" s="8">
        <v>1</v>
      </c>
      <c r="C9" s="9">
        <v>5</v>
      </c>
      <c r="D9" s="74" t="s">
        <v>40</v>
      </c>
      <c r="E9" s="1" t="s">
        <v>123</v>
      </c>
      <c r="F9" s="1">
        <v>2004</v>
      </c>
      <c r="G9" s="1" t="s">
        <v>138</v>
      </c>
      <c r="H9" s="1" t="str">
        <f>IF(AND(AND(TablaCorredores[[#This Row],[Año]]&gt;='LAS CATEGORIAS'!C$5,TablaCorredores[[#This Row],[Año]]&lt;='LAS CATEGORIAS'!D$5),OR('LAS CATEGORIAS'!E$5="*",'LAS CATEGORIAS'!E$5=TablaCorredores[[#This Row],[Sexo]])),'LAS CATEGORIAS'!F$5,
 IF(AND(AND(TablaCorredores[[#This Row],[Año]]&gt;='LAS CATEGORIAS'!C$6,TablaCorredores[[#This Row],[Año]]&lt;='LAS CATEGORIAS'!D$6),OR('LAS CATEGORIAS'!E$6="*",'LAS CATEGORIAS'!E$6=TablaCorredores[[#This Row],[Sexo]])),'LAS CATEGORIAS'!F$6,
  IF(AND(AND(TablaCorredores[[#This Row],[Año]]&gt;='LAS CATEGORIAS'!$C13,TablaCorredores[[#This Row],[Año]]&lt;='LAS CATEGORIAS'!D$7),OR('LAS CATEGORIAS'!E$7="*",'LAS CATEGORIAS'!E$7=TablaCorredores[[#This Row],[Sexo]])),'LAS CATEGORIAS'!F$7,
   IF(AND(AND(TablaCorredores[[#This Row],[Año]]&gt;='LAS CATEGORIAS'!C$8,TablaCorredores[[#This Row],[Año]]&lt;='LAS CATEGORIAS'!D$8),OR('LAS CATEGORIAS'!E$8="*",'LAS CATEGORIAS'!E$8=TablaCorredores[[#This Row],[Sexo]])),'LAS CATEGORIAS'!F$8,
    IF(AND(AND(TablaCorredores[[#This Row],[Año]]&gt;='LAS CATEGORIAS'!C$9,TablaCorredores[[#This Row],[Año]]&lt;='LAS CATEGORIAS'!D$9),OR('LAS CATEGORIAS'!E$9="*",'LAS CATEGORIAS'!E$9=TablaCorredores[[#This Row],[Sexo]])),'LAS CATEGORIAS'!F$9,
     IF(AND(AND(TablaCorredores[[#This Row],[Año]]&gt;='LAS CATEGORIAS'!C$10,TablaCorredores[[#This Row],[Año]]&lt;='LAS CATEGORIAS'!D$10),OR('LAS CATEGORIAS'!E$10="*",'LAS CATEGORIAS'!E$10=TablaCorredores[[#This Row],[Sexo]])),'LAS CATEGORIAS'!F$10,
      IF(AND(AND(TablaCorredores[[#This Row],[Año]]&gt;='LAS CATEGORIAS'!C$11,TablaCorredores[[#This Row],[Año]]&lt;='LAS CATEGORIAS'!D$11),OR('LAS CATEGORIAS'!E$11="*",'LAS CATEGORIAS'!E$11=TablaCorredores[[#This Row],[Sexo]])),'LAS CATEGORIAS'!F$11,
        IF(AND(AND(TablaCorredores[[#This Row],[Año]]&gt;='LAS CATEGORIAS'!C$13,TablaCorredores[[#This Row],[Año]]&lt;='LAS CATEGORIAS'!D$13),OR('LAS CATEGORIAS'!E$13="*",'LAS CATEGORIAS'!E$13=TablaCorredores[[#This Row],[Sexo]])),'LAS CATEGORIAS'!F$13,
         IF(AND(AND(TablaCorredores[[#This Row],[Año]]&gt;='LAS CATEGORIAS'!C$14,TablaCorredores[[#This Row],[Año]]&lt;='LAS CATEGORIAS'!D$14),OR('LAS CATEGORIAS'!E$14="*",'LAS CATEGORIAS'!E$14=TablaCorredores[[#This Row],[Sexo]])),'LAS CATEGORIAS'!F$14,
          IF(AND(AND(TablaCorredores[[#This Row],[Año]]&gt;='LAS CATEGORIAS'!C$15,TablaCorredores[[#This Row],[Año]]&lt;='LAS CATEGORIAS'!D$15),OR('LAS CATEGORIAS'!E$15="*",'LAS CATEGORIAS'!E$15=TablaCorredores[[#This Row],[Sexo]])),'LAS CATEGORIAS'!F$15,
           IF(AND(AND(TablaCorredores[[#This Row],[Año]]&gt;='LAS CATEGORIAS'!C$16,TablaCorredores[[#This Row],[Año]]&lt;='LAS CATEGORIAS'!D$16),OR('LAS CATEGORIAS'!E$16="*",'LAS CATEGORIAS'!E$16=TablaCorredores[[#This Row],[Sexo]])),'LAS CATEGORIAS'!F$16,
            IF(AND(AND(TablaCorredores[[#This Row],[Año]]&gt;='LAS CATEGORIAS'!C$17,TablaCorredores[[#This Row],[Año]]&lt;='LAS CATEGORIAS'!D$17),OR('LAS CATEGORIAS'!E$17="*",'LAS CATEGORIAS'!E$17=TablaCorredores[[#This Row],[Sexo]])),'LAS CATEGORIAS'!F$17,
             IF(AND(AND(TablaCorredores[[#This Row],[Año]]&gt;='LAS CATEGORIAS'!C$18,TablaCorredores[[#This Row],[Año]]&lt;='LAS CATEGORIAS'!D$18),OR('LAS CATEGORIAS'!E$18="*",'LAS CATEGORIAS'!E$18=TablaCorredores[[#This Row],[Sexo]])),'LAS CATEGORIAS'!F$18,
              IF(AND(AND(TablaCorredores[[#This Row],[Año]]&gt;='LAS CATEGORIAS'!C$19,TablaCorredores[[#This Row],[Año]]&lt;='LAS CATEGORIAS'!D$19),OR('LAS CATEGORIAS'!E$19="*",'LAS CATEGORIAS'!E$19=TablaCorredores[[#This Row],[Sexo]])),'LAS CATEGORIAS'!F$19,
               IF(AND(AND(TablaCorredores[[#This Row],[Año]]&gt;='LAS CATEGORIAS'!C$20,TablaCorredores[[#This Row],[Año]]&lt;='LAS CATEGORIAS'!D$20),OR('LAS CATEGORIAS'!E$20="*",'LAS CATEGORIAS'!E$20=TablaCorredores[[#This Row],[Sexo]])),'LAS CATEGORIAS'!F$20,"Sin Categoría"
              )
             )
            )
           )
          )
         )
        )
       )
      )
     )
    )
   )
  )
 )
)</f>
        <v>INFANTIL FEMENINO</v>
      </c>
      <c r="I9" s="1" t="str">
        <f>VLOOKUP(TablaCorredores[[#This Row],[Categoría]],TablaCategorias[[Categoría]:[Carrera]],2,FALSE)</f>
        <v>CARRERA 5</v>
      </c>
      <c r="J9" s="1" t="s">
        <v>0</v>
      </c>
      <c r="K9" s="95" t="b">
        <f>COUNTIF(TablaEquipos[Club],TablaCorredores[[#This Row],[Club]])&gt;0</f>
        <v>1</v>
      </c>
    </row>
    <row r="10" spans="1:11" ht="13.5" customHeight="1" x14ac:dyDescent="0.25">
      <c r="A10" s="2">
        <v>6</v>
      </c>
      <c r="B10" s="8">
        <v>1</v>
      </c>
      <c r="C10" s="9">
        <v>6</v>
      </c>
      <c r="D10" s="74" t="s">
        <v>42</v>
      </c>
      <c r="E10" s="1" t="s">
        <v>124</v>
      </c>
      <c r="F10" s="1">
        <v>1900</v>
      </c>
      <c r="G10" s="1" t="s">
        <v>139</v>
      </c>
      <c r="H10" s="1" t="str">
        <f>IF(AND(AND(TablaCorredores[[#This Row],[Año]]&gt;='LAS CATEGORIAS'!C$5,TablaCorredores[[#This Row],[Año]]&lt;='LAS CATEGORIAS'!D$5),OR('LAS CATEGORIAS'!E$5="*",'LAS CATEGORIAS'!E$5=TablaCorredores[[#This Row],[Sexo]])),'LAS CATEGORIAS'!F$5,
 IF(AND(AND(TablaCorredores[[#This Row],[Año]]&gt;='LAS CATEGORIAS'!C$6,TablaCorredores[[#This Row],[Año]]&lt;='LAS CATEGORIAS'!D$6),OR('LAS CATEGORIAS'!E$6="*",'LAS CATEGORIAS'!E$6=TablaCorredores[[#This Row],[Sexo]])),'LAS CATEGORIAS'!F$6,
  IF(AND(AND(TablaCorredores[[#This Row],[Año]]&gt;='LAS CATEGORIAS'!$C14,TablaCorredores[[#This Row],[Año]]&lt;='LAS CATEGORIAS'!D$7),OR('LAS CATEGORIAS'!E$7="*",'LAS CATEGORIAS'!E$7=TablaCorredores[[#This Row],[Sexo]])),'LAS CATEGORIAS'!F$7,
   IF(AND(AND(TablaCorredores[[#This Row],[Año]]&gt;='LAS CATEGORIAS'!C$8,TablaCorredores[[#This Row],[Año]]&lt;='LAS CATEGORIAS'!D$8),OR('LAS CATEGORIAS'!E$8="*",'LAS CATEGORIAS'!E$8=TablaCorredores[[#This Row],[Sexo]])),'LAS CATEGORIAS'!F$8,
    IF(AND(AND(TablaCorredores[[#This Row],[Año]]&gt;='LAS CATEGORIAS'!C$9,TablaCorredores[[#This Row],[Año]]&lt;='LAS CATEGORIAS'!D$9),OR('LAS CATEGORIAS'!E$9="*",'LAS CATEGORIAS'!E$9=TablaCorredores[[#This Row],[Sexo]])),'LAS CATEGORIAS'!F$9,
     IF(AND(AND(TablaCorredores[[#This Row],[Año]]&gt;='LAS CATEGORIAS'!C$10,TablaCorredores[[#This Row],[Año]]&lt;='LAS CATEGORIAS'!D$10),OR('LAS CATEGORIAS'!E$10="*",'LAS CATEGORIAS'!E$10=TablaCorredores[[#This Row],[Sexo]])),'LAS CATEGORIAS'!F$10,
      IF(AND(AND(TablaCorredores[[#This Row],[Año]]&gt;='LAS CATEGORIAS'!C$11,TablaCorredores[[#This Row],[Año]]&lt;='LAS CATEGORIAS'!D$11),OR('LAS CATEGORIAS'!E$11="*",'LAS CATEGORIAS'!E$11=TablaCorredores[[#This Row],[Sexo]])),'LAS CATEGORIAS'!F$11,
        IF(AND(AND(TablaCorredores[[#This Row],[Año]]&gt;='LAS CATEGORIAS'!C$13,TablaCorredores[[#This Row],[Año]]&lt;='LAS CATEGORIAS'!D$13),OR('LAS CATEGORIAS'!E$13="*",'LAS CATEGORIAS'!E$13=TablaCorredores[[#This Row],[Sexo]])),'LAS CATEGORIAS'!F$13,
         IF(AND(AND(TablaCorredores[[#This Row],[Año]]&gt;='LAS CATEGORIAS'!C$14,TablaCorredores[[#This Row],[Año]]&lt;='LAS CATEGORIAS'!D$14),OR('LAS CATEGORIAS'!E$14="*",'LAS CATEGORIAS'!E$14=TablaCorredores[[#This Row],[Sexo]])),'LAS CATEGORIAS'!F$14,
          IF(AND(AND(TablaCorredores[[#This Row],[Año]]&gt;='LAS CATEGORIAS'!C$15,TablaCorredores[[#This Row],[Año]]&lt;='LAS CATEGORIAS'!D$15),OR('LAS CATEGORIAS'!E$15="*",'LAS CATEGORIAS'!E$15=TablaCorredores[[#This Row],[Sexo]])),'LAS CATEGORIAS'!F$15,
           IF(AND(AND(TablaCorredores[[#This Row],[Año]]&gt;='LAS CATEGORIAS'!C$16,TablaCorredores[[#This Row],[Año]]&lt;='LAS CATEGORIAS'!D$16),OR('LAS CATEGORIAS'!E$16="*",'LAS CATEGORIAS'!E$16=TablaCorredores[[#This Row],[Sexo]])),'LAS CATEGORIAS'!F$16,
            IF(AND(AND(TablaCorredores[[#This Row],[Año]]&gt;='LAS CATEGORIAS'!C$17,TablaCorredores[[#This Row],[Año]]&lt;='LAS CATEGORIAS'!D$17),OR('LAS CATEGORIAS'!E$17="*",'LAS CATEGORIAS'!E$17=TablaCorredores[[#This Row],[Sexo]])),'LAS CATEGORIAS'!F$17,
             IF(AND(AND(TablaCorredores[[#This Row],[Año]]&gt;='LAS CATEGORIAS'!C$18,TablaCorredores[[#This Row],[Año]]&lt;='LAS CATEGORIAS'!D$18),OR('LAS CATEGORIAS'!E$18="*",'LAS CATEGORIAS'!E$18=TablaCorredores[[#This Row],[Sexo]])),'LAS CATEGORIAS'!F$18,
              IF(AND(AND(TablaCorredores[[#This Row],[Año]]&gt;='LAS CATEGORIAS'!C$19,TablaCorredores[[#This Row],[Año]]&lt;='LAS CATEGORIAS'!D$19),OR('LAS CATEGORIAS'!E$19="*",'LAS CATEGORIAS'!E$19=TablaCorredores[[#This Row],[Sexo]])),'LAS CATEGORIAS'!F$19,
               IF(AND(AND(TablaCorredores[[#This Row],[Año]]&gt;='LAS CATEGORIAS'!C$20,TablaCorredores[[#This Row],[Año]]&lt;='LAS CATEGORIAS'!D$20),OR('LAS CATEGORIAS'!E$20="*",'LAS CATEGORIAS'!E$20=TablaCorredores[[#This Row],[Sexo]])),'LAS CATEGORIAS'!F$20,"Sin Categoría"
              )
             )
            )
           )
          )
         )
        )
       )
      )
     )
    )
   )
  )
 )
)</f>
        <v>VETERANO MASCULINO</v>
      </c>
      <c r="I10" s="1" t="str">
        <f>VLOOKUP(TablaCorredores[[#This Row],[Categoría]],TablaCategorias[[Categoría]:[Carrera]],2,FALSE)</f>
        <v>CARRERA 8</v>
      </c>
      <c r="J10" s="1" t="s">
        <v>1</v>
      </c>
      <c r="K10" s="95" t="b">
        <f>COUNTIF(TablaEquipos[Club],TablaCorredores[[#This Row],[Club]])&gt;0</f>
        <v>1</v>
      </c>
    </row>
    <row r="11" spans="1:11" ht="13.5" customHeight="1" x14ac:dyDescent="0.25">
      <c r="A11" s="2">
        <v>7</v>
      </c>
      <c r="B11" s="8">
        <v>1</v>
      </c>
      <c r="C11" s="9">
        <v>7</v>
      </c>
      <c r="D11" s="74" t="s">
        <v>44</v>
      </c>
      <c r="E11" s="1" t="s">
        <v>123</v>
      </c>
      <c r="F11" s="1">
        <v>1900</v>
      </c>
      <c r="G11" s="1" t="s">
        <v>140</v>
      </c>
      <c r="H11" s="1" t="str">
        <f>IF(AND(AND(TablaCorredores[[#This Row],[Año]]&gt;='LAS CATEGORIAS'!C$5,TablaCorredores[[#This Row],[Año]]&lt;='LAS CATEGORIAS'!D$5),OR('LAS CATEGORIAS'!E$5="*",'LAS CATEGORIAS'!E$5=TablaCorredores[[#This Row],[Sexo]])),'LAS CATEGORIAS'!F$5,
 IF(AND(AND(TablaCorredores[[#This Row],[Año]]&gt;='LAS CATEGORIAS'!C$6,TablaCorredores[[#This Row],[Año]]&lt;='LAS CATEGORIAS'!D$6),OR('LAS CATEGORIAS'!E$6="*",'LAS CATEGORIAS'!E$6=TablaCorredores[[#This Row],[Sexo]])),'LAS CATEGORIAS'!F$6,
  IF(AND(AND(TablaCorredores[[#This Row],[Año]]&gt;='LAS CATEGORIAS'!$C15,TablaCorredores[[#This Row],[Año]]&lt;='LAS CATEGORIAS'!D$7),OR('LAS CATEGORIAS'!E$7="*",'LAS CATEGORIAS'!E$7=TablaCorredores[[#This Row],[Sexo]])),'LAS CATEGORIAS'!F$7,
   IF(AND(AND(TablaCorredores[[#This Row],[Año]]&gt;='LAS CATEGORIAS'!C$8,TablaCorredores[[#This Row],[Año]]&lt;='LAS CATEGORIAS'!D$8),OR('LAS CATEGORIAS'!E$8="*",'LAS CATEGORIAS'!E$8=TablaCorredores[[#This Row],[Sexo]])),'LAS CATEGORIAS'!F$8,
    IF(AND(AND(TablaCorredores[[#This Row],[Año]]&gt;='LAS CATEGORIAS'!C$9,TablaCorredores[[#This Row],[Año]]&lt;='LAS CATEGORIAS'!D$9),OR('LAS CATEGORIAS'!E$9="*",'LAS CATEGORIAS'!E$9=TablaCorredores[[#This Row],[Sexo]])),'LAS CATEGORIAS'!F$9,
     IF(AND(AND(TablaCorredores[[#This Row],[Año]]&gt;='LAS CATEGORIAS'!C$10,TablaCorredores[[#This Row],[Año]]&lt;='LAS CATEGORIAS'!D$10),OR('LAS CATEGORIAS'!E$10="*",'LAS CATEGORIAS'!E$10=TablaCorredores[[#This Row],[Sexo]])),'LAS CATEGORIAS'!F$10,
      IF(AND(AND(TablaCorredores[[#This Row],[Año]]&gt;='LAS CATEGORIAS'!C$11,TablaCorredores[[#This Row],[Año]]&lt;='LAS CATEGORIAS'!D$11),OR('LAS CATEGORIAS'!E$11="*",'LAS CATEGORIAS'!E$11=TablaCorredores[[#This Row],[Sexo]])),'LAS CATEGORIAS'!F$11,
        IF(AND(AND(TablaCorredores[[#This Row],[Año]]&gt;='LAS CATEGORIAS'!C$13,TablaCorredores[[#This Row],[Año]]&lt;='LAS CATEGORIAS'!D$13),OR('LAS CATEGORIAS'!E$13="*",'LAS CATEGORIAS'!E$13=TablaCorredores[[#This Row],[Sexo]])),'LAS CATEGORIAS'!F$13,
         IF(AND(AND(TablaCorredores[[#This Row],[Año]]&gt;='LAS CATEGORIAS'!C$14,TablaCorredores[[#This Row],[Año]]&lt;='LAS CATEGORIAS'!D$14),OR('LAS CATEGORIAS'!E$14="*",'LAS CATEGORIAS'!E$14=TablaCorredores[[#This Row],[Sexo]])),'LAS CATEGORIAS'!F$14,
          IF(AND(AND(TablaCorredores[[#This Row],[Año]]&gt;='LAS CATEGORIAS'!C$15,TablaCorredores[[#This Row],[Año]]&lt;='LAS CATEGORIAS'!D$15),OR('LAS CATEGORIAS'!E$15="*",'LAS CATEGORIAS'!E$15=TablaCorredores[[#This Row],[Sexo]])),'LAS CATEGORIAS'!F$15,
           IF(AND(AND(TablaCorredores[[#This Row],[Año]]&gt;='LAS CATEGORIAS'!C$16,TablaCorredores[[#This Row],[Año]]&lt;='LAS CATEGORIAS'!D$16),OR('LAS CATEGORIAS'!E$16="*",'LAS CATEGORIAS'!E$16=TablaCorredores[[#This Row],[Sexo]])),'LAS CATEGORIAS'!F$16,
            IF(AND(AND(TablaCorredores[[#This Row],[Año]]&gt;='LAS CATEGORIAS'!C$17,TablaCorredores[[#This Row],[Año]]&lt;='LAS CATEGORIAS'!D$17),OR('LAS CATEGORIAS'!E$17="*",'LAS CATEGORIAS'!E$17=TablaCorredores[[#This Row],[Sexo]])),'LAS CATEGORIAS'!F$17,
             IF(AND(AND(TablaCorredores[[#This Row],[Año]]&gt;='LAS CATEGORIAS'!C$18,TablaCorredores[[#This Row],[Año]]&lt;='LAS CATEGORIAS'!D$18),OR('LAS CATEGORIAS'!E$18="*",'LAS CATEGORIAS'!E$18=TablaCorredores[[#This Row],[Sexo]])),'LAS CATEGORIAS'!F$18,
              IF(AND(AND(TablaCorredores[[#This Row],[Año]]&gt;='LAS CATEGORIAS'!C$19,TablaCorredores[[#This Row],[Año]]&lt;='LAS CATEGORIAS'!D$19),OR('LAS CATEGORIAS'!E$19="*",'LAS CATEGORIAS'!E$19=TablaCorredores[[#This Row],[Sexo]])),'LAS CATEGORIAS'!F$19,
               IF(AND(AND(TablaCorredores[[#This Row],[Año]]&gt;='LAS CATEGORIAS'!C$20,TablaCorredores[[#This Row],[Año]]&lt;='LAS CATEGORIAS'!D$20),OR('LAS CATEGORIAS'!E$20="*",'LAS CATEGORIAS'!E$20=TablaCorredores[[#This Row],[Sexo]])),'LAS CATEGORIAS'!F$20,"Sin Categoría"
              )
             )
            )
           )
          )
         )
        )
       )
      )
     )
    )
   )
  )
 )
)</f>
        <v>VETERANO FEMENINO</v>
      </c>
      <c r="I11" s="1" t="str">
        <f>VLOOKUP(TablaCorredores[[#This Row],[Categoría]],TablaCategorias[[Categoría]:[Carrera]],2,FALSE)</f>
        <v>CARRERA 8</v>
      </c>
      <c r="J11" s="1" t="s">
        <v>14</v>
      </c>
      <c r="K11" s="95" t="b">
        <f>COUNTIF(TablaEquipos[Club],TablaCorredores[[#This Row],[Club]])&gt;0</f>
        <v>1</v>
      </c>
    </row>
    <row r="12" spans="1:11" ht="13.5" customHeight="1" x14ac:dyDescent="0.25">
      <c r="A12" s="2">
        <v>8</v>
      </c>
      <c r="B12" s="8">
        <v>1</v>
      </c>
      <c r="C12" s="9">
        <v>8</v>
      </c>
      <c r="D12" s="74" t="s">
        <v>45</v>
      </c>
      <c r="E12" s="1" t="s">
        <v>124</v>
      </c>
      <c r="F12" s="1">
        <v>2011</v>
      </c>
      <c r="G12" s="1" t="s">
        <v>141</v>
      </c>
      <c r="H12" s="1" t="str">
        <f>IF(AND(AND(TablaCorredores[[#This Row],[Año]]&gt;='LAS CATEGORIAS'!C$5,TablaCorredores[[#This Row],[Año]]&lt;='LAS CATEGORIAS'!D$5),OR('LAS CATEGORIAS'!E$5="*",'LAS CATEGORIAS'!E$5=TablaCorredores[[#This Row],[Sexo]])),'LAS CATEGORIAS'!F$5,
 IF(AND(AND(TablaCorredores[[#This Row],[Año]]&gt;='LAS CATEGORIAS'!C$6,TablaCorredores[[#This Row],[Año]]&lt;='LAS CATEGORIAS'!D$6),OR('LAS CATEGORIAS'!E$6="*",'LAS CATEGORIAS'!E$6=TablaCorredores[[#This Row],[Sexo]])),'LAS CATEGORIAS'!F$6,
  IF(AND(AND(TablaCorredores[[#This Row],[Año]]&gt;='LAS CATEGORIAS'!$C16,TablaCorredores[[#This Row],[Año]]&lt;='LAS CATEGORIAS'!D$7),OR('LAS CATEGORIAS'!E$7="*",'LAS CATEGORIAS'!E$7=TablaCorredores[[#This Row],[Sexo]])),'LAS CATEGORIAS'!F$7,
   IF(AND(AND(TablaCorredores[[#This Row],[Año]]&gt;='LAS CATEGORIAS'!C$8,TablaCorredores[[#This Row],[Año]]&lt;='LAS CATEGORIAS'!D$8),OR('LAS CATEGORIAS'!E$8="*",'LAS CATEGORIAS'!E$8=TablaCorredores[[#This Row],[Sexo]])),'LAS CATEGORIAS'!F$8,
    IF(AND(AND(TablaCorredores[[#This Row],[Año]]&gt;='LAS CATEGORIAS'!C$9,TablaCorredores[[#This Row],[Año]]&lt;='LAS CATEGORIAS'!D$9),OR('LAS CATEGORIAS'!E$9="*",'LAS CATEGORIAS'!E$9=TablaCorredores[[#This Row],[Sexo]])),'LAS CATEGORIAS'!F$9,
     IF(AND(AND(TablaCorredores[[#This Row],[Año]]&gt;='LAS CATEGORIAS'!C$10,TablaCorredores[[#This Row],[Año]]&lt;='LAS CATEGORIAS'!D$10),OR('LAS CATEGORIAS'!E$10="*",'LAS CATEGORIAS'!E$10=TablaCorredores[[#This Row],[Sexo]])),'LAS CATEGORIAS'!F$10,
      IF(AND(AND(TablaCorredores[[#This Row],[Año]]&gt;='LAS CATEGORIAS'!C$11,TablaCorredores[[#This Row],[Año]]&lt;='LAS CATEGORIAS'!D$11),OR('LAS CATEGORIAS'!E$11="*",'LAS CATEGORIAS'!E$11=TablaCorredores[[#This Row],[Sexo]])),'LAS CATEGORIAS'!F$11,
        IF(AND(AND(TablaCorredores[[#This Row],[Año]]&gt;='LAS CATEGORIAS'!C$13,TablaCorredores[[#This Row],[Año]]&lt;='LAS CATEGORIAS'!D$13),OR('LAS CATEGORIAS'!E$13="*",'LAS CATEGORIAS'!E$13=TablaCorredores[[#This Row],[Sexo]])),'LAS CATEGORIAS'!F$13,
         IF(AND(AND(TablaCorredores[[#This Row],[Año]]&gt;='LAS CATEGORIAS'!C$14,TablaCorredores[[#This Row],[Año]]&lt;='LAS CATEGORIAS'!D$14),OR('LAS CATEGORIAS'!E$14="*",'LAS CATEGORIAS'!E$14=TablaCorredores[[#This Row],[Sexo]])),'LAS CATEGORIAS'!F$14,
          IF(AND(AND(TablaCorredores[[#This Row],[Año]]&gt;='LAS CATEGORIAS'!C$15,TablaCorredores[[#This Row],[Año]]&lt;='LAS CATEGORIAS'!D$15),OR('LAS CATEGORIAS'!E$15="*",'LAS CATEGORIAS'!E$15=TablaCorredores[[#This Row],[Sexo]])),'LAS CATEGORIAS'!F$15,
           IF(AND(AND(TablaCorredores[[#This Row],[Año]]&gt;='LAS CATEGORIAS'!C$16,TablaCorredores[[#This Row],[Año]]&lt;='LAS CATEGORIAS'!D$16),OR('LAS CATEGORIAS'!E$16="*",'LAS CATEGORIAS'!E$16=TablaCorredores[[#This Row],[Sexo]])),'LAS CATEGORIAS'!F$16,
            IF(AND(AND(TablaCorredores[[#This Row],[Año]]&gt;='LAS CATEGORIAS'!C$17,TablaCorredores[[#This Row],[Año]]&lt;='LAS CATEGORIAS'!D$17),OR('LAS CATEGORIAS'!E$17="*",'LAS CATEGORIAS'!E$17=TablaCorredores[[#This Row],[Sexo]])),'LAS CATEGORIAS'!F$17,
             IF(AND(AND(TablaCorredores[[#This Row],[Año]]&gt;='LAS CATEGORIAS'!C$18,TablaCorredores[[#This Row],[Año]]&lt;='LAS CATEGORIAS'!D$18),OR('LAS CATEGORIAS'!E$18="*",'LAS CATEGORIAS'!E$18=TablaCorredores[[#This Row],[Sexo]])),'LAS CATEGORIAS'!F$18,
              IF(AND(AND(TablaCorredores[[#This Row],[Año]]&gt;='LAS CATEGORIAS'!C$19,TablaCorredores[[#This Row],[Año]]&lt;='LAS CATEGORIAS'!D$19),OR('LAS CATEGORIAS'!E$19="*",'LAS CATEGORIAS'!E$19=TablaCorredores[[#This Row],[Sexo]])),'LAS CATEGORIAS'!F$19,
               IF(AND(AND(TablaCorredores[[#This Row],[Año]]&gt;='LAS CATEGORIAS'!C$20,TablaCorredores[[#This Row],[Año]]&lt;='LAS CATEGORIAS'!D$20),OR('LAS CATEGORIAS'!E$20="*",'LAS CATEGORIAS'!E$20=TablaCorredores[[#This Row],[Sexo]])),'LAS CATEGORIAS'!F$20,"Sin Categoría"
              )
             )
            )
           )
          )
         )
        )
       )
      )
     )
    )
   )
  )
 )
)</f>
        <v>PREBENJAMÍN</v>
      </c>
      <c r="I12" s="1" t="str">
        <f>VLOOKUP(TablaCorredores[[#This Row],[Categoría]],TablaCategorias[[Categoría]:[Carrera]],2,FALSE)</f>
        <v>CARRERA 6</v>
      </c>
      <c r="J12" s="1" t="s">
        <v>0</v>
      </c>
      <c r="K12" s="95" t="b">
        <f>COUNTIF(TablaEquipos[Club],TablaCorredores[[#This Row],[Club]])&gt;0</f>
        <v>1</v>
      </c>
    </row>
    <row r="13" spans="1:11" ht="13.5" customHeight="1" x14ac:dyDescent="0.25">
      <c r="A13" s="2">
        <v>9</v>
      </c>
      <c r="B13" s="8">
        <v>1</v>
      </c>
      <c r="C13" s="9">
        <v>9</v>
      </c>
      <c r="D13" s="74" t="s">
        <v>36</v>
      </c>
      <c r="E13" s="1" t="s">
        <v>123</v>
      </c>
      <c r="F13" s="1">
        <v>1900</v>
      </c>
      <c r="G13" s="1" t="s">
        <v>142</v>
      </c>
      <c r="H13" s="1" t="str">
        <f>IF(AND(AND(TablaCorredores[[#This Row],[Año]]&gt;='LAS CATEGORIAS'!C$5,TablaCorredores[[#This Row],[Año]]&lt;='LAS CATEGORIAS'!D$5),OR('LAS CATEGORIAS'!E$5="*",'LAS CATEGORIAS'!E$5=TablaCorredores[[#This Row],[Sexo]])),'LAS CATEGORIAS'!F$5,
 IF(AND(AND(TablaCorredores[[#This Row],[Año]]&gt;='LAS CATEGORIAS'!C$6,TablaCorredores[[#This Row],[Año]]&lt;='LAS CATEGORIAS'!D$6),OR('LAS CATEGORIAS'!E$6="*",'LAS CATEGORIAS'!E$6=TablaCorredores[[#This Row],[Sexo]])),'LAS CATEGORIAS'!F$6,
  IF(AND(AND(TablaCorredores[[#This Row],[Año]]&gt;='LAS CATEGORIAS'!$C17,TablaCorredores[[#This Row],[Año]]&lt;='LAS CATEGORIAS'!D$7),OR('LAS CATEGORIAS'!E$7="*",'LAS CATEGORIAS'!E$7=TablaCorredores[[#This Row],[Sexo]])),'LAS CATEGORIAS'!F$7,
   IF(AND(AND(TablaCorredores[[#This Row],[Año]]&gt;='LAS CATEGORIAS'!C$8,TablaCorredores[[#This Row],[Año]]&lt;='LAS CATEGORIAS'!D$8),OR('LAS CATEGORIAS'!E$8="*",'LAS CATEGORIAS'!E$8=TablaCorredores[[#This Row],[Sexo]])),'LAS CATEGORIAS'!F$8,
    IF(AND(AND(TablaCorredores[[#This Row],[Año]]&gt;='LAS CATEGORIAS'!C$9,TablaCorredores[[#This Row],[Año]]&lt;='LAS CATEGORIAS'!D$9),OR('LAS CATEGORIAS'!E$9="*",'LAS CATEGORIAS'!E$9=TablaCorredores[[#This Row],[Sexo]])),'LAS CATEGORIAS'!F$9,
     IF(AND(AND(TablaCorredores[[#This Row],[Año]]&gt;='LAS CATEGORIAS'!C$10,TablaCorredores[[#This Row],[Año]]&lt;='LAS CATEGORIAS'!D$10),OR('LAS CATEGORIAS'!E$10="*",'LAS CATEGORIAS'!E$10=TablaCorredores[[#This Row],[Sexo]])),'LAS CATEGORIAS'!F$10,
      IF(AND(AND(TablaCorredores[[#This Row],[Año]]&gt;='LAS CATEGORIAS'!C$11,TablaCorredores[[#This Row],[Año]]&lt;='LAS CATEGORIAS'!D$11),OR('LAS CATEGORIAS'!E$11="*",'LAS CATEGORIAS'!E$11=TablaCorredores[[#This Row],[Sexo]])),'LAS CATEGORIAS'!F$11,
        IF(AND(AND(TablaCorredores[[#This Row],[Año]]&gt;='LAS CATEGORIAS'!C$13,TablaCorredores[[#This Row],[Año]]&lt;='LAS CATEGORIAS'!D$13),OR('LAS CATEGORIAS'!E$13="*",'LAS CATEGORIAS'!E$13=TablaCorredores[[#This Row],[Sexo]])),'LAS CATEGORIAS'!F$13,
         IF(AND(AND(TablaCorredores[[#This Row],[Año]]&gt;='LAS CATEGORIAS'!C$14,TablaCorredores[[#This Row],[Año]]&lt;='LAS CATEGORIAS'!D$14),OR('LAS CATEGORIAS'!E$14="*",'LAS CATEGORIAS'!E$14=TablaCorredores[[#This Row],[Sexo]])),'LAS CATEGORIAS'!F$14,
          IF(AND(AND(TablaCorredores[[#This Row],[Año]]&gt;='LAS CATEGORIAS'!C$15,TablaCorredores[[#This Row],[Año]]&lt;='LAS CATEGORIAS'!D$15),OR('LAS CATEGORIAS'!E$15="*",'LAS CATEGORIAS'!E$15=TablaCorredores[[#This Row],[Sexo]])),'LAS CATEGORIAS'!F$15,
           IF(AND(AND(TablaCorredores[[#This Row],[Año]]&gt;='LAS CATEGORIAS'!C$16,TablaCorredores[[#This Row],[Año]]&lt;='LAS CATEGORIAS'!D$16),OR('LAS CATEGORIAS'!E$16="*",'LAS CATEGORIAS'!E$16=TablaCorredores[[#This Row],[Sexo]])),'LAS CATEGORIAS'!F$16,
            IF(AND(AND(TablaCorredores[[#This Row],[Año]]&gt;='LAS CATEGORIAS'!C$17,TablaCorredores[[#This Row],[Año]]&lt;='LAS CATEGORIAS'!D$17),OR('LAS CATEGORIAS'!E$17="*",'LAS CATEGORIAS'!E$17=TablaCorredores[[#This Row],[Sexo]])),'LAS CATEGORIAS'!F$17,
             IF(AND(AND(TablaCorredores[[#This Row],[Año]]&gt;='LAS CATEGORIAS'!C$18,TablaCorredores[[#This Row],[Año]]&lt;='LAS CATEGORIAS'!D$18),OR('LAS CATEGORIAS'!E$18="*",'LAS CATEGORIAS'!E$18=TablaCorredores[[#This Row],[Sexo]])),'LAS CATEGORIAS'!F$18,
              IF(AND(AND(TablaCorredores[[#This Row],[Año]]&gt;='LAS CATEGORIAS'!C$19,TablaCorredores[[#This Row],[Año]]&lt;='LAS CATEGORIAS'!D$19),OR('LAS CATEGORIAS'!E$19="*",'LAS CATEGORIAS'!E$19=TablaCorredores[[#This Row],[Sexo]])),'LAS CATEGORIAS'!F$19,
               IF(AND(AND(TablaCorredores[[#This Row],[Año]]&gt;='LAS CATEGORIAS'!C$20,TablaCorredores[[#This Row],[Año]]&lt;='LAS CATEGORIAS'!D$20),OR('LAS CATEGORIAS'!E$20="*",'LAS CATEGORIAS'!E$20=TablaCorredores[[#This Row],[Sexo]])),'LAS CATEGORIAS'!F$20,"Sin Categoría"
              )
             )
            )
           )
          )
         )
        )
       )
      )
     )
    )
   )
  )
 )
)</f>
        <v>VETERANO FEMENINO</v>
      </c>
      <c r="I13" s="1" t="str">
        <f>VLOOKUP(TablaCorredores[[#This Row],[Categoría]],TablaCategorias[[Categoría]:[Carrera]],2,FALSE)</f>
        <v>CARRERA 8</v>
      </c>
      <c r="J13" s="1" t="s">
        <v>0</v>
      </c>
      <c r="K13" s="95" t="b">
        <f>COUNTIF(TablaEquipos[Club],TablaCorredores[[#This Row],[Club]])&gt;0</f>
        <v>1</v>
      </c>
    </row>
    <row r="14" spans="1:11" ht="13.5" customHeight="1" x14ac:dyDescent="0.25">
      <c r="A14" s="2">
        <v>10</v>
      </c>
      <c r="B14" s="8">
        <v>1</v>
      </c>
      <c r="C14" s="9">
        <v>10</v>
      </c>
      <c r="D14" s="74" t="s">
        <v>41</v>
      </c>
      <c r="E14" s="1" t="s">
        <v>123</v>
      </c>
      <c r="F14" s="1">
        <v>1900</v>
      </c>
      <c r="G14" s="1" t="s">
        <v>135</v>
      </c>
      <c r="H14" s="1" t="str">
        <f>IF(AND(AND(TablaCorredores[[#This Row],[Año]]&gt;='LAS CATEGORIAS'!C$5,TablaCorredores[[#This Row],[Año]]&lt;='LAS CATEGORIAS'!D$5),OR('LAS CATEGORIAS'!E$5="*",'LAS CATEGORIAS'!E$5=TablaCorredores[[#This Row],[Sexo]])),'LAS CATEGORIAS'!F$5,
 IF(AND(AND(TablaCorredores[[#This Row],[Año]]&gt;='LAS CATEGORIAS'!C$6,TablaCorredores[[#This Row],[Año]]&lt;='LAS CATEGORIAS'!D$6),OR('LAS CATEGORIAS'!E$6="*",'LAS CATEGORIAS'!E$6=TablaCorredores[[#This Row],[Sexo]])),'LAS CATEGORIAS'!F$6,
  IF(AND(AND(TablaCorredores[[#This Row],[Año]]&gt;='LAS CATEGORIAS'!$C18,TablaCorredores[[#This Row],[Año]]&lt;='LAS CATEGORIAS'!D$7),OR('LAS CATEGORIAS'!E$7="*",'LAS CATEGORIAS'!E$7=TablaCorredores[[#This Row],[Sexo]])),'LAS CATEGORIAS'!F$7,
   IF(AND(AND(TablaCorredores[[#This Row],[Año]]&gt;='LAS CATEGORIAS'!C$8,TablaCorredores[[#This Row],[Año]]&lt;='LAS CATEGORIAS'!D$8),OR('LAS CATEGORIAS'!E$8="*",'LAS CATEGORIAS'!E$8=TablaCorredores[[#This Row],[Sexo]])),'LAS CATEGORIAS'!F$8,
    IF(AND(AND(TablaCorredores[[#This Row],[Año]]&gt;='LAS CATEGORIAS'!C$9,TablaCorredores[[#This Row],[Año]]&lt;='LAS CATEGORIAS'!D$9),OR('LAS CATEGORIAS'!E$9="*",'LAS CATEGORIAS'!E$9=TablaCorredores[[#This Row],[Sexo]])),'LAS CATEGORIAS'!F$9,
     IF(AND(AND(TablaCorredores[[#This Row],[Año]]&gt;='LAS CATEGORIAS'!C$10,TablaCorredores[[#This Row],[Año]]&lt;='LAS CATEGORIAS'!D$10),OR('LAS CATEGORIAS'!E$10="*",'LAS CATEGORIAS'!E$10=TablaCorredores[[#This Row],[Sexo]])),'LAS CATEGORIAS'!F$10,
      IF(AND(AND(TablaCorredores[[#This Row],[Año]]&gt;='LAS CATEGORIAS'!C$11,TablaCorredores[[#This Row],[Año]]&lt;='LAS CATEGORIAS'!D$11),OR('LAS CATEGORIAS'!E$11="*",'LAS CATEGORIAS'!E$11=TablaCorredores[[#This Row],[Sexo]])),'LAS CATEGORIAS'!F$11,
        IF(AND(AND(TablaCorredores[[#This Row],[Año]]&gt;='LAS CATEGORIAS'!C$13,TablaCorredores[[#This Row],[Año]]&lt;='LAS CATEGORIAS'!D$13),OR('LAS CATEGORIAS'!E$13="*",'LAS CATEGORIAS'!E$13=TablaCorredores[[#This Row],[Sexo]])),'LAS CATEGORIAS'!F$13,
         IF(AND(AND(TablaCorredores[[#This Row],[Año]]&gt;='LAS CATEGORIAS'!C$14,TablaCorredores[[#This Row],[Año]]&lt;='LAS CATEGORIAS'!D$14),OR('LAS CATEGORIAS'!E$14="*",'LAS CATEGORIAS'!E$14=TablaCorredores[[#This Row],[Sexo]])),'LAS CATEGORIAS'!F$14,
          IF(AND(AND(TablaCorredores[[#This Row],[Año]]&gt;='LAS CATEGORIAS'!C$15,TablaCorredores[[#This Row],[Año]]&lt;='LAS CATEGORIAS'!D$15),OR('LAS CATEGORIAS'!E$15="*",'LAS CATEGORIAS'!E$15=TablaCorredores[[#This Row],[Sexo]])),'LAS CATEGORIAS'!F$15,
           IF(AND(AND(TablaCorredores[[#This Row],[Año]]&gt;='LAS CATEGORIAS'!C$16,TablaCorredores[[#This Row],[Año]]&lt;='LAS CATEGORIAS'!D$16),OR('LAS CATEGORIAS'!E$16="*",'LAS CATEGORIAS'!E$16=TablaCorredores[[#This Row],[Sexo]])),'LAS CATEGORIAS'!F$16,
            IF(AND(AND(TablaCorredores[[#This Row],[Año]]&gt;='LAS CATEGORIAS'!C$17,TablaCorredores[[#This Row],[Año]]&lt;='LAS CATEGORIAS'!D$17),OR('LAS CATEGORIAS'!E$17="*",'LAS CATEGORIAS'!E$17=TablaCorredores[[#This Row],[Sexo]])),'LAS CATEGORIAS'!F$17,
             IF(AND(AND(TablaCorredores[[#This Row],[Año]]&gt;='LAS CATEGORIAS'!C$18,TablaCorredores[[#This Row],[Año]]&lt;='LAS CATEGORIAS'!D$18),OR('LAS CATEGORIAS'!E$18="*",'LAS CATEGORIAS'!E$18=TablaCorredores[[#This Row],[Sexo]])),'LAS CATEGORIAS'!F$18,
              IF(AND(AND(TablaCorredores[[#This Row],[Año]]&gt;='LAS CATEGORIAS'!C$19,TablaCorredores[[#This Row],[Año]]&lt;='LAS CATEGORIAS'!D$19),OR('LAS CATEGORIAS'!E$19="*",'LAS CATEGORIAS'!E$19=TablaCorredores[[#This Row],[Sexo]])),'LAS CATEGORIAS'!F$19,
               IF(AND(AND(TablaCorredores[[#This Row],[Año]]&gt;='LAS CATEGORIAS'!C$20,TablaCorredores[[#This Row],[Año]]&lt;='LAS CATEGORIAS'!D$20),OR('LAS CATEGORIAS'!E$20="*",'LAS CATEGORIAS'!E$20=TablaCorredores[[#This Row],[Sexo]])),'LAS CATEGORIAS'!F$20,"Sin Categoría"
              )
             )
            )
           )
          )
         )
        )
       )
      )
     )
    )
   )
  )
 )
)</f>
        <v>VETERANO FEMENINO</v>
      </c>
      <c r="I14" s="1" t="str">
        <f>VLOOKUP(TablaCorredores[[#This Row],[Categoría]],TablaCategorias[[Categoría]:[Carrera]],2,FALSE)</f>
        <v>CARRERA 8</v>
      </c>
      <c r="J14" s="1" t="s">
        <v>0</v>
      </c>
      <c r="K14" s="95" t="b">
        <f>COUNTIF(TablaEquipos[Club],TablaCorredores[[#This Row],[Club]])&gt;0</f>
        <v>1</v>
      </c>
    </row>
    <row r="15" spans="1:11" ht="13.5" customHeight="1" x14ac:dyDescent="0.25">
      <c r="A15" s="2">
        <v>11</v>
      </c>
      <c r="B15" s="8">
        <v>1</v>
      </c>
      <c r="C15" s="27">
        <v>11</v>
      </c>
      <c r="D15" s="75" t="s">
        <v>146</v>
      </c>
      <c r="E15" s="1" t="s">
        <v>123</v>
      </c>
      <c r="F15" s="1">
        <v>1900</v>
      </c>
      <c r="G15" s="1" t="s">
        <v>135</v>
      </c>
      <c r="H15" s="1" t="str">
        <f>IF(AND(AND(TablaCorredores[[#This Row],[Año]]&gt;='LAS CATEGORIAS'!C$5,TablaCorredores[[#This Row],[Año]]&lt;='LAS CATEGORIAS'!D$5),OR('LAS CATEGORIAS'!E$5="*",'LAS CATEGORIAS'!E$5=TablaCorredores[[#This Row],[Sexo]])),'LAS CATEGORIAS'!F$5,
 IF(AND(AND(TablaCorredores[[#This Row],[Año]]&gt;='LAS CATEGORIAS'!C$6,TablaCorredores[[#This Row],[Año]]&lt;='LAS CATEGORIAS'!D$6),OR('LAS CATEGORIAS'!E$6="*",'LAS CATEGORIAS'!E$6=TablaCorredores[[#This Row],[Sexo]])),'LAS CATEGORIAS'!F$6,
  IF(AND(AND(TablaCorredores[[#This Row],[Año]]&gt;='LAS CATEGORIAS'!$C18,TablaCorredores[[#This Row],[Año]]&lt;='LAS CATEGORIAS'!D$7),OR('LAS CATEGORIAS'!E$7="*",'LAS CATEGORIAS'!E$7=TablaCorredores[[#This Row],[Sexo]])),'LAS CATEGORIAS'!F$7,
   IF(AND(AND(TablaCorredores[[#This Row],[Año]]&gt;='LAS CATEGORIAS'!C$8,TablaCorredores[[#This Row],[Año]]&lt;='LAS CATEGORIAS'!D$8),OR('LAS CATEGORIAS'!E$8="*",'LAS CATEGORIAS'!E$8=TablaCorredores[[#This Row],[Sexo]])),'LAS CATEGORIAS'!F$8,
    IF(AND(AND(TablaCorredores[[#This Row],[Año]]&gt;='LAS CATEGORIAS'!C$9,TablaCorredores[[#This Row],[Año]]&lt;='LAS CATEGORIAS'!D$9),OR('LAS CATEGORIAS'!E$9="*",'LAS CATEGORIAS'!E$9=TablaCorredores[[#This Row],[Sexo]])),'LAS CATEGORIAS'!F$9,
     IF(AND(AND(TablaCorredores[[#This Row],[Año]]&gt;='LAS CATEGORIAS'!C$10,TablaCorredores[[#This Row],[Año]]&lt;='LAS CATEGORIAS'!D$10),OR('LAS CATEGORIAS'!E$10="*",'LAS CATEGORIAS'!E$10=TablaCorredores[[#This Row],[Sexo]])),'LAS CATEGORIAS'!F$10,
      IF(AND(AND(TablaCorredores[[#This Row],[Año]]&gt;='LAS CATEGORIAS'!C$11,TablaCorredores[[#This Row],[Año]]&lt;='LAS CATEGORIAS'!D$11),OR('LAS CATEGORIAS'!E$11="*",'LAS CATEGORIAS'!E$11=TablaCorredores[[#This Row],[Sexo]])),'LAS CATEGORIAS'!F$11,
        IF(AND(AND(TablaCorredores[[#This Row],[Año]]&gt;='LAS CATEGORIAS'!C$13,TablaCorredores[[#This Row],[Año]]&lt;='LAS CATEGORIAS'!D$13),OR('LAS CATEGORIAS'!E$13="*",'LAS CATEGORIAS'!E$13=TablaCorredores[[#This Row],[Sexo]])),'LAS CATEGORIAS'!F$13,
         IF(AND(AND(TablaCorredores[[#This Row],[Año]]&gt;='LAS CATEGORIAS'!C$14,TablaCorredores[[#This Row],[Año]]&lt;='LAS CATEGORIAS'!D$14),OR('LAS CATEGORIAS'!E$14="*",'LAS CATEGORIAS'!E$14=TablaCorredores[[#This Row],[Sexo]])),'LAS CATEGORIAS'!F$14,
          IF(AND(AND(TablaCorredores[[#This Row],[Año]]&gt;='LAS CATEGORIAS'!C$15,TablaCorredores[[#This Row],[Año]]&lt;='LAS CATEGORIAS'!D$15),OR('LAS CATEGORIAS'!E$15="*",'LAS CATEGORIAS'!E$15=TablaCorredores[[#This Row],[Sexo]])),'LAS CATEGORIAS'!F$15,
           IF(AND(AND(TablaCorredores[[#This Row],[Año]]&gt;='LAS CATEGORIAS'!C$16,TablaCorredores[[#This Row],[Año]]&lt;='LAS CATEGORIAS'!D$16),OR('LAS CATEGORIAS'!E$16="*",'LAS CATEGORIAS'!E$16=TablaCorredores[[#This Row],[Sexo]])),'LAS CATEGORIAS'!F$16,
            IF(AND(AND(TablaCorredores[[#This Row],[Año]]&gt;='LAS CATEGORIAS'!C$17,TablaCorredores[[#This Row],[Año]]&lt;='LAS CATEGORIAS'!D$17),OR('LAS CATEGORIAS'!E$17="*",'LAS CATEGORIAS'!E$17=TablaCorredores[[#This Row],[Sexo]])),'LAS CATEGORIAS'!F$17,
             IF(AND(AND(TablaCorredores[[#This Row],[Año]]&gt;='LAS CATEGORIAS'!C$18,TablaCorredores[[#This Row],[Año]]&lt;='LAS CATEGORIAS'!D$18),OR('LAS CATEGORIAS'!E$18="*",'LAS CATEGORIAS'!E$18=TablaCorredores[[#This Row],[Sexo]])),'LAS CATEGORIAS'!F$18,
              IF(AND(AND(TablaCorredores[[#This Row],[Año]]&gt;='LAS CATEGORIAS'!C$19,TablaCorredores[[#This Row],[Año]]&lt;='LAS CATEGORIAS'!D$19),OR('LAS CATEGORIAS'!E$19="*",'LAS CATEGORIAS'!E$19=TablaCorredores[[#This Row],[Sexo]])),'LAS CATEGORIAS'!F$19,
               IF(AND(AND(TablaCorredores[[#This Row],[Año]]&gt;='LAS CATEGORIAS'!C$20,TablaCorredores[[#This Row],[Año]]&lt;='LAS CATEGORIAS'!D$20),OR('LAS CATEGORIAS'!E$20="*",'LAS CATEGORIAS'!E$20=TablaCorredores[[#This Row],[Sexo]])),'LAS CATEGORIAS'!F$20,"Sin Categoría"
              )
             )
            )
           )
          )
         )
        )
       )
      )
     )
    )
   )
  )
 )
)</f>
        <v>VETERANO FEMENINO</v>
      </c>
      <c r="I15" s="73" t="str">
        <f>VLOOKUP(TablaCorredores[[#This Row],[Categoría]],TablaCategorias[[Categoría]:[Carrera]],2,FALSE)</f>
        <v>CARRERA 8</v>
      </c>
      <c r="J15" s="1" t="s">
        <v>0</v>
      </c>
      <c r="K15" s="95" t="b">
        <f>COUNTIF(TablaEquipos[Club],TablaCorredores[[#This Row],[Club]])&gt;0</f>
        <v>1</v>
      </c>
    </row>
    <row r="16" spans="1:11" ht="13.5" customHeight="1" x14ac:dyDescent="0.25">
      <c r="A16" s="2">
        <v>12</v>
      </c>
      <c r="B16" s="8">
        <v>1</v>
      </c>
      <c r="C16" s="27">
        <v>12</v>
      </c>
      <c r="D16" s="75" t="s">
        <v>148</v>
      </c>
      <c r="E16" s="1" t="s">
        <v>123</v>
      </c>
      <c r="F16" s="1">
        <v>1900</v>
      </c>
      <c r="G16" s="1" t="s">
        <v>135</v>
      </c>
      <c r="H16" s="1" t="str">
        <f>IF(AND(AND(TablaCorredores[[#This Row],[Año]]&gt;='LAS CATEGORIAS'!C$5,TablaCorredores[[#This Row],[Año]]&lt;='LAS CATEGORIAS'!D$5),OR('LAS CATEGORIAS'!E$5="*",'LAS CATEGORIAS'!E$5=TablaCorredores[[#This Row],[Sexo]])),'LAS CATEGORIAS'!F$5,
 IF(AND(AND(TablaCorredores[[#This Row],[Año]]&gt;='LAS CATEGORIAS'!C$6,TablaCorredores[[#This Row],[Año]]&lt;='LAS CATEGORIAS'!D$6),OR('LAS CATEGORIAS'!E$6="*",'LAS CATEGORIAS'!E$6=TablaCorredores[[#This Row],[Sexo]])),'LAS CATEGORIAS'!F$6,
  IF(AND(AND(TablaCorredores[[#This Row],[Año]]&gt;='LAS CATEGORIAS'!$C19,TablaCorredores[[#This Row],[Año]]&lt;='LAS CATEGORIAS'!D$7),OR('LAS CATEGORIAS'!E$7="*",'LAS CATEGORIAS'!E$7=TablaCorredores[[#This Row],[Sexo]])),'LAS CATEGORIAS'!F$7,
   IF(AND(AND(TablaCorredores[[#This Row],[Año]]&gt;='LAS CATEGORIAS'!C$8,TablaCorredores[[#This Row],[Año]]&lt;='LAS CATEGORIAS'!D$8),OR('LAS CATEGORIAS'!E$8="*",'LAS CATEGORIAS'!E$8=TablaCorredores[[#This Row],[Sexo]])),'LAS CATEGORIAS'!F$8,
    IF(AND(AND(TablaCorredores[[#This Row],[Año]]&gt;='LAS CATEGORIAS'!C$9,TablaCorredores[[#This Row],[Año]]&lt;='LAS CATEGORIAS'!D$9),OR('LAS CATEGORIAS'!E$9="*",'LAS CATEGORIAS'!E$9=TablaCorredores[[#This Row],[Sexo]])),'LAS CATEGORIAS'!F$9,
     IF(AND(AND(TablaCorredores[[#This Row],[Año]]&gt;='LAS CATEGORIAS'!C$10,TablaCorredores[[#This Row],[Año]]&lt;='LAS CATEGORIAS'!D$10),OR('LAS CATEGORIAS'!E$10="*",'LAS CATEGORIAS'!E$10=TablaCorredores[[#This Row],[Sexo]])),'LAS CATEGORIAS'!F$10,
      IF(AND(AND(TablaCorredores[[#This Row],[Año]]&gt;='LAS CATEGORIAS'!C$11,TablaCorredores[[#This Row],[Año]]&lt;='LAS CATEGORIAS'!D$11),OR('LAS CATEGORIAS'!E$11="*",'LAS CATEGORIAS'!E$11=TablaCorredores[[#This Row],[Sexo]])),'LAS CATEGORIAS'!F$11,
        IF(AND(AND(TablaCorredores[[#This Row],[Año]]&gt;='LAS CATEGORIAS'!C$13,TablaCorredores[[#This Row],[Año]]&lt;='LAS CATEGORIAS'!D$13),OR('LAS CATEGORIAS'!E$13="*",'LAS CATEGORIAS'!E$13=TablaCorredores[[#This Row],[Sexo]])),'LAS CATEGORIAS'!F$13,
         IF(AND(AND(TablaCorredores[[#This Row],[Año]]&gt;='LAS CATEGORIAS'!C$14,TablaCorredores[[#This Row],[Año]]&lt;='LAS CATEGORIAS'!D$14),OR('LAS CATEGORIAS'!E$14="*",'LAS CATEGORIAS'!E$14=TablaCorredores[[#This Row],[Sexo]])),'LAS CATEGORIAS'!F$14,
          IF(AND(AND(TablaCorredores[[#This Row],[Año]]&gt;='LAS CATEGORIAS'!C$15,TablaCorredores[[#This Row],[Año]]&lt;='LAS CATEGORIAS'!D$15),OR('LAS CATEGORIAS'!E$15="*",'LAS CATEGORIAS'!E$15=TablaCorredores[[#This Row],[Sexo]])),'LAS CATEGORIAS'!F$15,
           IF(AND(AND(TablaCorredores[[#This Row],[Año]]&gt;='LAS CATEGORIAS'!C$16,TablaCorredores[[#This Row],[Año]]&lt;='LAS CATEGORIAS'!D$16),OR('LAS CATEGORIAS'!E$16="*",'LAS CATEGORIAS'!E$16=TablaCorredores[[#This Row],[Sexo]])),'LAS CATEGORIAS'!F$16,
            IF(AND(AND(TablaCorredores[[#This Row],[Año]]&gt;='LAS CATEGORIAS'!C$17,TablaCorredores[[#This Row],[Año]]&lt;='LAS CATEGORIAS'!D$17),OR('LAS CATEGORIAS'!E$17="*",'LAS CATEGORIAS'!E$17=TablaCorredores[[#This Row],[Sexo]])),'LAS CATEGORIAS'!F$17,
             IF(AND(AND(TablaCorredores[[#This Row],[Año]]&gt;='LAS CATEGORIAS'!C$18,TablaCorredores[[#This Row],[Año]]&lt;='LAS CATEGORIAS'!D$18),OR('LAS CATEGORIAS'!E$18="*",'LAS CATEGORIAS'!E$18=TablaCorredores[[#This Row],[Sexo]])),'LAS CATEGORIAS'!F$18,
              IF(AND(AND(TablaCorredores[[#This Row],[Año]]&gt;='LAS CATEGORIAS'!C$19,TablaCorredores[[#This Row],[Año]]&lt;='LAS CATEGORIAS'!D$19),OR('LAS CATEGORIAS'!E$19="*",'LAS CATEGORIAS'!E$19=TablaCorredores[[#This Row],[Sexo]])),'LAS CATEGORIAS'!F$19,
               IF(AND(AND(TablaCorredores[[#This Row],[Año]]&gt;='LAS CATEGORIAS'!C$20,TablaCorredores[[#This Row],[Año]]&lt;='LAS CATEGORIAS'!D$20),OR('LAS CATEGORIAS'!E$20="*",'LAS CATEGORIAS'!E$20=TablaCorredores[[#This Row],[Sexo]])),'LAS CATEGORIAS'!F$20,"Sin Categoría"
              )
             )
            )
           )
          )
         )
        )
       )
      )
     )
    )
   )
  )
 )
)</f>
        <v>VETERANO FEMENINO</v>
      </c>
      <c r="I16" s="73" t="str">
        <f>VLOOKUP(TablaCorredores[[#This Row],[Categoría]],TablaCategorias[[Categoría]:[Carrera]],2,FALSE)</f>
        <v>CARRERA 8</v>
      </c>
      <c r="J16" s="1" t="s">
        <v>0</v>
      </c>
      <c r="K16" s="95" t="b">
        <f>COUNTIF(TablaEquipos[Club],TablaCorredores[[#This Row],[Club]])&gt;0</f>
        <v>1</v>
      </c>
    </row>
    <row r="17" spans="1:11" ht="13.5" customHeight="1" x14ac:dyDescent="0.25">
      <c r="A17" s="2">
        <v>13</v>
      </c>
      <c r="B17" s="8">
        <v>1</v>
      </c>
      <c r="C17" s="27">
        <v>13</v>
      </c>
      <c r="D17" s="75" t="s">
        <v>149</v>
      </c>
      <c r="E17" s="1" t="s">
        <v>124</v>
      </c>
      <c r="F17" s="1">
        <v>1981</v>
      </c>
      <c r="G17" s="1" t="s">
        <v>135</v>
      </c>
      <c r="H17" s="1" t="str">
        <f>IF(AND(AND(TablaCorredores[[#This Row],[Año]]&gt;='LAS CATEGORIAS'!C$5,TablaCorredores[[#This Row],[Año]]&lt;='LAS CATEGORIAS'!D$5),OR('LAS CATEGORIAS'!E$5="*",'LAS CATEGORIAS'!E$5=TablaCorredores[[#This Row],[Sexo]])),'LAS CATEGORIAS'!F$5,
 IF(AND(AND(TablaCorredores[[#This Row],[Año]]&gt;='LAS CATEGORIAS'!C$6,TablaCorredores[[#This Row],[Año]]&lt;='LAS CATEGORIAS'!D$6),OR('LAS CATEGORIAS'!E$6="*",'LAS CATEGORIAS'!E$6=TablaCorredores[[#This Row],[Sexo]])),'LAS CATEGORIAS'!F$6,
  IF(AND(AND(TablaCorredores[[#This Row],[Año]]&gt;='LAS CATEGORIAS'!$C20,TablaCorredores[[#This Row],[Año]]&lt;='LAS CATEGORIAS'!D$7),OR('LAS CATEGORIAS'!E$7="*",'LAS CATEGORIAS'!E$7=TablaCorredores[[#This Row],[Sexo]])),'LAS CATEGORIAS'!F$7,
   IF(AND(AND(TablaCorredores[[#This Row],[Año]]&gt;='LAS CATEGORIAS'!C$8,TablaCorredores[[#This Row],[Año]]&lt;='LAS CATEGORIAS'!D$8),OR('LAS CATEGORIAS'!E$8="*",'LAS CATEGORIAS'!E$8=TablaCorredores[[#This Row],[Sexo]])),'LAS CATEGORIAS'!F$8,
    IF(AND(AND(TablaCorredores[[#This Row],[Año]]&gt;='LAS CATEGORIAS'!C$9,TablaCorredores[[#This Row],[Año]]&lt;='LAS CATEGORIAS'!D$9),OR('LAS CATEGORIAS'!E$9="*",'LAS CATEGORIAS'!E$9=TablaCorredores[[#This Row],[Sexo]])),'LAS CATEGORIAS'!F$9,
     IF(AND(AND(TablaCorredores[[#This Row],[Año]]&gt;='LAS CATEGORIAS'!C$10,TablaCorredores[[#This Row],[Año]]&lt;='LAS CATEGORIAS'!D$10),OR('LAS CATEGORIAS'!E$10="*",'LAS CATEGORIAS'!E$10=TablaCorredores[[#This Row],[Sexo]])),'LAS CATEGORIAS'!F$10,
      IF(AND(AND(TablaCorredores[[#This Row],[Año]]&gt;='LAS CATEGORIAS'!C$11,TablaCorredores[[#This Row],[Año]]&lt;='LAS CATEGORIAS'!D$11),OR('LAS CATEGORIAS'!E$11="*",'LAS CATEGORIAS'!E$11=TablaCorredores[[#This Row],[Sexo]])),'LAS CATEGORIAS'!F$11,
        IF(AND(AND(TablaCorredores[[#This Row],[Año]]&gt;='LAS CATEGORIAS'!C$13,TablaCorredores[[#This Row],[Año]]&lt;='LAS CATEGORIAS'!D$13),OR('LAS CATEGORIAS'!E$13="*",'LAS CATEGORIAS'!E$13=TablaCorredores[[#This Row],[Sexo]])),'LAS CATEGORIAS'!F$13,
         IF(AND(AND(TablaCorredores[[#This Row],[Año]]&gt;='LAS CATEGORIAS'!C$14,TablaCorredores[[#This Row],[Año]]&lt;='LAS CATEGORIAS'!D$14),OR('LAS CATEGORIAS'!E$14="*",'LAS CATEGORIAS'!E$14=TablaCorredores[[#This Row],[Sexo]])),'LAS CATEGORIAS'!F$14,
          IF(AND(AND(TablaCorredores[[#This Row],[Año]]&gt;='LAS CATEGORIAS'!C$15,TablaCorredores[[#This Row],[Año]]&lt;='LAS CATEGORIAS'!D$15),OR('LAS CATEGORIAS'!E$15="*",'LAS CATEGORIAS'!E$15=TablaCorredores[[#This Row],[Sexo]])),'LAS CATEGORIAS'!F$15,
           IF(AND(AND(TablaCorredores[[#This Row],[Año]]&gt;='LAS CATEGORIAS'!C$16,TablaCorredores[[#This Row],[Año]]&lt;='LAS CATEGORIAS'!D$16),OR('LAS CATEGORIAS'!E$16="*",'LAS CATEGORIAS'!E$16=TablaCorredores[[#This Row],[Sexo]])),'LAS CATEGORIAS'!F$16,
            IF(AND(AND(TablaCorredores[[#This Row],[Año]]&gt;='LAS CATEGORIAS'!C$17,TablaCorredores[[#This Row],[Año]]&lt;='LAS CATEGORIAS'!D$17),OR('LAS CATEGORIAS'!E$17="*",'LAS CATEGORIAS'!E$17=TablaCorredores[[#This Row],[Sexo]])),'LAS CATEGORIAS'!F$17,
             IF(AND(AND(TablaCorredores[[#This Row],[Año]]&gt;='LAS CATEGORIAS'!C$18,TablaCorredores[[#This Row],[Año]]&lt;='LAS CATEGORIAS'!D$18),OR('LAS CATEGORIAS'!E$18="*",'LAS CATEGORIAS'!E$18=TablaCorredores[[#This Row],[Sexo]])),'LAS CATEGORIAS'!F$18,
              IF(AND(AND(TablaCorredores[[#This Row],[Año]]&gt;='LAS CATEGORIAS'!C$19,TablaCorredores[[#This Row],[Año]]&lt;='LAS CATEGORIAS'!D$19),OR('LAS CATEGORIAS'!E$19="*",'LAS CATEGORIAS'!E$19=TablaCorredores[[#This Row],[Sexo]])),'LAS CATEGORIAS'!F$19,
               IF(AND(AND(TablaCorredores[[#This Row],[Año]]&gt;='LAS CATEGORIAS'!C$20,TablaCorredores[[#This Row],[Año]]&lt;='LAS CATEGORIAS'!D$20),OR('LAS CATEGORIAS'!E$20="*",'LAS CATEGORIAS'!E$20=TablaCorredores[[#This Row],[Sexo]])),'LAS CATEGORIAS'!F$20,"Sin Categoría"
              )
             )
            )
           )
          )
         )
        )
       )
      )
     )
    )
   )
  )
 )
)</f>
        <v>SENIOR MASCULINO</v>
      </c>
      <c r="I17" s="73" t="str">
        <f>VLOOKUP(TablaCorredores[[#This Row],[Categoría]],TablaCategorias[[Categoría]:[Carrera]],2,FALSE)</f>
        <v>CARRERA 8</v>
      </c>
      <c r="J17" s="1" t="s">
        <v>0</v>
      </c>
      <c r="K17" s="95" t="b">
        <f>COUNTIF(TablaEquipos[Club],TablaCorredores[[#This Row],[Club]])&gt;0</f>
        <v>1</v>
      </c>
    </row>
    <row r="18" spans="1:11" ht="13.5" customHeight="1" x14ac:dyDescent="0.25">
      <c r="A18" s="2">
        <v>14</v>
      </c>
      <c r="B18" s="8">
        <v>1</v>
      </c>
      <c r="C18" s="27">
        <v>14</v>
      </c>
      <c r="D18" s="75" t="s">
        <v>157</v>
      </c>
      <c r="E18" s="1" t="s">
        <v>123</v>
      </c>
      <c r="F18" s="1">
        <v>1989</v>
      </c>
      <c r="G18" s="1" t="s">
        <v>135</v>
      </c>
      <c r="H18" s="1" t="str">
        <f>IF(AND(AND(TablaCorredores[[#This Row],[Año]]&gt;='LAS CATEGORIAS'!C$5,TablaCorredores[[#This Row],[Año]]&lt;='LAS CATEGORIAS'!D$5),OR('LAS CATEGORIAS'!E$5="*",'LAS CATEGORIAS'!E$5=TablaCorredores[[#This Row],[Sexo]])),'LAS CATEGORIAS'!F$5,
 IF(AND(AND(TablaCorredores[[#This Row],[Año]]&gt;='LAS CATEGORIAS'!C$6,TablaCorredores[[#This Row],[Año]]&lt;='LAS CATEGORIAS'!D$6),OR('LAS CATEGORIAS'!E$6="*",'LAS CATEGORIAS'!E$6=TablaCorredores[[#This Row],[Sexo]])),'LAS CATEGORIAS'!F$6,
  IF(AND(AND(TablaCorredores[[#This Row],[Año]]&gt;='LAS CATEGORIAS'!$C21,TablaCorredores[[#This Row],[Año]]&lt;='LAS CATEGORIAS'!D$7),OR('LAS CATEGORIAS'!E$7="*",'LAS CATEGORIAS'!E$7=TablaCorredores[[#This Row],[Sexo]])),'LAS CATEGORIAS'!F$7,
   IF(AND(AND(TablaCorredores[[#This Row],[Año]]&gt;='LAS CATEGORIAS'!C$8,TablaCorredores[[#This Row],[Año]]&lt;='LAS CATEGORIAS'!D$8),OR('LAS CATEGORIAS'!E$8="*",'LAS CATEGORIAS'!E$8=TablaCorredores[[#This Row],[Sexo]])),'LAS CATEGORIAS'!F$8,
    IF(AND(AND(TablaCorredores[[#This Row],[Año]]&gt;='LAS CATEGORIAS'!C$9,TablaCorredores[[#This Row],[Año]]&lt;='LAS CATEGORIAS'!D$9),OR('LAS CATEGORIAS'!E$9="*",'LAS CATEGORIAS'!E$9=TablaCorredores[[#This Row],[Sexo]])),'LAS CATEGORIAS'!F$9,
     IF(AND(AND(TablaCorredores[[#This Row],[Año]]&gt;='LAS CATEGORIAS'!C$10,TablaCorredores[[#This Row],[Año]]&lt;='LAS CATEGORIAS'!D$10),OR('LAS CATEGORIAS'!E$10="*",'LAS CATEGORIAS'!E$10=TablaCorredores[[#This Row],[Sexo]])),'LAS CATEGORIAS'!F$10,
      IF(AND(AND(TablaCorredores[[#This Row],[Año]]&gt;='LAS CATEGORIAS'!C$11,TablaCorredores[[#This Row],[Año]]&lt;='LAS CATEGORIAS'!D$11),OR('LAS CATEGORIAS'!E$11="*",'LAS CATEGORIAS'!E$11=TablaCorredores[[#This Row],[Sexo]])),'LAS CATEGORIAS'!F$11,
        IF(AND(AND(TablaCorredores[[#This Row],[Año]]&gt;='LAS CATEGORIAS'!C$13,TablaCorredores[[#This Row],[Año]]&lt;='LAS CATEGORIAS'!D$13),OR('LAS CATEGORIAS'!E$13="*",'LAS CATEGORIAS'!E$13=TablaCorredores[[#This Row],[Sexo]])),'LAS CATEGORIAS'!F$13,
         IF(AND(AND(TablaCorredores[[#This Row],[Año]]&gt;='LAS CATEGORIAS'!C$14,TablaCorredores[[#This Row],[Año]]&lt;='LAS CATEGORIAS'!D$14),OR('LAS CATEGORIAS'!E$14="*",'LAS CATEGORIAS'!E$14=TablaCorredores[[#This Row],[Sexo]])),'LAS CATEGORIAS'!F$14,
          IF(AND(AND(TablaCorredores[[#This Row],[Año]]&gt;='LAS CATEGORIAS'!C$15,TablaCorredores[[#This Row],[Año]]&lt;='LAS CATEGORIAS'!D$15),OR('LAS CATEGORIAS'!E$15="*",'LAS CATEGORIAS'!E$15=TablaCorredores[[#This Row],[Sexo]])),'LAS CATEGORIAS'!F$15,
           IF(AND(AND(TablaCorredores[[#This Row],[Año]]&gt;='LAS CATEGORIAS'!C$16,TablaCorredores[[#This Row],[Año]]&lt;='LAS CATEGORIAS'!D$16),OR('LAS CATEGORIAS'!E$16="*",'LAS CATEGORIAS'!E$16=TablaCorredores[[#This Row],[Sexo]])),'LAS CATEGORIAS'!F$16,
            IF(AND(AND(TablaCorredores[[#This Row],[Año]]&gt;='LAS CATEGORIAS'!C$17,TablaCorredores[[#This Row],[Año]]&lt;='LAS CATEGORIAS'!D$17),OR('LAS CATEGORIAS'!E$17="*",'LAS CATEGORIAS'!E$17=TablaCorredores[[#This Row],[Sexo]])),'LAS CATEGORIAS'!F$17,
             IF(AND(AND(TablaCorredores[[#This Row],[Año]]&gt;='LAS CATEGORIAS'!C$18,TablaCorredores[[#This Row],[Año]]&lt;='LAS CATEGORIAS'!D$18),OR('LAS CATEGORIAS'!E$18="*",'LAS CATEGORIAS'!E$18=TablaCorredores[[#This Row],[Sexo]])),'LAS CATEGORIAS'!F$18,
              IF(AND(AND(TablaCorredores[[#This Row],[Año]]&gt;='LAS CATEGORIAS'!C$19,TablaCorredores[[#This Row],[Año]]&lt;='LAS CATEGORIAS'!D$19),OR('LAS CATEGORIAS'!E$19="*",'LAS CATEGORIAS'!E$19=TablaCorredores[[#This Row],[Sexo]])),'LAS CATEGORIAS'!F$19,
               IF(AND(AND(TablaCorredores[[#This Row],[Año]]&gt;='LAS CATEGORIAS'!C$20,TablaCorredores[[#This Row],[Año]]&lt;='LAS CATEGORIAS'!D$20),OR('LAS CATEGORIAS'!E$20="*",'LAS CATEGORIAS'!E$20=TablaCorredores[[#This Row],[Sexo]])),'LAS CATEGORIAS'!F$20,"Sin Categoría"
              )
             )
            )
           )
          )
         )
        )
       )
      )
     )
    )
   )
  )
 )
)</f>
        <v>SENIOR FEMENINO</v>
      </c>
      <c r="I18" s="73" t="str">
        <f>VLOOKUP(TablaCorredores[[#This Row],[Categoría]],TablaCategorias[[Categoría]:[Carrera]],2,FALSE)</f>
        <v>CARRERA 8</v>
      </c>
      <c r="J18" s="1" t="s">
        <v>0</v>
      </c>
      <c r="K18" s="95" t="b">
        <f>COUNTIF(TablaEquipos[Club],TablaCorredores[[#This Row],[Club]])&gt;0</f>
        <v>1</v>
      </c>
    </row>
    <row r="19" spans="1:11" ht="13.5" customHeight="1" x14ac:dyDescent="0.25">
      <c r="A19" s="2">
        <v>15</v>
      </c>
      <c r="B19" s="8">
        <v>1</v>
      </c>
      <c r="C19" s="27">
        <v>15</v>
      </c>
      <c r="D19" s="75" t="s">
        <v>158</v>
      </c>
      <c r="E19" s="1" t="s">
        <v>124</v>
      </c>
      <c r="F19" s="1">
        <v>1971</v>
      </c>
      <c r="G19" s="1" t="s">
        <v>135</v>
      </c>
      <c r="H19" s="1" t="str">
        <f>IF(AND(AND(TablaCorredores[[#This Row],[Año]]&gt;='LAS CATEGORIAS'!C$5,TablaCorredores[[#This Row],[Año]]&lt;='LAS CATEGORIAS'!D$5),OR('LAS CATEGORIAS'!E$5="*",'LAS CATEGORIAS'!E$5=TablaCorredores[[#This Row],[Sexo]])),'LAS CATEGORIAS'!F$5,
 IF(AND(AND(TablaCorredores[[#This Row],[Año]]&gt;='LAS CATEGORIAS'!C$6,TablaCorredores[[#This Row],[Año]]&lt;='LAS CATEGORIAS'!D$6),OR('LAS CATEGORIAS'!E$6="*",'LAS CATEGORIAS'!E$6=TablaCorredores[[#This Row],[Sexo]])),'LAS CATEGORIAS'!F$6,
  IF(AND(AND(TablaCorredores[[#This Row],[Año]]&gt;='LAS CATEGORIAS'!$C22,TablaCorredores[[#This Row],[Año]]&lt;='LAS CATEGORIAS'!D$7),OR('LAS CATEGORIAS'!E$7="*",'LAS CATEGORIAS'!E$7=TablaCorredores[[#This Row],[Sexo]])),'LAS CATEGORIAS'!F$7,
   IF(AND(AND(TablaCorredores[[#This Row],[Año]]&gt;='LAS CATEGORIAS'!C$8,TablaCorredores[[#This Row],[Año]]&lt;='LAS CATEGORIAS'!D$8),OR('LAS CATEGORIAS'!E$8="*",'LAS CATEGORIAS'!E$8=TablaCorredores[[#This Row],[Sexo]])),'LAS CATEGORIAS'!F$8,
    IF(AND(AND(TablaCorredores[[#This Row],[Año]]&gt;='LAS CATEGORIAS'!C$9,TablaCorredores[[#This Row],[Año]]&lt;='LAS CATEGORIAS'!D$9),OR('LAS CATEGORIAS'!E$9="*",'LAS CATEGORIAS'!E$9=TablaCorredores[[#This Row],[Sexo]])),'LAS CATEGORIAS'!F$9,
     IF(AND(AND(TablaCorredores[[#This Row],[Año]]&gt;='LAS CATEGORIAS'!C$10,TablaCorredores[[#This Row],[Año]]&lt;='LAS CATEGORIAS'!D$10),OR('LAS CATEGORIAS'!E$10="*",'LAS CATEGORIAS'!E$10=TablaCorredores[[#This Row],[Sexo]])),'LAS CATEGORIAS'!F$10,
      IF(AND(AND(TablaCorredores[[#This Row],[Año]]&gt;='LAS CATEGORIAS'!C$11,TablaCorredores[[#This Row],[Año]]&lt;='LAS CATEGORIAS'!D$11),OR('LAS CATEGORIAS'!E$11="*",'LAS CATEGORIAS'!E$11=TablaCorredores[[#This Row],[Sexo]])),'LAS CATEGORIAS'!F$11,
        IF(AND(AND(TablaCorredores[[#This Row],[Año]]&gt;='LAS CATEGORIAS'!C$13,TablaCorredores[[#This Row],[Año]]&lt;='LAS CATEGORIAS'!D$13),OR('LAS CATEGORIAS'!E$13="*",'LAS CATEGORIAS'!E$13=TablaCorredores[[#This Row],[Sexo]])),'LAS CATEGORIAS'!F$13,
         IF(AND(AND(TablaCorredores[[#This Row],[Año]]&gt;='LAS CATEGORIAS'!C$14,TablaCorredores[[#This Row],[Año]]&lt;='LAS CATEGORIAS'!D$14),OR('LAS CATEGORIAS'!E$14="*",'LAS CATEGORIAS'!E$14=TablaCorredores[[#This Row],[Sexo]])),'LAS CATEGORIAS'!F$14,
          IF(AND(AND(TablaCorredores[[#This Row],[Año]]&gt;='LAS CATEGORIAS'!C$15,TablaCorredores[[#This Row],[Año]]&lt;='LAS CATEGORIAS'!D$15),OR('LAS CATEGORIAS'!E$15="*",'LAS CATEGORIAS'!E$15=TablaCorredores[[#This Row],[Sexo]])),'LAS CATEGORIAS'!F$15,
           IF(AND(AND(TablaCorredores[[#This Row],[Año]]&gt;='LAS CATEGORIAS'!C$16,TablaCorredores[[#This Row],[Año]]&lt;='LAS CATEGORIAS'!D$16),OR('LAS CATEGORIAS'!E$16="*",'LAS CATEGORIAS'!E$16=TablaCorredores[[#This Row],[Sexo]])),'LAS CATEGORIAS'!F$16,
            IF(AND(AND(TablaCorredores[[#This Row],[Año]]&gt;='LAS CATEGORIAS'!C$17,TablaCorredores[[#This Row],[Año]]&lt;='LAS CATEGORIAS'!D$17),OR('LAS CATEGORIAS'!E$17="*",'LAS CATEGORIAS'!E$17=TablaCorredores[[#This Row],[Sexo]])),'LAS CATEGORIAS'!F$17,
             IF(AND(AND(TablaCorredores[[#This Row],[Año]]&gt;='LAS CATEGORIAS'!C$18,TablaCorredores[[#This Row],[Año]]&lt;='LAS CATEGORIAS'!D$18),OR('LAS CATEGORIAS'!E$18="*",'LAS CATEGORIAS'!E$18=TablaCorredores[[#This Row],[Sexo]])),'LAS CATEGORIAS'!F$18,
              IF(AND(AND(TablaCorredores[[#This Row],[Año]]&gt;='LAS CATEGORIAS'!C$19,TablaCorredores[[#This Row],[Año]]&lt;='LAS CATEGORIAS'!D$19),OR('LAS CATEGORIAS'!E$19="*",'LAS CATEGORIAS'!E$19=TablaCorredores[[#This Row],[Sexo]])),'LAS CATEGORIAS'!F$19,
               IF(AND(AND(TablaCorredores[[#This Row],[Año]]&gt;='LAS CATEGORIAS'!C$20,TablaCorredores[[#This Row],[Año]]&lt;='LAS CATEGORIAS'!D$20),OR('LAS CATEGORIAS'!E$20="*",'LAS CATEGORIAS'!E$20=TablaCorredores[[#This Row],[Sexo]])),'LAS CATEGORIAS'!F$20,"Sin Categoría"
              )
             )
            )
           )
          )
         )
        )
       )
      )
     )
    )
   )
  )
 )
)</f>
        <v>VETERANO MASCULINO</v>
      </c>
      <c r="I19" s="73" t="str">
        <f>VLOOKUP(TablaCorredores[[#This Row],[Categoría]],TablaCategorias[[Categoría]:[Carrera]],2,FALSE)</f>
        <v>CARRERA 8</v>
      </c>
      <c r="J19" s="1" t="s">
        <v>0</v>
      </c>
      <c r="K19" s="95" t="b">
        <f>COUNTIF(TablaEquipos[Club],TablaCorredores[[#This Row],[Club]])&gt;0</f>
        <v>1</v>
      </c>
    </row>
    <row r="20" spans="1:11" ht="13.5" customHeight="1" x14ac:dyDescent="0.25">
      <c r="A20" s="2">
        <v>16</v>
      </c>
      <c r="B20" s="8">
        <v>1</v>
      </c>
      <c r="C20" s="27">
        <v>16</v>
      </c>
      <c r="D20" s="75" t="s">
        <v>159</v>
      </c>
      <c r="E20" s="1" t="s">
        <v>124</v>
      </c>
      <c r="F20" s="1">
        <v>1992</v>
      </c>
      <c r="G20" s="1" t="s">
        <v>135</v>
      </c>
      <c r="H20" s="1" t="str">
        <f>IF(AND(AND(TablaCorredores[[#This Row],[Año]]&gt;='LAS CATEGORIAS'!C$5,TablaCorredores[[#This Row],[Año]]&lt;='LAS CATEGORIAS'!D$5),OR('LAS CATEGORIAS'!E$5="*",'LAS CATEGORIAS'!E$5=TablaCorredores[[#This Row],[Sexo]])),'LAS CATEGORIAS'!F$5,
 IF(AND(AND(TablaCorredores[[#This Row],[Año]]&gt;='LAS CATEGORIAS'!C$6,TablaCorredores[[#This Row],[Año]]&lt;='LAS CATEGORIAS'!D$6),OR('LAS CATEGORIAS'!E$6="*",'LAS CATEGORIAS'!E$6=TablaCorredores[[#This Row],[Sexo]])),'LAS CATEGORIAS'!F$6,
  IF(AND(AND(TablaCorredores[[#This Row],[Año]]&gt;='LAS CATEGORIAS'!$C23,TablaCorredores[[#This Row],[Año]]&lt;='LAS CATEGORIAS'!D$7),OR('LAS CATEGORIAS'!E$7="*",'LAS CATEGORIAS'!E$7=TablaCorredores[[#This Row],[Sexo]])),'LAS CATEGORIAS'!F$7,
   IF(AND(AND(TablaCorredores[[#This Row],[Año]]&gt;='LAS CATEGORIAS'!C$8,TablaCorredores[[#This Row],[Año]]&lt;='LAS CATEGORIAS'!D$8),OR('LAS CATEGORIAS'!E$8="*",'LAS CATEGORIAS'!E$8=TablaCorredores[[#This Row],[Sexo]])),'LAS CATEGORIAS'!F$8,
    IF(AND(AND(TablaCorredores[[#This Row],[Año]]&gt;='LAS CATEGORIAS'!C$9,TablaCorredores[[#This Row],[Año]]&lt;='LAS CATEGORIAS'!D$9),OR('LAS CATEGORIAS'!E$9="*",'LAS CATEGORIAS'!E$9=TablaCorredores[[#This Row],[Sexo]])),'LAS CATEGORIAS'!F$9,
     IF(AND(AND(TablaCorredores[[#This Row],[Año]]&gt;='LAS CATEGORIAS'!C$10,TablaCorredores[[#This Row],[Año]]&lt;='LAS CATEGORIAS'!D$10),OR('LAS CATEGORIAS'!E$10="*",'LAS CATEGORIAS'!E$10=TablaCorredores[[#This Row],[Sexo]])),'LAS CATEGORIAS'!F$10,
      IF(AND(AND(TablaCorredores[[#This Row],[Año]]&gt;='LAS CATEGORIAS'!C$11,TablaCorredores[[#This Row],[Año]]&lt;='LAS CATEGORIAS'!D$11),OR('LAS CATEGORIAS'!E$11="*",'LAS CATEGORIAS'!E$11=TablaCorredores[[#This Row],[Sexo]])),'LAS CATEGORIAS'!F$11,
        IF(AND(AND(TablaCorredores[[#This Row],[Año]]&gt;='LAS CATEGORIAS'!C$13,TablaCorredores[[#This Row],[Año]]&lt;='LAS CATEGORIAS'!D$13),OR('LAS CATEGORIAS'!E$13="*",'LAS CATEGORIAS'!E$13=TablaCorredores[[#This Row],[Sexo]])),'LAS CATEGORIAS'!F$13,
         IF(AND(AND(TablaCorredores[[#This Row],[Año]]&gt;='LAS CATEGORIAS'!C$14,TablaCorredores[[#This Row],[Año]]&lt;='LAS CATEGORIAS'!D$14),OR('LAS CATEGORIAS'!E$14="*",'LAS CATEGORIAS'!E$14=TablaCorredores[[#This Row],[Sexo]])),'LAS CATEGORIAS'!F$14,
          IF(AND(AND(TablaCorredores[[#This Row],[Año]]&gt;='LAS CATEGORIAS'!C$15,TablaCorredores[[#This Row],[Año]]&lt;='LAS CATEGORIAS'!D$15),OR('LAS CATEGORIAS'!E$15="*",'LAS CATEGORIAS'!E$15=TablaCorredores[[#This Row],[Sexo]])),'LAS CATEGORIAS'!F$15,
           IF(AND(AND(TablaCorredores[[#This Row],[Año]]&gt;='LAS CATEGORIAS'!C$16,TablaCorredores[[#This Row],[Año]]&lt;='LAS CATEGORIAS'!D$16),OR('LAS CATEGORIAS'!E$16="*",'LAS CATEGORIAS'!E$16=TablaCorredores[[#This Row],[Sexo]])),'LAS CATEGORIAS'!F$16,
            IF(AND(AND(TablaCorredores[[#This Row],[Año]]&gt;='LAS CATEGORIAS'!C$17,TablaCorredores[[#This Row],[Año]]&lt;='LAS CATEGORIAS'!D$17),OR('LAS CATEGORIAS'!E$17="*",'LAS CATEGORIAS'!E$17=TablaCorredores[[#This Row],[Sexo]])),'LAS CATEGORIAS'!F$17,
             IF(AND(AND(TablaCorredores[[#This Row],[Año]]&gt;='LAS CATEGORIAS'!C$18,TablaCorredores[[#This Row],[Año]]&lt;='LAS CATEGORIAS'!D$18),OR('LAS CATEGORIAS'!E$18="*",'LAS CATEGORIAS'!E$18=TablaCorredores[[#This Row],[Sexo]])),'LAS CATEGORIAS'!F$18,
              IF(AND(AND(TablaCorredores[[#This Row],[Año]]&gt;='LAS CATEGORIAS'!C$19,TablaCorredores[[#This Row],[Año]]&lt;='LAS CATEGORIAS'!D$19),OR('LAS CATEGORIAS'!E$19="*",'LAS CATEGORIAS'!E$19=TablaCorredores[[#This Row],[Sexo]])),'LAS CATEGORIAS'!F$19,
               IF(AND(AND(TablaCorredores[[#This Row],[Año]]&gt;='LAS CATEGORIAS'!C$20,TablaCorredores[[#This Row],[Año]]&lt;='LAS CATEGORIAS'!D$20),OR('LAS CATEGORIAS'!E$20="*",'LAS CATEGORIAS'!E$20=TablaCorredores[[#This Row],[Sexo]])),'LAS CATEGORIAS'!F$20,"Sin Categoría"
              )
             )
            )
           )
          )
         )
        )
       )
      )
     )
    )
   )
  )
 )
)</f>
        <v>SENIOR MASCULINO</v>
      </c>
      <c r="I20" s="73" t="str">
        <f>VLOOKUP(TablaCorredores[[#This Row],[Categoría]],TablaCategorias[[Categoría]:[Carrera]],2,FALSE)</f>
        <v>CARRERA 8</v>
      </c>
      <c r="J20" s="1" t="s">
        <v>0</v>
      </c>
      <c r="K20" s="95" t="b">
        <f>COUNTIF(TablaEquipos[Club],TablaCorredores[[#This Row],[Club]])&gt;0</f>
        <v>1</v>
      </c>
    </row>
    <row r="21" spans="1:11" ht="13.5" customHeight="1" x14ac:dyDescent="0.25">
      <c r="A21" s="2">
        <v>17</v>
      </c>
      <c r="B21" s="8">
        <v>1</v>
      </c>
      <c r="C21" s="27">
        <v>17</v>
      </c>
      <c r="D21" s="75" t="s">
        <v>177</v>
      </c>
      <c r="E21" s="1" t="s">
        <v>124</v>
      </c>
      <c r="F21" s="1">
        <v>2011</v>
      </c>
      <c r="G21" s="1" t="s">
        <v>135</v>
      </c>
      <c r="H21" s="1" t="str">
        <f>IF(AND(AND(TablaCorredores[[#This Row],[Año]]&gt;='LAS CATEGORIAS'!C$5,TablaCorredores[[#This Row],[Año]]&lt;='LAS CATEGORIAS'!D$5),OR('LAS CATEGORIAS'!E$5="*",'LAS CATEGORIAS'!E$5=TablaCorredores[[#This Row],[Sexo]])),'LAS CATEGORIAS'!F$5,
 IF(AND(AND(TablaCorredores[[#This Row],[Año]]&gt;='LAS CATEGORIAS'!C$6,TablaCorredores[[#This Row],[Año]]&lt;='LAS CATEGORIAS'!D$6),OR('LAS CATEGORIAS'!E$6="*",'LAS CATEGORIAS'!E$6=TablaCorredores[[#This Row],[Sexo]])),'LAS CATEGORIAS'!F$6,
  IF(AND(AND(TablaCorredores[[#This Row],[Año]]&gt;='LAS CATEGORIAS'!$C24,TablaCorredores[[#This Row],[Año]]&lt;='LAS CATEGORIAS'!D$7),OR('LAS CATEGORIAS'!E$7="*",'LAS CATEGORIAS'!E$7=TablaCorredores[[#This Row],[Sexo]])),'LAS CATEGORIAS'!F$7,
   IF(AND(AND(TablaCorredores[[#This Row],[Año]]&gt;='LAS CATEGORIAS'!C$8,TablaCorredores[[#This Row],[Año]]&lt;='LAS CATEGORIAS'!D$8),OR('LAS CATEGORIAS'!E$8="*",'LAS CATEGORIAS'!E$8=TablaCorredores[[#This Row],[Sexo]])),'LAS CATEGORIAS'!F$8,
    IF(AND(AND(TablaCorredores[[#This Row],[Año]]&gt;='LAS CATEGORIAS'!C$9,TablaCorredores[[#This Row],[Año]]&lt;='LAS CATEGORIAS'!D$9),OR('LAS CATEGORIAS'!E$9="*",'LAS CATEGORIAS'!E$9=TablaCorredores[[#This Row],[Sexo]])),'LAS CATEGORIAS'!F$9,
     IF(AND(AND(TablaCorredores[[#This Row],[Año]]&gt;='LAS CATEGORIAS'!C$10,TablaCorredores[[#This Row],[Año]]&lt;='LAS CATEGORIAS'!D$10),OR('LAS CATEGORIAS'!E$10="*",'LAS CATEGORIAS'!E$10=TablaCorredores[[#This Row],[Sexo]])),'LAS CATEGORIAS'!F$10,
      IF(AND(AND(TablaCorredores[[#This Row],[Año]]&gt;='LAS CATEGORIAS'!C$11,TablaCorredores[[#This Row],[Año]]&lt;='LAS CATEGORIAS'!D$11),OR('LAS CATEGORIAS'!E$11="*",'LAS CATEGORIAS'!E$11=TablaCorredores[[#This Row],[Sexo]])),'LAS CATEGORIAS'!F$11,
        IF(AND(AND(TablaCorredores[[#This Row],[Año]]&gt;='LAS CATEGORIAS'!C$13,TablaCorredores[[#This Row],[Año]]&lt;='LAS CATEGORIAS'!D$13),OR('LAS CATEGORIAS'!E$13="*",'LAS CATEGORIAS'!E$13=TablaCorredores[[#This Row],[Sexo]])),'LAS CATEGORIAS'!F$13,
         IF(AND(AND(TablaCorredores[[#This Row],[Año]]&gt;='LAS CATEGORIAS'!C$14,TablaCorredores[[#This Row],[Año]]&lt;='LAS CATEGORIAS'!D$14),OR('LAS CATEGORIAS'!E$14="*",'LAS CATEGORIAS'!E$14=TablaCorredores[[#This Row],[Sexo]])),'LAS CATEGORIAS'!F$14,
          IF(AND(AND(TablaCorredores[[#This Row],[Año]]&gt;='LAS CATEGORIAS'!C$15,TablaCorredores[[#This Row],[Año]]&lt;='LAS CATEGORIAS'!D$15),OR('LAS CATEGORIAS'!E$15="*",'LAS CATEGORIAS'!E$15=TablaCorredores[[#This Row],[Sexo]])),'LAS CATEGORIAS'!F$15,
           IF(AND(AND(TablaCorredores[[#This Row],[Año]]&gt;='LAS CATEGORIAS'!C$16,TablaCorredores[[#This Row],[Año]]&lt;='LAS CATEGORIAS'!D$16),OR('LAS CATEGORIAS'!E$16="*",'LAS CATEGORIAS'!E$16=TablaCorredores[[#This Row],[Sexo]])),'LAS CATEGORIAS'!F$16,
            IF(AND(AND(TablaCorredores[[#This Row],[Año]]&gt;='LAS CATEGORIAS'!C$17,TablaCorredores[[#This Row],[Año]]&lt;='LAS CATEGORIAS'!D$17),OR('LAS CATEGORIAS'!E$17="*",'LAS CATEGORIAS'!E$17=TablaCorredores[[#This Row],[Sexo]])),'LAS CATEGORIAS'!F$17,
             IF(AND(AND(TablaCorredores[[#This Row],[Año]]&gt;='LAS CATEGORIAS'!C$18,TablaCorredores[[#This Row],[Año]]&lt;='LAS CATEGORIAS'!D$18),OR('LAS CATEGORIAS'!E$18="*",'LAS CATEGORIAS'!E$18=TablaCorredores[[#This Row],[Sexo]])),'LAS CATEGORIAS'!F$18,
              IF(AND(AND(TablaCorredores[[#This Row],[Año]]&gt;='LAS CATEGORIAS'!C$19,TablaCorredores[[#This Row],[Año]]&lt;='LAS CATEGORIAS'!D$19),OR('LAS CATEGORIAS'!E$19="*",'LAS CATEGORIAS'!E$19=TablaCorredores[[#This Row],[Sexo]])),'LAS CATEGORIAS'!F$19,
               IF(AND(AND(TablaCorredores[[#This Row],[Año]]&gt;='LAS CATEGORIAS'!C$20,TablaCorredores[[#This Row],[Año]]&lt;='LAS CATEGORIAS'!D$20),OR('LAS CATEGORIAS'!E$20="*",'LAS CATEGORIAS'!E$20=TablaCorredores[[#This Row],[Sexo]])),'LAS CATEGORIAS'!F$20,"Sin Categoría"
              )
             )
            )
           )
          )
         )
        )
       )
      )
     )
    )
   )
  )
 )
)</f>
        <v>PREBENJAMÍN</v>
      </c>
      <c r="I21" s="73" t="str">
        <f>VLOOKUP(TablaCorredores[[#This Row],[Categoría]],TablaCategorias[[Categoría]:[Carrera]],2,FALSE)</f>
        <v>CARRERA 6</v>
      </c>
      <c r="J21" s="1" t="s">
        <v>0</v>
      </c>
      <c r="K21" s="111" t="b">
        <f>COUNTIF(TablaEquipos[Club],TablaCorredores[[#This Row],[Club]])&gt;0</f>
        <v>1</v>
      </c>
    </row>
    <row r="22" spans="1:11" ht="13.5" customHeight="1" x14ac:dyDescent="0.25">
      <c r="A22" s="2">
        <v>18</v>
      </c>
      <c r="B22" s="8">
        <v>1</v>
      </c>
      <c r="C22" s="27">
        <v>19</v>
      </c>
      <c r="D22" s="75" t="s">
        <v>178</v>
      </c>
      <c r="E22" s="1" t="s">
        <v>124</v>
      </c>
      <c r="F22" s="1">
        <v>2011</v>
      </c>
      <c r="G22" s="1" t="s">
        <v>135</v>
      </c>
      <c r="H22" s="1" t="str">
        <f>IF(AND(AND(TablaCorredores[[#This Row],[Año]]&gt;='LAS CATEGORIAS'!C$5,TablaCorredores[[#This Row],[Año]]&lt;='LAS CATEGORIAS'!D$5),OR('LAS CATEGORIAS'!E$5="*",'LAS CATEGORIAS'!E$5=TablaCorredores[[#This Row],[Sexo]])),'LAS CATEGORIAS'!F$5,
 IF(AND(AND(TablaCorredores[[#This Row],[Año]]&gt;='LAS CATEGORIAS'!C$6,TablaCorredores[[#This Row],[Año]]&lt;='LAS CATEGORIAS'!D$6),OR('LAS CATEGORIAS'!E$6="*",'LAS CATEGORIAS'!E$6=TablaCorredores[[#This Row],[Sexo]])),'LAS CATEGORIAS'!F$6,
  IF(AND(AND(TablaCorredores[[#This Row],[Año]]&gt;='LAS CATEGORIAS'!$C25,TablaCorredores[[#This Row],[Año]]&lt;='LAS CATEGORIAS'!D$7),OR('LAS CATEGORIAS'!E$7="*",'LAS CATEGORIAS'!E$7=TablaCorredores[[#This Row],[Sexo]])),'LAS CATEGORIAS'!F$7,
   IF(AND(AND(TablaCorredores[[#This Row],[Año]]&gt;='LAS CATEGORIAS'!C$8,TablaCorredores[[#This Row],[Año]]&lt;='LAS CATEGORIAS'!D$8),OR('LAS CATEGORIAS'!E$8="*",'LAS CATEGORIAS'!E$8=TablaCorredores[[#This Row],[Sexo]])),'LAS CATEGORIAS'!F$8,
    IF(AND(AND(TablaCorredores[[#This Row],[Año]]&gt;='LAS CATEGORIAS'!C$9,TablaCorredores[[#This Row],[Año]]&lt;='LAS CATEGORIAS'!D$9),OR('LAS CATEGORIAS'!E$9="*",'LAS CATEGORIAS'!E$9=TablaCorredores[[#This Row],[Sexo]])),'LAS CATEGORIAS'!F$9,
     IF(AND(AND(TablaCorredores[[#This Row],[Año]]&gt;='LAS CATEGORIAS'!C$10,TablaCorredores[[#This Row],[Año]]&lt;='LAS CATEGORIAS'!D$10),OR('LAS CATEGORIAS'!E$10="*",'LAS CATEGORIAS'!E$10=TablaCorredores[[#This Row],[Sexo]])),'LAS CATEGORIAS'!F$10,
      IF(AND(AND(TablaCorredores[[#This Row],[Año]]&gt;='LAS CATEGORIAS'!C$11,TablaCorredores[[#This Row],[Año]]&lt;='LAS CATEGORIAS'!D$11),OR('LAS CATEGORIAS'!E$11="*",'LAS CATEGORIAS'!E$11=TablaCorredores[[#This Row],[Sexo]])),'LAS CATEGORIAS'!F$11,
        IF(AND(AND(TablaCorredores[[#This Row],[Año]]&gt;='LAS CATEGORIAS'!C$13,TablaCorredores[[#This Row],[Año]]&lt;='LAS CATEGORIAS'!D$13),OR('LAS CATEGORIAS'!E$13="*",'LAS CATEGORIAS'!E$13=TablaCorredores[[#This Row],[Sexo]])),'LAS CATEGORIAS'!F$13,
         IF(AND(AND(TablaCorredores[[#This Row],[Año]]&gt;='LAS CATEGORIAS'!C$14,TablaCorredores[[#This Row],[Año]]&lt;='LAS CATEGORIAS'!D$14),OR('LAS CATEGORIAS'!E$14="*",'LAS CATEGORIAS'!E$14=TablaCorredores[[#This Row],[Sexo]])),'LAS CATEGORIAS'!F$14,
          IF(AND(AND(TablaCorredores[[#This Row],[Año]]&gt;='LAS CATEGORIAS'!C$15,TablaCorredores[[#This Row],[Año]]&lt;='LAS CATEGORIAS'!D$15),OR('LAS CATEGORIAS'!E$15="*",'LAS CATEGORIAS'!E$15=TablaCorredores[[#This Row],[Sexo]])),'LAS CATEGORIAS'!F$15,
           IF(AND(AND(TablaCorredores[[#This Row],[Año]]&gt;='LAS CATEGORIAS'!C$16,TablaCorredores[[#This Row],[Año]]&lt;='LAS CATEGORIAS'!D$16),OR('LAS CATEGORIAS'!E$16="*",'LAS CATEGORIAS'!E$16=TablaCorredores[[#This Row],[Sexo]])),'LAS CATEGORIAS'!F$16,
            IF(AND(AND(TablaCorredores[[#This Row],[Año]]&gt;='LAS CATEGORIAS'!C$17,TablaCorredores[[#This Row],[Año]]&lt;='LAS CATEGORIAS'!D$17),OR('LAS CATEGORIAS'!E$17="*",'LAS CATEGORIAS'!E$17=TablaCorredores[[#This Row],[Sexo]])),'LAS CATEGORIAS'!F$17,
             IF(AND(AND(TablaCorredores[[#This Row],[Año]]&gt;='LAS CATEGORIAS'!C$18,TablaCorredores[[#This Row],[Año]]&lt;='LAS CATEGORIAS'!D$18),OR('LAS CATEGORIAS'!E$18="*",'LAS CATEGORIAS'!E$18=TablaCorredores[[#This Row],[Sexo]])),'LAS CATEGORIAS'!F$18,
              IF(AND(AND(TablaCorredores[[#This Row],[Año]]&gt;='LAS CATEGORIAS'!C$19,TablaCorredores[[#This Row],[Año]]&lt;='LAS CATEGORIAS'!D$19),OR('LAS CATEGORIAS'!E$19="*",'LAS CATEGORIAS'!E$19=TablaCorredores[[#This Row],[Sexo]])),'LAS CATEGORIAS'!F$19,
               IF(AND(AND(TablaCorredores[[#This Row],[Año]]&gt;='LAS CATEGORIAS'!C$20,TablaCorredores[[#This Row],[Año]]&lt;='LAS CATEGORIAS'!D$20),OR('LAS CATEGORIAS'!E$20="*",'LAS CATEGORIAS'!E$20=TablaCorredores[[#This Row],[Sexo]])),'LAS CATEGORIAS'!F$20,"Sin Categoría"
              )
             )
            )
           )
          )
         )
        )
       )
      )
     )
    )
   )
  )
 )
)</f>
        <v>PREBENJAMÍN</v>
      </c>
      <c r="I22" s="73" t="str">
        <f>VLOOKUP(TablaCorredores[[#This Row],[Categoría]],TablaCategorias[[Categoría]:[Carrera]],2,FALSE)</f>
        <v>CARRERA 6</v>
      </c>
      <c r="J22" s="1" t="s">
        <v>0</v>
      </c>
      <c r="K22" s="111" t="b">
        <f>COUNTIF(TablaEquipos[Club],TablaCorredores[[#This Row],[Club]])&gt;0</f>
        <v>1</v>
      </c>
    </row>
    <row r="23" spans="1:11" ht="13.5" customHeight="1" x14ac:dyDescent="0.25">
      <c r="A23" s="2">
        <v>19</v>
      </c>
      <c r="B23" s="8">
        <v>1</v>
      </c>
      <c r="C23" s="27">
        <v>23</v>
      </c>
      <c r="D23" s="75" t="s">
        <v>179</v>
      </c>
      <c r="E23" s="1" t="s">
        <v>124</v>
      </c>
      <c r="F23" s="1">
        <v>2011</v>
      </c>
      <c r="G23" s="1" t="s">
        <v>135</v>
      </c>
      <c r="H23" s="1" t="str">
        <f>IF(AND(AND(TablaCorredores[[#This Row],[Año]]&gt;='LAS CATEGORIAS'!C$5,TablaCorredores[[#This Row],[Año]]&lt;='LAS CATEGORIAS'!D$5),OR('LAS CATEGORIAS'!E$5="*",'LAS CATEGORIAS'!E$5=TablaCorredores[[#This Row],[Sexo]])),'LAS CATEGORIAS'!F$5,
 IF(AND(AND(TablaCorredores[[#This Row],[Año]]&gt;='LAS CATEGORIAS'!C$6,TablaCorredores[[#This Row],[Año]]&lt;='LAS CATEGORIAS'!D$6),OR('LAS CATEGORIAS'!E$6="*",'LAS CATEGORIAS'!E$6=TablaCorredores[[#This Row],[Sexo]])),'LAS CATEGORIAS'!F$6,
  IF(AND(AND(TablaCorredores[[#This Row],[Año]]&gt;='LAS CATEGORIAS'!$C26,TablaCorredores[[#This Row],[Año]]&lt;='LAS CATEGORIAS'!D$7),OR('LAS CATEGORIAS'!E$7="*",'LAS CATEGORIAS'!E$7=TablaCorredores[[#This Row],[Sexo]])),'LAS CATEGORIAS'!F$7,
   IF(AND(AND(TablaCorredores[[#This Row],[Año]]&gt;='LAS CATEGORIAS'!C$8,TablaCorredores[[#This Row],[Año]]&lt;='LAS CATEGORIAS'!D$8),OR('LAS CATEGORIAS'!E$8="*",'LAS CATEGORIAS'!E$8=TablaCorredores[[#This Row],[Sexo]])),'LAS CATEGORIAS'!F$8,
    IF(AND(AND(TablaCorredores[[#This Row],[Año]]&gt;='LAS CATEGORIAS'!C$9,TablaCorredores[[#This Row],[Año]]&lt;='LAS CATEGORIAS'!D$9),OR('LAS CATEGORIAS'!E$9="*",'LAS CATEGORIAS'!E$9=TablaCorredores[[#This Row],[Sexo]])),'LAS CATEGORIAS'!F$9,
     IF(AND(AND(TablaCorredores[[#This Row],[Año]]&gt;='LAS CATEGORIAS'!C$10,TablaCorredores[[#This Row],[Año]]&lt;='LAS CATEGORIAS'!D$10),OR('LAS CATEGORIAS'!E$10="*",'LAS CATEGORIAS'!E$10=TablaCorredores[[#This Row],[Sexo]])),'LAS CATEGORIAS'!F$10,
      IF(AND(AND(TablaCorredores[[#This Row],[Año]]&gt;='LAS CATEGORIAS'!C$11,TablaCorredores[[#This Row],[Año]]&lt;='LAS CATEGORIAS'!D$11),OR('LAS CATEGORIAS'!E$11="*",'LAS CATEGORIAS'!E$11=TablaCorredores[[#This Row],[Sexo]])),'LAS CATEGORIAS'!F$11,
        IF(AND(AND(TablaCorredores[[#This Row],[Año]]&gt;='LAS CATEGORIAS'!C$13,TablaCorredores[[#This Row],[Año]]&lt;='LAS CATEGORIAS'!D$13),OR('LAS CATEGORIAS'!E$13="*",'LAS CATEGORIAS'!E$13=TablaCorredores[[#This Row],[Sexo]])),'LAS CATEGORIAS'!F$13,
         IF(AND(AND(TablaCorredores[[#This Row],[Año]]&gt;='LAS CATEGORIAS'!C$14,TablaCorredores[[#This Row],[Año]]&lt;='LAS CATEGORIAS'!D$14),OR('LAS CATEGORIAS'!E$14="*",'LAS CATEGORIAS'!E$14=TablaCorredores[[#This Row],[Sexo]])),'LAS CATEGORIAS'!F$14,
          IF(AND(AND(TablaCorredores[[#This Row],[Año]]&gt;='LAS CATEGORIAS'!C$15,TablaCorredores[[#This Row],[Año]]&lt;='LAS CATEGORIAS'!D$15),OR('LAS CATEGORIAS'!E$15="*",'LAS CATEGORIAS'!E$15=TablaCorredores[[#This Row],[Sexo]])),'LAS CATEGORIAS'!F$15,
           IF(AND(AND(TablaCorredores[[#This Row],[Año]]&gt;='LAS CATEGORIAS'!C$16,TablaCorredores[[#This Row],[Año]]&lt;='LAS CATEGORIAS'!D$16),OR('LAS CATEGORIAS'!E$16="*",'LAS CATEGORIAS'!E$16=TablaCorredores[[#This Row],[Sexo]])),'LAS CATEGORIAS'!F$16,
            IF(AND(AND(TablaCorredores[[#This Row],[Año]]&gt;='LAS CATEGORIAS'!C$17,TablaCorredores[[#This Row],[Año]]&lt;='LAS CATEGORIAS'!D$17),OR('LAS CATEGORIAS'!E$17="*",'LAS CATEGORIAS'!E$17=TablaCorredores[[#This Row],[Sexo]])),'LAS CATEGORIAS'!F$17,
             IF(AND(AND(TablaCorredores[[#This Row],[Año]]&gt;='LAS CATEGORIAS'!C$18,TablaCorredores[[#This Row],[Año]]&lt;='LAS CATEGORIAS'!D$18),OR('LAS CATEGORIAS'!E$18="*",'LAS CATEGORIAS'!E$18=TablaCorredores[[#This Row],[Sexo]])),'LAS CATEGORIAS'!F$18,
              IF(AND(AND(TablaCorredores[[#This Row],[Año]]&gt;='LAS CATEGORIAS'!C$19,TablaCorredores[[#This Row],[Año]]&lt;='LAS CATEGORIAS'!D$19),OR('LAS CATEGORIAS'!E$19="*",'LAS CATEGORIAS'!E$19=TablaCorredores[[#This Row],[Sexo]])),'LAS CATEGORIAS'!F$19,
               IF(AND(AND(TablaCorredores[[#This Row],[Año]]&gt;='LAS CATEGORIAS'!C$20,TablaCorredores[[#This Row],[Año]]&lt;='LAS CATEGORIAS'!D$20),OR('LAS CATEGORIAS'!E$20="*",'LAS CATEGORIAS'!E$20=TablaCorredores[[#This Row],[Sexo]])),'LAS CATEGORIAS'!F$20,"Sin Categoría"
              )
             )
            )
           )
          )
         )
        )
       )
      )
     )
    )
   )
  )
 )
)</f>
        <v>PREBENJAMÍN</v>
      </c>
      <c r="I23" s="73" t="str">
        <f>VLOOKUP(TablaCorredores[[#This Row],[Categoría]],TablaCategorias[[Categoría]:[Carrera]],2,FALSE)</f>
        <v>CARRERA 6</v>
      </c>
      <c r="J23" s="1" t="s">
        <v>0</v>
      </c>
      <c r="K23" s="111" t="b">
        <f>COUNTIF(TablaEquipos[Club],TablaCorredores[[#This Row],[Club]])&gt;0</f>
        <v>1</v>
      </c>
    </row>
    <row r="24" spans="1:11" ht="13.5" customHeight="1" x14ac:dyDescent="0.25">
      <c r="A24" s="2">
        <v>20</v>
      </c>
      <c r="B24" s="8">
        <v>1</v>
      </c>
      <c r="C24" s="27">
        <v>24</v>
      </c>
      <c r="D24" s="75" t="s">
        <v>180</v>
      </c>
      <c r="E24" s="1" t="s">
        <v>123</v>
      </c>
      <c r="F24" s="1">
        <v>2011</v>
      </c>
      <c r="G24" s="1" t="s">
        <v>135</v>
      </c>
      <c r="H24" s="1" t="str">
        <f>IF(AND(AND(TablaCorredores[[#This Row],[Año]]&gt;='LAS CATEGORIAS'!C$5,TablaCorredores[[#This Row],[Año]]&lt;='LAS CATEGORIAS'!D$5),OR('LAS CATEGORIAS'!E$5="*",'LAS CATEGORIAS'!E$5=TablaCorredores[[#This Row],[Sexo]])),'LAS CATEGORIAS'!F$5,
 IF(AND(AND(TablaCorredores[[#This Row],[Año]]&gt;='LAS CATEGORIAS'!C$6,TablaCorredores[[#This Row],[Año]]&lt;='LAS CATEGORIAS'!D$6),OR('LAS CATEGORIAS'!E$6="*",'LAS CATEGORIAS'!E$6=TablaCorredores[[#This Row],[Sexo]])),'LAS CATEGORIAS'!F$6,
  IF(AND(AND(TablaCorredores[[#This Row],[Año]]&gt;='LAS CATEGORIAS'!$C27,TablaCorredores[[#This Row],[Año]]&lt;='LAS CATEGORIAS'!D$7),OR('LAS CATEGORIAS'!E$7="*",'LAS CATEGORIAS'!E$7=TablaCorredores[[#This Row],[Sexo]])),'LAS CATEGORIAS'!F$7,
   IF(AND(AND(TablaCorredores[[#This Row],[Año]]&gt;='LAS CATEGORIAS'!C$8,TablaCorredores[[#This Row],[Año]]&lt;='LAS CATEGORIAS'!D$8),OR('LAS CATEGORIAS'!E$8="*",'LAS CATEGORIAS'!E$8=TablaCorredores[[#This Row],[Sexo]])),'LAS CATEGORIAS'!F$8,
    IF(AND(AND(TablaCorredores[[#This Row],[Año]]&gt;='LAS CATEGORIAS'!C$9,TablaCorredores[[#This Row],[Año]]&lt;='LAS CATEGORIAS'!D$9),OR('LAS CATEGORIAS'!E$9="*",'LAS CATEGORIAS'!E$9=TablaCorredores[[#This Row],[Sexo]])),'LAS CATEGORIAS'!F$9,
     IF(AND(AND(TablaCorredores[[#This Row],[Año]]&gt;='LAS CATEGORIAS'!C$10,TablaCorredores[[#This Row],[Año]]&lt;='LAS CATEGORIAS'!D$10),OR('LAS CATEGORIAS'!E$10="*",'LAS CATEGORIAS'!E$10=TablaCorredores[[#This Row],[Sexo]])),'LAS CATEGORIAS'!F$10,
      IF(AND(AND(TablaCorredores[[#This Row],[Año]]&gt;='LAS CATEGORIAS'!C$11,TablaCorredores[[#This Row],[Año]]&lt;='LAS CATEGORIAS'!D$11),OR('LAS CATEGORIAS'!E$11="*",'LAS CATEGORIAS'!E$11=TablaCorredores[[#This Row],[Sexo]])),'LAS CATEGORIAS'!F$11,
        IF(AND(AND(TablaCorredores[[#This Row],[Año]]&gt;='LAS CATEGORIAS'!C$13,TablaCorredores[[#This Row],[Año]]&lt;='LAS CATEGORIAS'!D$13),OR('LAS CATEGORIAS'!E$13="*",'LAS CATEGORIAS'!E$13=TablaCorredores[[#This Row],[Sexo]])),'LAS CATEGORIAS'!F$13,
         IF(AND(AND(TablaCorredores[[#This Row],[Año]]&gt;='LAS CATEGORIAS'!C$14,TablaCorredores[[#This Row],[Año]]&lt;='LAS CATEGORIAS'!D$14),OR('LAS CATEGORIAS'!E$14="*",'LAS CATEGORIAS'!E$14=TablaCorredores[[#This Row],[Sexo]])),'LAS CATEGORIAS'!F$14,
          IF(AND(AND(TablaCorredores[[#This Row],[Año]]&gt;='LAS CATEGORIAS'!C$15,TablaCorredores[[#This Row],[Año]]&lt;='LAS CATEGORIAS'!D$15),OR('LAS CATEGORIAS'!E$15="*",'LAS CATEGORIAS'!E$15=TablaCorredores[[#This Row],[Sexo]])),'LAS CATEGORIAS'!F$15,
           IF(AND(AND(TablaCorredores[[#This Row],[Año]]&gt;='LAS CATEGORIAS'!C$16,TablaCorredores[[#This Row],[Año]]&lt;='LAS CATEGORIAS'!D$16),OR('LAS CATEGORIAS'!E$16="*",'LAS CATEGORIAS'!E$16=TablaCorredores[[#This Row],[Sexo]])),'LAS CATEGORIAS'!F$16,
            IF(AND(AND(TablaCorredores[[#This Row],[Año]]&gt;='LAS CATEGORIAS'!C$17,TablaCorredores[[#This Row],[Año]]&lt;='LAS CATEGORIAS'!D$17),OR('LAS CATEGORIAS'!E$17="*",'LAS CATEGORIAS'!E$17=TablaCorredores[[#This Row],[Sexo]])),'LAS CATEGORIAS'!F$17,
             IF(AND(AND(TablaCorredores[[#This Row],[Año]]&gt;='LAS CATEGORIAS'!C$18,TablaCorredores[[#This Row],[Año]]&lt;='LAS CATEGORIAS'!D$18),OR('LAS CATEGORIAS'!E$18="*",'LAS CATEGORIAS'!E$18=TablaCorredores[[#This Row],[Sexo]])),'LAS CATEGORIAS'!F$18,
              IF(AND(AND(TablaCorredores[[#This Row],[Año]]&gt;='LAS CATEGORIAS'!C$19,TablaCorredores[[#This Row],[Año]]&lt;='LAS CATEGORIAS'!D$19),OR('LAS CATEGORIAS'!E$19="*",'LAS CATEGORIAS'!E$19=TablaCorredores[[#This Row],[Sexo]])),'LAS CATEGORIAS'!F$19,
               IF(AND(AND(TablaCorredores[[#This Row],[Año]]&gt;='LAS CATEGORIAS'!C$20,TablaCorredores[[#This Row],[Año]]&lt;='LAS CATEGORIAS'!D$20),OR('LAS CATEGORIAS'!E$20="*",'LAS CATEGORIAS'!E$20=TablaCorredores[[#This Row],[Sexo]])),'LAS CATEGORIAS'!F$20,"Sin Categoría"
              )
             )
            )
           )
          )
         )
        )
       )
      )
     )
    )
   )
  )
 )
)</f>
        <v>PREBENJAMÍN</v>
      </c>
      <c r="I24" s="73" t="str">
        <f>VLOOKUP(TablaCorredores[[#This Row],[Categoría]],TablaCategorias[[Categoría]:[Carrera]],2,FALSE)</f>
        <v>CARRERA 6</v>
      </c>
      <c r="J24" s="1" t="s">
        <v>181</v>
      </c>
      <c r="K24" s="111" t="b">
        <f>COUNTIF(TablaEquipos[Club],TablaCorredores[[#This Row],[Club]])&gt;0</f>
        <v>0</v>
      </c>
    </row>
    <row r="25" spans="1:11" ht="13.5" customHeight="1" x14ac:dyDescent="0.25">
      <c r="A25" s="2">
        <v>21</v>
      </c>
      <c r="B25" s="8">
        <v>1</v>
      </c>
      <c r="C25" s="27">
        <v>25</v>
      </c>
      <c r="D25" s="75" t="s">
        <v>182</v>
      </c>
      <c r="E25" s="1" t="s">
        <v>123</v>
      </c>
      <c r="F25" s="1">
        <v>2011</v>
      </c>
      <c r="G25" s="1" t="s">
        <v>135</v>
      </c>
      <c r="H25" s="1" t="str">
        <f>IF(AND(AND(TablaCorredores[[#This Row],[Año]]&gt;='LAS CATEGORIAS'!C$5,TablaCorredores[[#This Row],[Año]]&lt;='LAS CATEGORIAS'!D$5),OR('LAS CATEGORIAS'!E$5="*",'LAS CATEGORIAS'!E$5=TablaCorredores[[#This Row],[Sexo]])),'LAS CATEGORIAS'!F$5,
 IF(AND(AND(TablaCorredores[[#This Row],[Año]]&gt;='LAS CATEGORIAS'!C$6,TablaCorredores[[#This Row],[Año]]&lt;='LAS CATEGORIAS'!D$6),OR('LAS CATEGORIAS'!E$6="*",'LAS CATEGORIAS'!E$6=TablaCorredores[[#This Row],[Sexo]])),'LAS CATEGORIAS'!F$6,
  IF(AND(AND(TablaCorredores[[#This Row],[Año]]&gt;='LAS CATEGORIAS'!$C28,TablaCorredores[[#This Row],[Año]]&lt;='LAS CATEGORIAS'!D$7),OR('LAS CATEGORIAS'!E$7="*",'LAS CATEGORIAS'!E$7=TablaCorredores[[#This Row],[Sexo]])),'LAS CATEGORIAS'!F$7,
   IF(AND(AND(TablaCorredores[[#This Row],[Año]]&gt;='LAS CATEGORIAS'!C$8,TablaCorredores[[#This Row],[Año]]&lt;='LAS CATEGORIAS'!D$8),OR('LAS CATEGORIAS'!E$8="*",'LAS CATEGORIAS'!E$8=TablaCorredores[[#This Row],[Sexo]])),'LAS CATEGORIAS'!F$8,
    IF(AND(AND(TablaCorredores[[#This Row],[Año]]&gt;='LAS CATEGORIAS'!C$9,TablaCorredores[[#This Row],[Año]]&lt;='LAS CATEGORIAS'!D$9),OR('LAS CATEGORIAS'!E$9="*",'LAS CATEGORIAS'!E$9=TablaCorredores[[#This Row],[Sexo]])),'LAS CATEGORIAS'!F$9,
     IF(AND(AND(TablaCorredores[[#This Row],[Año]]&gt;='LAS CATEGORIAS'!C$10,TablaCorredores[[#This Row],[Año]]&lt;='LAS CATEGORIAS'!D$10),OR('LAS CATEGORIAS'!E$10="*",'LAS CATEGORIAS'!E$10=TablaCorredores[[#This Row],[Sexo]])),'LAS CATEGORIAS'!F$10,
      IF(AND(AND(TablaCorredores[[#This Row],[Año]]&gt;='LAS CATEGORIAS'!C$11,TablaCorredores[[#This Row],[Año]]&lt;='LAS CATEGORIAS'!D$11),OR('LAS CATEGORIAS'!E$11="*",'LAS CATEGORIAS'!E$11=TablaCorredores[[#This Row],[Sexo]])),'LAS CATEGORIAS'!F$11,
        IF(AND(AND(TablaCorredores[[#This Row],[Año]]&gt;='LAS CATEGORIAS'!C$13,TablaCorredores[[#This Row],[Año]]&lt;='LAS CATEGORIAS'!D$13),OR('LAS CATEGORIAS'!E$13="*",'LAS CATEGORIAS'!E$13=TablaCorredores[[#This Row],[Sexo]])),'LAS CATEGORIAS'!F$13,
         IF(AND(AND(TablaCorredores[[#This Row],[Año]]&gt;='LAS CATEGORIAS'!C$14,TablaCorredores[[#This Row],[Año]]&lt;='LAS CATEGORIAS'!D$14),OR('LAS CATEGORIAS'!E$14="*",'LAS CATEGORIAS'!E$14=TablaCorredores[[#This Row],[Sexo]])),'LAS CATEGORIAS'!F$14,
          IF(AND(AND(TablaCorredores[[#This Row],[Año]]&gt;='LAS CATEGORIAS'!C$15,TablaCorredores[[#This Row],[Año]]&lt;='LAS CATEGORIAS'!D$15),OR('LAS CATEGORIAS'!E$15="*",'LAS CATEGORIAS'!E$15=TablaCorredores[[#This Row],[Sexo]])),'LAS CATEGORIAS'!F$15,
           IF(AND(AND(TablaCorredores[[#This Row],[Año]]&gt;='LAS CATEGORIAS'!C$16,TablaCorredores[[#This Row],[Año]]&lt;='LAS CATEGORIAS'!D$16),OR('LAS CATEGORIAS'!E$16="*",'LAS CATEGORIAS'!E$16=TablaCorredores[[#This Row],[Sexo]])),'LAS CATEGORIAS'!F$16,
            IF(AND(AND(TablaCorredores[[#This Row],[Año]]&gt;='LAS CATEGORIAS'!C$17,TablaCorredores[[#This Row],[Año]]&lt;='LAS CATEGORIAS'!D$17),OR('LAS CATEGORIAS'!E$17="*",'LAS CATEGORIAS'!E$17=TablaCorredores[[#This Row],[Sexo]])),'LAS CATEGORIAS'!F$17,
             IF(AND(AND(TablaCorredores[[#This Row],[Año]]&gt;='LAS CATEGORIAS'!C$18,TablaCorredores[[#This Row],[Año]]&lt;='LAS CATEGORIAS'!D$18),OR('LAS CATEGORIAS'!E$18="*",'LAS CATEGORIAS'!E$18=TablaCorredores[[#This Row],[Sexo]])),'LAS CATEGORIAS'!F$18,
              IF(AND(AND(TablaCorredores[[#This Row],[Año]]&gt;='LAS CATEGORIAS'!C$19,TablaCorredores[[#This Row],[Año]]&lt;='LAS CATEGORIAS'!D$19),OR('LAS CATEGORIAS'!E$19="*",'LAS CATEGORIAS'!E$19=TablaCorredores[[#This Row],[Sexo]])),'LAS CATEGORIAS'!F$19,
               IF(AND(AND(TablaCorredores[[#This Row],[Año]]&gt;='LAS CATEGORIAS'!C$20,TablaCorredores[[#This Row],[Año]]&lt;='LAS CATEGORIAS'!D$20),OR('LAS CATEGORIAS'!E$20="*",'LAS CATEGORIAS'!E$20=TablaCorredores[[#This Row],[Sexo]])),'LAS CATEGORIAS'!F$20,"Sin Categoría"
              )
             )
            )
           )
          )
         )
        )
       )
      )
     )
    )
   )
  )
 )
)</f>
        <v>PREBENJAMÍN</v>
      </c>
      <c r="I25" s="73" t="str">
        <f>VLOOKUP(TablaCorredores[[#This Row],[Categoría]],TablaCategorias[[Categoría]:[Carrera]],2,FALSE)</f>
        <v>CARRERA 6</v>
      </c>
      <c r="J25" s="1" t="s">
        <v>0</v>
      </c>
      <c r="K25" s="111" t="b">
        <f>COUNTIF(TablaEquipos[Club],TablaCorredores[[#This Row],[Club]])&gt;0</f>
        <v>1</v>
      </c>
    </row>
    <row r="26" spans="1:11" ht="13.5" customHeight="1" x14ac:dyDescent="0.25">
      <c r="A26" s="2"/>
      <c r="C26" s="27"/>
      <c r="D26" s="1"/>
      <c r="E26" s="1"/>
      <c r="F26" s="1"/>
      <c r="G26" s="1"/>
      <c r="H26" s="1"/>
      <c r="I26" s="1"/>
      <c r="J26" s="1"/>
    </row>
    <row r="27" spans="1:11" ht="13.5" customHeight="1" x14ac:dyDescent="0.25">
      <c r="A27" s="2"/>
      <c r="C27" s="27"/>
      <c r="D27" s="1"/>
      <c r="E27" s="1"/>
      <c r="F27" s="1"/>
      <c r="G27" s="1"/>
      <c r="H27" s="1"/>
      <c r="I27" s="1"/>
      <c r="J27" s="1"/>
    </row>
    <row r="28" spans="1:11" ht="13.5" customHeight="1" x14ac:dyDescent="0.25">
      <c r="A28" s="2"/>
      <c r="C28" s="27"/>
      <c r="D28" s="1"/>
      <c r="E28" s="1"/>
      <c r="F28" s="1"/>
      <c r="G28" s="1"/>
      <c r="H28" s="1"/>
      <c r="I28" s="1"/>
      <c r="J28" s="1"/>
    </row>
    <row r="29" spans="1:11" ht="13.5" customHeight="1" x14ac:dyDescent="0.25">
      <c r="A29" s="2"/>
      <c r="C29" s="27"/>
      <c r="D29" s="1"/>
      <c r="E29" s="1"/>
      <c r="F29" s="1"/>
      <c r="G29" s="1"/>
      <c r="H29" s="1"/>
      <c r="I29" s="1"/>
      <c r="J29" s="1"/>
    </row>
    <row r="30" spans="1:11" ht="13.5" customHeight="1" x14ac:dyDescent="0.25">
      <c r="A30" s="2"/>
      <c r="C30" s="27"/>
      <c r="D30" s="1"/>
      <c r="E30" s="1"/>
      <c r="F30" s="1"/>
      <c r="G30" s="1"/>
      <c r="H30" s="1"/>
      <c r="I30" s="1"/>
      <c r="J30" s="1"/>
    </row>
    <row r="31" spans="1:11" ht="13.5" customHeight="1" x14ac:dyDescent="0.25">
      <c r="A31" s="2"/>
      <c r="C31" s="27"/>
      <c r="D31" s="1"/>
      <c r="E31" s="1"/>
      <c r="F31" s="1"/>
      <c r="G31" s="1"/>
      <c r="H31" s="1"/>
      <c r="I31" s="1"/>
      <c r="J31" s="1"/>
    </row>
    <row r="32" spans="1:11" ht="13.5" customHeight="1" x14ac:dyDescent="0.25">
      <c r="A32" s="2"/>
      <c r="C32" s="27"/>
      <c r="D32" s="1"/>
      <c r="E32" s="1"/>
      <c r="F32" s="1"/>
      <c r="G32" s="1"/>
      <c r="H32" s="1"/>
      <c r="I32" s="1"/>
      <c r="J32" s="1"/>
    </row>
    <row r="33" spans="1:10" ht="13.5" customHeight="1" x14ac:dyDescent="0.25">
      <c r="A33" s="2"/>
      <c r="C33" s="27"/>
      <c r="D33" s="1"/>
      <c r="E33" s="1"/>
      <c r="F33" s="1"/>
      <c r="G33" s="1"/>
      <c r="H33" s="1"/>
      <c r="I33" s="1"/>
      <c r="J33" s="1"/>
    </row>
    <row r="34" spans="1:10" ht="13.5" customHeight="1" x14ac:dyDescent="0.25">
      <c r="A34" s="2"/>
      <c r="C34" s="27"/>
      <c r="D34" s="1"/>
      <c r="E34" s="1"/>
      <c r="F34" s="1"/>
      <c r="G34" s="1"/>
      <c r="H34" s="1"/>
      <c r="I34" s="1"/>
      <c r="J34" s="1"/>
    </row>
    <row r="35" spans="1:10" ht="13.5" customHeight="1" x14ac:dyDescent="0.25">
      <c r="A35" s="2"/>
      <c r="C35" s="27"/>
      <c r="D35" s="1"/>
      <c r="E35" s="1"/>
      <c r="F35" s="1"/>
      <c r="G35" s="1"/>
      <c r="H35" s="1"/>
      <c r="I35" s="1"/>
      <c r="J35" s="1"/>
    </row>
    <row r="36" spans="1:10" ht="13.5" customHeight="1" x14ac:dyDescent="0.25">
      <c r="A36" s="2"/>
      <c r="C36" s="27"/>
      <c r="D36" s="1"/>
      <c r="E36" s="1"/>
      <c r="F36" s="1"/>
      <c r="G36" s="1"/>
      <c r="H36" s="1"/>
      <c r="I36" s="1"/>
      <c r="J36" s="1"/>
    </row>
    <row r="37" spans="1:10" ht="13.5" customHeight="1" x14ac:dyDescent="0.25">
      <c r="A37" s="2"/>
      <c r="C37" s="27"/>
      <c r="D37" s="1"/>
      <c r="E37" s="1"/>
      <c r="F37" s="1"/>
      <c r="G37" s="1"/>
      <c r="H37" s="1"/>
      <c r="I37" s="1"/>
      <c r="J37" s="1"/>
    </row>
    <row r="38" spans="1:10" ht="13.5" customHeight="1" x14ac:dyDescent="0.25">
      <c r="A38" s="2"/>
      <c r="C38" s="27"/>
      <c r="D38" s="1"/>
      <c r="E38" s="1"/>
      <c r="F38" s="1"/>
      <c r="G38" s="1"/>
      <c r="H38" s="1"/>
      <c r="I38" s="1"/>
      <c r="J38" s="1"/>
    </row>
    <row r="39" spans="1:10" ht="13.5" customHeight="1" x14ac:dyDescent="0.25">
      <c r="A39" s="2"/>
      <c r="C39" s="27"/>
      <c r="D39" s="1"/>
      <c r="E39" s="1"/>
      <c r="F39" s="1"/>
      <c r="G39" s="1"/>
      <c r="H39" s="1"/>
      <c r="I39" s="1"/>
      <c r="J39" s="1"/>
    </row>
    <row r="40" spans="1:10" ht="13.5" customHeight="1" x14ac:dyDescent="0.25">
      <c r="A40" s="2"/>
      <c r="C40" s="27"/>
      <c r="D40" s="1"/>
      <c r="E40" s="1"/>
      <c r="F40" s="1"/>
      <c r="G40" s="1"/>
      <c r="H40" s="1"/>
      <c r="I40" s="1"/>
      <c r="J40" s="1"/>
    </row>
    <row r="41" spans="1:10" ht="13.5" customHeight="1" x14ac:dyDescent="0.25">
      <c r="A41" s="2"/>
      <c r="C41" s="27"/>
      <c r="D41" s="1"/>
      <c r="E41" s="1"/>
      <c r="F41" s="1"/>
      <c r="G41" s="1"/>
      <c r="H41" s="1"/>
      <c r="I41" s="1"/>
      <c r="J41" s="1"/>
    </row>
    <row r="42" spans="1:10" ht="13.5" customHeight="1" x14ac:dyDescent="0.25">
      <c r="A42" s="2"/>
      <c r="C42" s="27"/>
      <c r="D42" s="1"/>
      <c r="E42" s="1"/>
      <c r="F42" s="1"/>
      <c r="G42" s="1"/>
      <c r="H42" s="1"/>
      <c r="I42" s="1"/>
      <c r="J42" s="1"/>
    </row>
    <row r="43" spans="1:10" ht="13.5" customHeight="1" x14ac:dyDescent="0.25">
      <c r="A43" s="2"/>
      <c r="C43" s="27"/>
      <c r="D43" s="1"/>
      <c r="E43" s="1"/>
      <c r="F43" s="1"/>
      <c r="G43" s="1"/>
      <c r="H43" s="1"/>
      <c r="I43" s="1"/>
      <c r="J43" s="1"/>
    </row>
    <row r="44" spans="1:10" ht="13.5" customHeight="1" x14ac:dyDescent="0.25">
      <c r="A44" s="2"/>
      <c r="C44" s="27"/>
      <c r="D44" s="1"/>
      <c r="E44" s="1"/>
      <c r="F44" s="1"/>
      <c r="G44" s="1"/>
      <c r="H44" s="1"/>
      <c r="I44" s="1"/>
      <c r="J44" s="1"/>
    </row>
    <row r="45" spans="1:10" ht="13.5" customHeight="1" x14ac:dyDescent="0.25">
      <c r="A45" s="2"/>
      <c r="C45" s="27"/>
      <c r="D45" s="1"/>
      <c r="E45" s="1"/>
      <c r="F45" s="1"/>
      <c r="G45" s="1"/>
      <c r="H45" s="1"/>
      <c r="I45" s="1"/>
      <c r="J45" s="1"/>
    </row>
    <row r="46" spans="1:10" ht="13.5" customHeight="1" x14ac:dyDescent="0.25">
      <c r="A46" s="2"/>
      <c r="C46" s="27"/>
      <c r="D46" s="1"/>
      <c r="E46" s="1"/>
      <c r="F46" s="1"/>
      <c r="G46" s="1"/>
      <c r="H46" s="1"/>
      <c r="I46" s="1"/>
      <c r="J46" s="1"/>
    </row>
    <row r="47" spans="1:10" ht="13.5" customHeight="1" x14ac:dyDescent="0.25">
      <c r="A47" s="2"/>
      <c r="C47" s="27"/>
      <c r="D47" s="1"/>
      <c r="E47" s="1"/>
      <c r="F47" s="1"/>
      <c r="G47" s="1"/>
      <c r="H47" s="1"/>
      <c r="I47" s="1"/>
      <c r="J47" s="1"/>
    </row>
    <row r="48" spans="1:10" ht="13.5" customHeight="1" x14ac:dyDescent="0.25">
      <c r="A48" s="2"/>
      <c r="C48" s="27"/>
      <c r="D48" s="1"/>
      <c r="E48" s="1"/>
      <c r="F48" s="1"/>
      <c r="G48" s="1"/>
      <c r="H48" s="1"/>
      <c r="I48" s="1"/>
      <c r="J48" s="1"/>
    </row>
    <row r="49" spans="1:10" ht="13.5" customHeight="1" x14ac:dyDescent="0.25">
      <c r="A49" s="2"/>
      <c r="C49" s="27"/>
      <c r="D49" s="1"/>
      <c r="E49" s="1"/>
      <c r="F49" s="1"/>
      <c r="G49" s="1"/>
      <c r="H49" s="1"/>
      <c r="I49" s="1"/>
      <c r="J49" s="1"/>
    </row>
    <row r="50" spans="1:10" ht="13.5" customHeight="1" x14ac:dyDescent="0.25">
      <c r="A50" s="2"/>
      <c r="C50" s="27"/>
      <c r="D50" s="1"/>
      <c r="E50" s="1"/>
      <c r="F50" s="1"/>
      <c r="G50" s="1"/>
      <c r="H50" s="1"/>
      <c r="I50" s="1"/>
      <c r="J50" s="1"/>
    </row>
    <row r="51" spans="1:10" ht="13.5" customHeight="1" x14ac:dyDescent="0.25">
      <c r="A51" s="2"/>
      <c r="C51" s="27"/>
      <c r="D51" s="1"/>
      <c r="E51" s="1"/>
      <c r="F51" s="1"/>
      <c r="G51" s="1"/>
      <c r="H51" s="1"/>
      <c r="I51" s="1"/>
      <c r="J51" s="1"/>
    </row>
    <row r="52" spans="1:10" ht="13.5" customHeight="1" x14ac:dyDescent="0.25">
      <c r="A52" s="2"/>
      <c r="C52" s="27"/>
      <c r="D52" s="1"/>
      <c r="E52" s="1"/>
      <c r="F52" s="1"/>
      <c r="G52" s="1"/>
      <c r="H52" s="1"/>
      <c r="I52" s="1"/>
      <c r="J52" s="1"/>
    </row>
    <row r="53" spans="1:10" ht="13.5" customHeight="1" x14ac:dyDescent="0.25">
      <c r="A53" s="2"/>
      <c r="C53" s="27"/>
      <c r="D53" s="1"/>
      <c r="E53" s="1"/>
      <c r="F53" s="1"/>
      <c r="G53" s="1"/>
      <c r="H53" s="1"/>
      <c r="I53" s="1"/>
      <c r="J53" s="1"/>
    </row>
    <row r="54" spans="1:10" ht="13.5" customHeight="1" x14ac:dyDescent="0.25">
      <c r="A54" s="2"/>
      <c r="C54" s="27"/>
      <c r="D54" s="1"/>
      <c r="E54" s="1"/>
      <c r="F54" s="1"/>
      <c r="G54" s="1"/>
      <c r="H54" s="1"/>
      <c r="I54" s="1"/>
      <c r="J54" s="1"/>
    </row>
    <row r="55" spans="1:10" ht="13.5" customHeight="1" x14ac:dyDescent="0.25">
      <c r="A55" s="2"/>
      <c r="C55" s="9"/>
      <c r="D55" s="1"/>
      <c r="E55" s="1"/>
      <c r="F55" s="1"/>
      <c r="G55" s="1"/>
      <c r="H55" s="1"/>
      <c r="I55" s="1"/>
      <c r="J55" s="1"/>
    </row>
    <row r="56" spans="1:10" ht="13.5" customHeight="1" x14ac:dyDescent="0.25">
      <c r="A56" s="2"/>
      <c r="C56" s="9"/>
      <c r="D56" s="1"/>
      <c r="E56" s="1"/>
      <c r="F56" s="1"/>
      <c r="G56" s="1"/>
      <c r="H56" s="1"/>
      <c r="I56" s="1"/>
      <c r="J56" s="1"/>
    </row>
    <row r="57" spans="1:10" ht="13.5" customHeight="1" x14ac:dyDescent="0.25">
      <c r="A57" s="2"/>
      <c r="C57" s="9"/>
      <c r="D57" s="1"/>
      <c r="E57" s="1"/>
      <c r="F57" s="1"/>
      <c r="G57" s="1"/>
      <c r="H57" s="1"/>
      <c r="I57" s="1"/>
      <c r="J57" s="1"/>
    </row>
    <row r="58" spans="1:10" ht="13.5" customHeight="1" x14ac:dyDescent="0.25">
      <c r="A58" s="2"/>
      <c r="C58" s="9"/>
      <c r="D58" s="1"/>
      <c r="E58" s="1"/>
      <c r="F58" s="1"/>
      <c r="G58" s="1"/>
      <c r="H58" s="1"/>
      <c r="I58" s="1"/>
      <c r="J58" s="1"/>
    </row>
    <row r="59" spans="1:10" ht="13.5" customHeight="1" x14ac:dyDescent="0.25">
      <c r="A59" s="2"/>
      <c r="C59" s="9"/>
      <c r="D59" s="1"/>
      <c r="E59" s="1"/>
      <c r="F59" s="1"/>
      <c r="G59" s="1"/>
      <c r="H59" s="1"/>
      <c r="I59" s="1"/>
      <c r="J59" s="1"/>
    </row>
    <row r="60" spans="1:10" ht="13.5" customHeight="1" x14ac:dyDescent="0.25">
      <c r="A60" s="2"/>
      <c r="C60" s="9"/>
      <c r="D60" s="1"/>
      <c r="E60" s="1"/>
      <c r="F60" s="1"/>
      <c r="G60" s="1"/>
      <c r="H60" s="1"/>
      <c r="I60" s="1"/>
      <c r="J60" s="1"/>
    </row>
    <row r="61" spans="1:10" ht="13.5" customHeight="1" x14ac:dyDescent="0.25">
      <c r="A61" s="2"/>
      <c r="C61" s="9"/>
      <c r="D61" s="1"/>
      <c r="E61" s="1"/>
      <c r="F61" s="1"/>
      <c r="G61" s="1"/>
      <c r="H61" s="1"/>
      <c r="I61" s="1"/>
      <c r="J61" s="1"/>
    </row>
    <row r="62" spans="1:10" ht="13.5" customHeight="1" x14ac:dyDescent="0.25">
      <c r="A62" s="2"/>
      <c r="C62" s="9"/>
      <c r="D62" s="1"/>
      <c r="E62" s="1"/>
      <c r="F62" s="1"/>
      <c r="G62" s="1"/>
      <c r="H62" s="1"/>
      <c r="I62" s="1"/>
      <c r="J62" s="1"/>
    </row>
    <row r="63" spans="1:10" ht="13.5" customHeight="1" x14ac:dyDescent="0.25">
      <c r="A63" s="2"/>
      <c r="C63" s="9"/>
      <c r="D63" s="1"/>
      <c r="E63" s="1"/>
      <c r="F63" s="1"/>
      <c r="G63" s="1"/>
      <c r="H63" s="1"/>
      <c r="I63" s="1"/>
      <c r="J63" s="1"/>
    </row>
    <row r="64" spans="1:10" ht="13.5" customHeight="1" x14ac:dyDescent="0.25">
      <c r="A64" s="2"/>
      <c r="C64" s="9"/>
      <c r="D64" s="1"/>
      <c r="E64" s="1"/>
      <c r="F64" s="1"/>
      <c r="G64" s="1"/>
      <c r="H64" s="1"/>
      <c r="I64" s="1"/>
      <c r="J64" s="1"/>
    </row>
  </sheetData>
  <mergeCells count="2">
    <mergeCell ref="A1:J1"/>
    <mergeCell ref="A2:J2"/>
  </mergeCells>
  <conditionalFormatting sqref="B4:B25">
    <cfRule type="iconSet" priority="27">
      <iconSet showValue="0">
        <cfvo type="percent" val="0"/>
        <cfvo type="percent" val="33"/>
        <cfvo type="percent" val="67"/>
      </iconSet>
    </cfRule>
  </conditionalFormatting>
  <conditionalFormatting sqref="K4:K25">
    <cfRule type="cellIs" dxfId="82" priority="1" operator="equal">
      <formula>TRUE</formula>
    </cfRule>
    <cfRule type="cellIs" dxfId="81" priority="2" operator="equal">
      <formula>FALSE</formula>
    </cfRule>
  </conditionalFormatting>
  <dataValidations count="1">
    <dataValidation type="whole" allowBlank="1" showInputMessage="1" showErrorMessage="1" errorTitle="AÑO INVÁLIDO" error="No es un año de nacimiento válido" promptTitle="AÑO DE NACIMIENTO" prompt="Introduce el año de nacimiento" sqref="F4:F25">
      <formula1>1900</formula1>
      <formula2>2100</formula2>
    </dataValidation>
  </dataValidations>
  <pageMargins left="0.7" right="0.7" top="0.75" bottom="0.75" header="0.3" footer="0.3"/>
  <pageSetup paperSize="9" orientation="portrait" horizontalDpi="4294967293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errorTitle="SEXO INEXISTENTE" error="Debes escoger una de las posibles opciones mostradas" promptTitle="SEXOS" prompt="Escoge entre F(emenino), M(asculino) o *(mixto)">
          <x14:formula1>
            <xm:f>'LAS CATEGORIAS'!$K$4:$K$6</xm:f>
          </x14:formula1>
          <xm:sqref>E4:E25</xm:sqref>
        </x14:dataValidation>
        <x14:dataValidation type="list" allowBlank="1" showInputMessage="1" showErrorMessage="1" errorTitle="CATEGORÍA NO EXISTENTE" error="Escoge una de las sugeridas y que están configurada en la hoja LAS CATEGORÍAS" promptTitle="CATEGORÍA">
          <x14:formula1>
            <xm:f>OFFSET('LAS CARRERAS'!$D$4:$D$4,0,0,COUNTA('LAS CARRERAS'!D:D)-2)</xm:f>
          </x14:formula1>
          <xm:sqref>I4</xm:sqref>
        </x14:dataValidation>
        <x14:dataValidation type="list" allowBlank="1" showInputMessage="1" showErrorMessage="1" errorTitle="CATEGORÍA NO EXISTENTE" error="Escoge una de las sugeridas y que están configurada en la hoja LAS CATEGORÍAS" promptTitle="CATEGORÍA">
          <x14:formula1>
            <xm:f>OFFSET('LAS CATEGORIAS'!$F$4:$F$4,0,0,COUNTA('LAS CATEGORIAS'!F:F)-2)</xm:f>
          </x14:formula1>
          <xm:sqref>H4:H25</xm:sqref>
        </x14:dataValidation>
        <x14:dataValidation type="list" allowBlank="1" showInputMessage="1" showErrorMessage="1" errorTitle="CATEGORÍA NO EXISTENTE" error="Escoge una de las sugeridas y que están configurada en la hoja LAS CATEGORÍAS" promptTitle="CATEGORÍA">
          <x14:formula1>
            <xm:f>OFFSET('LAS CATEGORIAS'!$F$4:$F$4,0,0,COUNTA('LAS CATEGORIAS'!G:G)-2)</xm:f>
          </x14:formula1>
          <xm:sqref>I5:I14</xm:sqref>
        </x14:dataValidation>
        <x14:dataValidation type="list" errorStyle="warning" allowBlank="1" showInputMessage="1" showErrorMessage="1" errorTitle="El equipo no existe" error="Da de alta a su equipo en la TablaEquipo o revisa si está mal escrito" promptTitle="EQUIPO" prompt="Si no tiene equipo, déjalo como INDEPENDIENTE">
          <x14:formula1>
            <xm:f>OFFSET('LOS EQUIPOS'!$C$4:$C$4,0,0,COUNTA('LOS EQUIPOS'!C:C)-3)</xm:f>
          </x14:formula1>
          <xm:sqref>J4:J25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3" tint="-0.249977111117893"/>
  </sheetPr>
  <dimension ref="A1:D28"/>
  <sheetViews>
    <sheetView zoomScale="115" zoomScaleNormal="115" workbookViewId="0">
      <selection activeCell="C29" sqref="C29"/>
    </sheetView>
  </sheetViews>
  <sheetFormatPr baseColWidth="10" defaultRowHeight="15" x14ac:dyDescent="0.25"/>
  <cols>
    <col min="1" max="1" width="8.5703125" style="7" bestFit="1" customWidth="1"/>
    <col min="2" max="2" width="4.42578125" style="7" customWidth="1"/>
    <col min="3" max="3" width="26" style="4" bestFit="1" customWidth="1"/>
    <col min="4" max="4" width="19.42578125" bestFit="1" customWidth="1"/>
  </cols>
  <sheetData>
    <row r="1" spans="1:4" ht="24" customHeight="1" x14ac:dyDescent="0.25">
      <c r="A1" s="115" t="s">
        <v>82</v>
      </c>
      <c r="B1" s="115"/>
      <c r="C1" s="115"/>
      <c r="D1" s="115"/>
    </row>
    <row r="2" spans="1:4" ht="24" customHeight="1" x14ac:dyDescent="0.25">
      <c r="A2" s="113" t="str">
        <f>IF(SUM(TablaEquipos[Participantes])&lt;COUNTA(TablaCorredores[Participante]),"Faltan equipos por inscribir",CONCATENATE("Hay ",DatoNumClubs," equipos inscritos"))</f>
        <v>Faltan equipos por inscribir</v>
      </c>
      <c r="B2" s="113"/>
      <c r="C2" s="113"/>
      <c r="D2" s="113"/>
    </row>
    <row r="3" spans="1:4" s="14" customFormat="1" ht="24" customHeight="1" x14ac:dyDescent="0.25">
      <c r="A3" s="93" t="s">
        <v>46</v>
      </c>
      <c r="B3" s="96" t="s">
        <v>77</v>
      </c>
      <c r="C3" s="93" t="s">
        <v>26</v>
      </c>
      <c r="D3" s="93" t="s">
        <v>75</v>
      </c>
    </row>
    <row r="4" spans="1:4" x14ac:dyDescent="0.25">
      <c r="A4" s="8">
        <v>0</v>
      </c>
      <c r="B4" s="8">
        <v>0</v>
      </c>
      <c r="C4" s="29" t="s">
        <v>76</v>
      </c>
      <c r="D4" s="30">
        <f>COUNTIF(TablaCorredores[Club],TablaEquipos[[#This Row],[Club]])</f>
        <v>1</v>
      </c>
    </row>
    <row r="5" spans="1:4" x14ac:dyDescent="0.25">
      <c r="A5" s="8">
        <v>1</v>
      </c>
      <c r="B5" s="8">
        <v>0</v>
      </c>
      <c r="C5" s="1" t="s">
        <v>0</v>
      </c>
      <c r="D5" s="30">
        <f>COUNTIF(TablaCorredores[Club],TablaEquipos[[#This Row],[Club]])</f>
        <v>14</v>
      </c>
    </row>
    <row r="6" spans="1:4" x14ac:dyDescent="0.25">
      <c r="A6" s="8">
        <v>2</v>
      </c>
      <c r="B6" s="8">
        <v>1</v>
      </c>
      <c r="C6" s="1" t="s">
        <v>2</v>
      </c>
      <c r="D6" s="30">
        <f>COUNTIF(TablaCorredores[Club],TablaEquipos[[#This Row],[Club]])</f>
        <v>1</v>
      </c>
    </row>
    <row r="7" spans="1:4" x14ac:dyDescent="0.25">
      <c r="A7" s="8">
        <v>3</v>
      </c>
      <c r="B7" s="8">
        <v>1</v>
      </c>
      <c r="C7" s="1" t="s">
        <v>29</v>
      </c>
      <c r="D7" s="30">
        <f>COUNTIF(TablaCorredores[Club],TablaEquipos[[#This Row],[Club]])</f>
        <v>1</v>
      </c>
    </row>
    <row r="8" spans="1:4" x14ac:dyDescent="0.25">
      <c r="A8" s="8">
        <v>4</v>
      </c>
      <c r="B8" s="8">
        <v>1</v>
      </c>
      <c r="C8" s="1" t="s">
        <v>30</v>
      </c>
      <c r="D8" s="30">
        <f>COUNTIF(TablaCorredores[Club],TablaEquipos[[#This Row],[Club]])</f>
        <v>2</v>
      </c>
    </row>
    <row r="9" spans="1:4" x14ac:dyDescent="0.25">
      <c r="A9" s="8">
        <v>5</v>
      </c>
      <c r="B9" s="8">
        <v>1</v>
      </c>
      <c r="C9" s="1" t="s">
        <v>15</v>
      </c>
      <c r="D9" s="30">
        <f>COUNTIF(TablaCorredores[Club],TablaEquipos[[#This Row],[Club]])</f>
        <v>0</v>
      </c>
    </row>
    <row r="10" spans="1:4" x14ac:dyDescent="0.25">
      <c r="A10" s="8">
        <v>6</v>
      </c>
      <c r="B10" s="8">
        <v>1</v>
      </c>
      <c r="C10" s="1" t="s">
        <v>1</v>
      </c>
      <c r="D10" s="30">
        <f>COUNTIF(TablaCorredores[Club],TablaEquipos[[#This Row],[Club]])</f>
        <v>1</v>
      </c>
    </row>
    <row r="11" spans="1:4" x14ac:dyDescent="0.25">
      <c r="A11" s="8">
        <v>7</v>
      </c>
      <c r="B11" s="8">
        <v>1</v>
      </c>
      <c r="C11" s="1" t="s">
        <v>14</v>
      </c>
      <c r="D11" s="30">
        <f>COUNTIF(TablaCorredores[Club],TablaEquipos[[#This Row],[Club]])</f>
        <v>1</v>
      </c>
    </row>
    <row r="12" spans="1:4" x14ac:dyDescent="0.25">
      <c r="A12" s="8">
        <v>8</v>
      </c>
      <c r="B12" s="8">
        <v>1</v>
      </c>
      <c r="C12" s="1" t="s">
        <v>9</v>
      </c>
      <c r="D12" s="30">
        <f>COUNTIF(TablaCorredores[Club],TablaEquipos[[#This Row],[Club]])</f>
        <v>0</v>
      </c>
    </row>
    <row r="13" spans="1:4" x14ac:dyDescent="0.25">
      <c r="A13" s="8">
        <v>9</v>
      </c>
      <c r="B13" s="8">
        <v>1</v>
      </c>
      <c r="C13" s="1" t="s">
        <v>21</v>
      </c>
      <c r="D13" s="30">
        <f>COUNTIF(TablaCorredores[Club],TablaEquipos[[#This Row],[Club]])</f>
        <v>0</v>
      </c>
    </row>
    <row r="14" spans="1:4" x14ac:dyDescent="0.25">
      <c r="A14" s="8">
        <v>10</v>
      </c>
      <c r="B14" s="8">
        <v>1</v>
      </c>
      <c r="C14" s="1" t="s">
        <v>62</v>
      </c>
      <c r="D14" s="30">
        <f>COUNTIF(TablaCorredores[Club],TablaEquipos[[#This Row],[Club]])</f>
        <v>0</v>
      </c>
    </row>
    <row r="15" spans="1:4" x14ac:dyDescent="0.25">
      <c r="A15" s="8">
        <v>11</v>
      </c>
      <c r="B15" s="8">
        <v>1</v>
      </c>
      <c r="C15" s="1" t="s">
        <v>20</v>
      </c>
      <c r="D15" s="30">
        <f>COUNTIF(TablaCorredores[Club],TablaEquipos[[#This Row],[Club]])</f>
        <v>0</v>
      </c>
    </row>
    <row r="16" spans="1:4" x14ac:dyDescent="0.25">
      <c r="A16" s="8">
        <v>12</v>
      </c>
      <c r="B16" s="8">
        <v>1</v>
      </c>
      <c r="C16" s="1" t="s">
        <v>13</v>
      </c>
      <c r="D16" s="30">
        <f>COUNTIF(TablaCorredores[Club],TablaEquipos[[#This Row],[Club]])</f>
        <v>0</v>
      </c>
    </row>
    <row r="17" spans="1:4" x14ac:dyDescent="0.25">
      <c r="A17" s="8">
        <v>13</v>
      </c>
      <c r="B17" s="8">
        <v>1</v>
      </c>
      <c r="C17" s="1" t="s">
        <v>3</v>
      </c>
      <c r="D17" s="30">
        <f>COUNTIF(TablaCorredores[Club],TablaEquipos[[#This Row],[Club]])</f>
        <v>0</v>
      </c>
    </row>
    <row r="18" spans="1:4" x14ac:dyDescent="0.25">
      <c r="A18" s="8">
        <v>14</v>
      </c>
      <c r="B18" s="8">
        <v>1</v>
      </c>
      <c r="C18" s="1" t="s">
        <v>11</v>
      </c>
      <c r="D18" s="30">
        <f>COUNTIF(TablaCorredores[Club],TablaEquipos[[#This Row],[Club]])</f>
        <v>0</v>
      </c>
    </row>
    <row r="19" spans="1:4" x14ac:dyDescent="0.25">
      <c r="A19" s="8">
        <v>15</v>
      </c>
      <c r="B19" s="8">
        <v>1</v>
      </c>
      <c r="C19" s="1" t="s">
        <v>4</v>
      </c>
      <c r="D19" s="30">
        <f>COUNTIF(TablaCorredores[Club],TablaEquipos[[#This Row],[Club]])</f>
        <v>0</v>
      </c>
    </row>
    <row r="20" spans="1:4" x14ac:dyDescent="0.25">
      <c r="A20" s="8">
        <v>16</v>
      </c>
      <c r="B20" s="8">
        <v>1</v>
      </c>
      <c r="C20" s="1" t="s">
        <v>5</v>
      </c>
      <c r="D20" s="30">
        <f>COUNTIF(TablaCorredores[Club],TablaEquipos[[#This Row],[Club]])</f>
        <v>0</v>
      </c>
    </row>
    <row r="21" spans="1:4" x14ac:dyDescent="0.25">
      <c r="A21" s="8">
        <v>17</v>
      </c>
      <c r="B21" s="8">
        <v>1</v>
      </c>
      <c r="C21" s="1" t="s">
        <v>63</v>
      </c>
      <c r="D21" s="30">
        <f>COUNTIF(TablaCorredores[Club],TablaEquipos[[#This Row],[Club]])</f>
        <v>0</v>
      </c>
    </row>
    <row r="22" spans="1:4" x14ac:dyDescent="0.25">
      <c r="A22" s="8">
        <v>18</v>
      </c>
      <c r="B22" s="8">
        <v>1</v>
      </c>
      <c r="C22" s="1" t="s">
        <v>28</v>
      </c>
      <c r="D22" s="30">
        <f>COUNTIF(TablaCorredores[Club],TablaEquipos[[#This Row],[Club]])</f>
        <v>0</v>
      </c>
    </row>
    <row r="23" spans="1:4" x14ac:dyDescent="0.25">
      <c r="A23" s="8">
        <v>19</v>
      </c>
      <c r="B23" s="8">
        <v>1</v>
      </c>
      <c r="C23" s="1" t="s">
        <v>32</v>
      </c>
      <c r="D23" s="30">
        <f>COUNTIF(TablaCorredores[Club],TablaEquipos[[#This Row],[Club]])</f>
        <v>0</v>
      </c>
    </row>
    <row r="24" spans="1:4" x14ac:dyDescent="0.25">
      <c r="A24" s="8">
        <v>20</v>
      </c>
      <c r="B24" s="8">
        <v>1</v>
      </c>
      <c r="C24" s="1" t="s">
        <v>23</v>
      </c>
      <c r="D24" s="30">
        <f>COUNTIF(TablaCorredores[Club],TablaEquipos[[#This Row],[Club]])</f>
        <v>0</v>
      </c>
    </row>
    <row r="25" spans="1:4" x14ac:dyDescent="0.25">
      <c r="A25" s="8">
        <v>21</v>
      </c>
      <c r="B25" s="8">
        <v>1</v>
      </c>
      <c r="C25" s="1" t="s">
        <v>31</v>
      </c>
      <c r="D25" s="30">
        <f>COUNTIF(TablaCorredores[Club],TablaEquipos[[#This Row],[Club]])</f>
        <v>0</v>
      </c>
    </row>
    <row r="26" spans="1:4" x14ac:dyDescent="0.25">
      <c r="A26" s="8">
        <v>22</v>
      </c>
      <c r="B26" s="8">
        <v>1</v>
      </c>
      <c r="C26" s="1" t="s">
        <v>66</v>
      </c>
      <c r="D26" s="30">
        <f>COUNTIF(TablaCorredores[Club],TablaEquipos[[#This Row],[Club]])</f>
        <v>0</v>
      </c>
    </row>
    <row r="27" spans="1:4" x14ac:dyDescent="0.25">
      <c r="A27" s="8">
        <v>23</v>
      </c>
      <c r="B27" s="8">
        <v>1</v>
      </c>
      <c r="C27" s="1" t="s">
        <v>67</v>
      </c>
      <c r="D27" s="30">
        <f>COUNTIF(TablaCorredores[Club],TablaEquipos[[#This Row],[Club]])</f>
        <v>0</v>
      </c>
    </row>
    <row r="28" spans="1:4" x14ac:dyDescent="0.25">
      <c r="A28" s="94">
        <v>24</v>
      </c>
      <c r="B28" s="8">
        <v>1</v>
      </c>
      <c r="C28" s="95" t="s">
        <v>160</v>
      </c>
      <c r="D28" s="30">
        <f>COUNTIF(TablaCorredores[Club],TablaEquipos[[#This Row],[Club]])</f>
        <v>0</v>
      </c>
    </row>
  </sheetData>
  <mergeCells count="2">
    <mergeCell ref="A1:D1"/>
    <mergeCell ref="A2:D2"/>
  </mergeCells>
  <conditionalFormatting sqref="B4:B28">
    <cfRule type="iconSet" priority="31">
      <iconSet showValue="0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6" tint="-0.499984740745262"/>
  </sheetPr>
  <dimension ref="A1:P19"/>
  <sheetViews>
    <sheetView workbookViewId="0">
      <pane ySplit="2" topLeftCell="A3" activePane="bottomLeft" state="frozen"/>
      <selection activeCell="H35" sqref="H35"/>
      <selection pane="bottomLeft" activeCell="J4" sqref="J4"/>
    </sheetView>
  </sheetViews>
  <sheetFormatPr baseColWidth="10" defaultRowHeight="12.75" x14ac:dyDescent="0.2"/>
  <cols>
    <col min="1" max="1" width="2.85546875" style="33" customWidth="1"/>
    <col min="2" max="2" width="2.85546875" style="35" customWidth="1"/>
    <col min="3" max="3" width="2.85546875" style="34" customWidth="1"/>
    <col min="4" max="5" width="2.85546875" style="35" customWidth="1"/>
    <col min="6" max="6" width="2.85546875" style="34" customWidth="1"/>
    <col min="7" max="7" width="2.85546875" style="35" customWidth="1"/>
    <col min="8" max="8" width="2.85546875" style="41" customWidth="1"/>
    <col min="9" max="9" width="10" style="10" customWidth="1"/>
    <col min="10" max="10" width="8.85546875" style="10" bestFit="1" customWidth="1"/>
    <col min="11" max="11" width="17.140625" style="13" customWidth="1"/>
    <col min="12" max="15" width="30" style="10" customWidth="1"/>
    <col min="16" max="16384" width="11.42578125" style="10"/>
  </cols>
  <sheetData>
    <row r="1" spans="1:16" ht="24" customHeight="1" x14ac:dyDescent="0.2">
      <c r="A1" s="124" t="s">
        <v>92</v>
      </c>
      <c r="B1" s="125"/>
      <c r="C1" s="125"/>
      <c r="D1" s="125"/>
      <c r="E1" s="125"/>
      <c r="F1" s="125"/>
      <c r="G1" s="125"/>
      <c r="H1" s="125"/>
      <c r="I1" s="121" t="s">
        <v>85</v>
      </c>
      <c r="J1" s="121"/>
      <c r="K1" s="121"/>
      <c r="L1" s="121"/>
      <c r="M1" s="121"/>
      <c r="N1" s="121"/>
      <c r="O1" s="121"/>
    </row>
    <row r="2" spans="1:16" ht="24" customHeight="1" x14ac:dyDescent="0.2">
      <c r="A2" s="122" t="s">
        <v>169</v>
      </c>
      <c r="B2" s="123"/>
      <c r="C2" s="123" t="s">
        <v>87</v>
      </c>
      <c r="D2" s="123"/>
      <c r="E2" s="123"/>
      <c r="F2" s="123" t="s">
        <v>91</v>
      </c>
      <c r="G2" s="123"/>
      <c r="H2" s="123"/>
      <c r="I2" s="126" t="str">
        <f>IF(CONTROL!$H$3&lt;&gt;"MACROS ACTIVADAS","ACTIVA LAS MACROS EN LA PESTAÑA DE CONTROL",CONCATENATE("Se han cogido los tiempos de ",COUNTA(TablaTiempos[Corredor])," corredores"))</f>
        <v>Se han cogido los tiempos de 16 corredores</v>
      </c>
      <c r="J2" s="126"/>
      <c r="K2" s="126"/>
      <c r="L2" s="126"/>
      <c r="M2" s="126" t="str">
        <f>IF(CONTROL!$H$3&lt;&gt;"MACROS ACTIVADAS","ACTIVA LAS MACROS EN LA PESTAÑA DE CONTROL",IF(COUNTIF(RangoEstadoCarreras,1)=0,"No hay carreras activas",CONCATENATE("Hay ",COUNTIF(RangoEstadoCarreras,1)," carrera/s activa/s")))</f>
        <v>No hay carreras activas</v>
      </c>
      <c r="N2" s="126"/>
      <c r="O2" s="126"/>
    </row>
    <row r="3" spans="1:16" s="13" customFormat="1" ht="24" customHeight="1" thickBot="1" x14ac:dyDescent="0.3">
      <c r="A3" s="42" t="s">
        <v>86</v>
      </c>
      <c r="B3" s="32" t="s">
        <v>95</v>
      </c>
      <c r="C3" s="31" t="s">
        <v>88</v>
      </c>
      <c r="D3" s="42" t="s">
        <v>89</v>
      </c>
      <c r="E3" s="32" t="s">
        <v>96</v>
      </c>
      <c r="F3" s="31" t="s">
        <v>90</v>
      </c>
      <c r="G3" s="63" t="s">
        <v>170</v>
      </c>
      <c r="H3" s="40" t="s">
        <v>97</v>
      </c>
      <c r="I3" s="110" t="s">
        <v>84</v>
      </c>
      <c r="J3" s="110" t="s">
        <v>24</v>
      </c>
      <c r="K3" s="110" t="s">
        <v>98</v>
      </c>
      <c r="L3" s="110" t="s">
        <v>47</v>
      </c>
      <c r="M3" s="110" t="s">
        <v>25</v>
      </c>
      <c r="N3" s="110" t="s">
        <v>79</v>
      </c>
      <c r="O3" s="110" t="s">
        <v>26</v>
      </c>
      <c r="P3" s="55"/>
    </row>
    <row r="4" spans="1:16" s="11" customFormat="1" x14ac:dyDescent="0.25">
      <c r="A4" s="101">
        <f>COUNTIF(M$4:M4,TablaTiempos[[#This Row],[Categoría]])</f>
        <v>1</v>
      </c>
      <c r="B4" s="101" t="str">
        <f>CONCATENATE(TablaTiempos[[#This Row],[Pos 1]],"_",TablaTiempos[[#This Row],[Categoría]])</f>
        <v>1_Sin Categoría</v>
      </c>
      <c r="C4" s="101" t="str">
        <f>CONCATENATE(TablaTiempos[[#This Row],[Categoría]],"_",TablaTiempos[[#This Row],[Carrera]])</f>
        <v>Sin Categoría_Sin carrera</v>
      </c>
      <c r="D4" s="101">
        <f>COUNTIF(C$4:C4,TablaTiempos[[#This Row],[Valor 2]])</f>
        <v>1</v>
      </c>
      <c r="E4" s="101" t="str">
        <f>CONCATENATE(TablaTiempos[[#This Row],[Pos 2]],"_",TablaTiempos[[#This Row],[Valor 2]])</f>
        <v>1_Sin Categoría_Sin carrera</v>
      </c>
      <c r="F4" s="101" t="str">
        <f>CONCATENATE(TablaTiempos[[#This Row],[Categoría]],"_",TablaTiempos[[#This Row],[Carrera]],"_",TablaTiempos[[#This Row],[Club]])</f>
        <v>Sin Categoría_Sin carrera_Otro Club</v>
      </c>
      <c r="G4" s="101">
        <f>COUNTIF(F$4:F4,TablaTiempos[[#This Row],[Valor 3]])</f>
        <v>1</v>
      </c>
      <c r="H4" s="101" t="str">
        <f>CONCATENATE(TablaTiempos[[#This Row],[Pos 3]],"_",TablaTiempos[[#This Row],[Valor 3]])</f>
        <v>1_Sin Categoría_Sin carrera_Otro Club</v>
      </c>
      <c r="I4" s="68">
        <f t="shared" ref="I4:I12" si="0">ROW()-4</f>
        <v>0</v>
      </c>
      <c r="J4" s="68">
        <v>0</v>
      </c>
      <c r="K4" s="69">
        <v>42367.008519444447</v>
      </c>
      <c r="L4" s="68" t="str">
        <f>VLOOKUP(TablaTiempos[[#This Row],[Dorsal]],TablaCorredores[[Dorsal]:[Participante]],2,FALSE)</f>
        <v>CORREDOR DE PRUEBA</v>
      </c>
      <c r="M4" s="70" t="str">
        <f>VLOOKUP(TablaTiempos[[#This Row],[Dorsal]],TablaCorredores[[Dorsal]:[Club]],6,FALSE)</f>
        <v>Sin Categoría</v>
      </c>
      <c r="N4" s="70" t="str">
        <f>VLOOKUP(TablaTiempos[[#This Row],[Dorsal]],TablaCorredores[[Dorsal]:[Club]],7,FALSE)</f>
        <v>Sin carrera</v>
      </c>
      <c r="O4" s="71" t="str">
        <f>VLOOKUP(TablaTiempos[[#This Row],[Dorsal]],TablaCorredores[[Dorsal]:[Club]],8,FALSE)</f>
        <v>Otro Club</v>
      </c>
    </row>
    <row r="5" spans="1:16" x14ac:dyDescent="0.2">
      <c r="A5" s="101">
        <f>COUNTIF(M$4:M5,TablaTiempos[[#This Row],[Categoría]])</f>
        <v>1</v>
      </c>
      <c r="B5" s="101" t="str">
        <f>CONCATENATE(TablaTiempos[[#This Row],[Pos 1]],"_",TablaTiempos[[#This Row],[Categoría]])</f>
        <v>1_VETERANO MASCULINO</v>
      </c>
      <c r="C5" s="101" t="str">
        <f>CONCATENATE(TablaTiempos[[#This Row],[Categoría]],"_",TablaTiempos[[#This Row],[Carrera]])</f>
        <v>VETERANO MASCULINO_CARRERA 8</v>
      </c>
      <c r="D5" s="101">
        <f>COUNTIF(C$4:C5,TablaTiempos[[#This Row],[Valor 2]])</f>
        <v>1</v>
      </c>
      <c r="E5" s="101" t="str">
        <f>CONCATENATE(TablaTiempos[[#This Row],[Pos 2]],"_",TablaTiempos[[#This Row],[Valor 2]])</f>
        <v>1_VETERANO MASCULINO_CARRERA 8</v>
      </c>
      <c r="F5" s="101" t="str">
        <f>CONCATENATE(TablaTiempos[[#This Row],[Categoría]],"_",TablaTiempos[[#This Row],[Carrera]],"_",TablaTiempos[[#This Row],[Club]])</f>
        <v>VETERANO MASCULINO_CARRERA 8_ATLETISMO PEÑA AZAGRESA</v>
      </c>
      <c r="G5" s="101">
        <f>COUNTIF(F$4:F5,TablaTiempos[[#This Row],[Valor 3]])</f>
        <v>1</v>
      </c>
      <c r="H5" s="101" t="str">
        <f>CONCATENATE(TablaTiempos[[#This Row],[Pos 3]],"_",TablaTiempos[[#This Row],[Valor 3]])</f>
        <v>1_VETERANO MASCULINO_CARRERA 8_ATLETISMO PEÑA AZAGRESA</v>
      </c>
      <c r="I5" s="64">
        <f t="shared" si="0"/>
        <v>1</v>
      </c>
      <c r="J5" s="64">
        <v>1</v>
      </c>
      <c r="K5" s="65">
        <v>42361.026143518517</v>
      </c>
      <c r="L5" s="66" t="str">
        <f>VLOOKUP(TablaTiempos[[#This Row],[Dorsal]],TablaCorredores[[Dorsal]:[Participante]],2,FALSE)</f>
        <v>ALASSANE DIALLO</v>
      </c>
      <c r="M5" s="67" t="str">
        <f>VLOOKUP(TablaTiempos[[#This Row],[Dorsal]],TablaCorredores[[Dorsal]:[Club]],6,FALSE)</f>
        <v>VETERANO MASCULINO</v>
      </c>
      <c r="N5" s="67" t="str">
        <f>VLOOKUP(TablaTiempos[[#This Row],[Dorsal]],TablaCorredores[[Dorsal]:[Club]],7,FALSE)</f>
        <v>CARRERA 8</v>
      </c>
      <c r="O5" s="72" t="str">
        <f>VLOOKUP(TablaTiempos[[#This Row],[Dorsal]],TablaCorredores[[Dorsal]:[Club]],8,FALSE)</f>
        <v>ATLETISMO PEÑA AZAGRESA</v>
      </c>
    </row>
    <row r="6" spans="1:16" x14ac:dyDescent="0.2">
      <c r="A6" s="101">
        <f>COUNTIF(M$4:M6,TablaTiempos[[#This Row],[Categoría]])</f>
        <v>2</v>
      </c>
      <c r="B6" s="101" t="str">
        <f>CONCATENATE(TablaTiempos[[#This Row],[Pos 1]],"_",TablaTiempos[[#This Row],[Categoría]])</f>
        <v>2_VETERANO MASCULINO</v>
      </c>
      <c r="C6" s="101" t="str">
        <f>CONCATENATE(TablaTiempos[[#This Row],[Categoría]],"_",TablaTiempos[[#This Row],[Carrera]])</f>
        <v>VETERANO MASCULINO_CARRERA 8</v>
      </c>
      <c r="D6" s="101">
        <f>COUNTIF(C$4:C6,TablaTiempos[[#This Row],[Valor 2]])</f>
        <v>2</v>
      </c>
      <c r="E6" s="101" t="str">
        <f>CONCATENATE(TablaTiempos[[#This Row],[Pos 2]],"_",TablaTiempos[[#This Row],[Valor 2]])</f>
        <v>2_VETERANO MASCULINO_CARRERA 8</v>
      </c>
      <c r="F6" s="101" t="str">
        <f>CONCATENATE(TablaTiempos[[#This Row],[Categoría]],"_",TablaTiempos[[#This Row],[Carrera]],"_",TablaTiempos[[#This Row],[Club]])</f>
        <v>VETERANO MASCULINO_CARRERA 8_RINCÓN ATLETISMO</v>
      </c>
      <c r="G6" s="101">
        <f>COUNTIF(F$4:F6,TablaTiempos[[#This Row],[Valor 3]])</f>
        <v>1</v>
      </c>
      <c r="H6" s="101" t="str">
        <f>CONCATENATE(TablaTiempos[[#This Row],[Pos 3]],"_",TablaTiempos[[#This Row],[Valor 3]])</f>
        <v>1_VETERANO MASCULINO_CARRERA 8_RINCÓN ATLETISMO</v>
      </c>
      <c r="I6" s="64">
        <f t="shared" si="0"/>
        <v>2</v>
      </c>
      <c r="J6" s="64">
        <v>2</v>
      </c>
      <c r="K6" s="65">
        <v>42361.02615636574</v>
      </c>
      <c r="L6" s="66" t="str">
        <f>VLOOKUP(TablaTiempos[[#This Row],[Dorsal]],TablaCorredores[[Dorsal]:[Participante]],2,FALSE)</f>
        <v>ALBERTO ALVAREZ JIMENEZ</v>
      </c>
      <c r="M6" s="67" t="str">
        <f>VLOOKUP(TablaTiempos[[#This Row],[Dorsal]],TablaCorredores[[Dorsal]:[Club]],6,FALSE)</f>
        <v>VETERANO MASCULINO</v>
      </c>
      <c r="N6" s="67" t="str">
        <f>VLOOKUP(TablaTiempos[[#This Row],[Dorsal]],TablaCorredores[[Dorsal]:[Club]],7,FALSE)</f>
        <v>CARRERA 8</v>
      </c>
      <c r="O6" s="72" t="str">
        <f>VLOOKUP(TablaTiempos[[#This Row],[Dorsal]],TablaCorredores[[Dorsal]:[Club]],8,FALSE)</f>
        <v>RINCÓN ATLETISMO</v>
      </c>
    </row>
    <row r="7" spans="1:16" x14ac:dyDescent="0.2">
      <c r="A7" s="101">
        <f>COUNTIF(M$4:M7,TablaTiempos[[#This Row],[Categoría]])</f>
        <v>1</v>
      </c>
      <c r="B7" s="101" t="str">
        <f>CONCATENATE(TablaTiempos[[#This Row],[Pos 1]],"_",TablaTiempos[[#This Row],[Categoría]])</f>
        <v>1_SENIOR MASCULINO</v>
      </c>
      <c r="C7" s="101" t="str">
        <f>CONCATENATE(TablaTiempos[[#This Row],[Categoría]],"_",TablaTiempos[[#This Row],[Carrera]])</f>
        <v>SENIOR MASCULINO_CARRERA 8</v>
      </c>
      <c r="D7" s="101">
        <f>COUNTIF(C$4:C7,TablaTiempos[[#This Row],[Valor 2]])</f>
        <v>1</v>
      </c>
      <c r="E7" s="101" t="str">
        <f>CONCATENATE(TablaTiempos[[#This Row],[Pos 2]],"_",TablaTiempos[[#This Row],[Valor 2]])</f>
        <v>1_SENIOR MASCULINO_CARRERA 8</v>
      </c>
      <c r="F7" s="101" t="str">
        <f>CONCATENATE(TablaTiempos[[#This Row],[Categoría]],"_",TablaTiempos[[#This Row],[Carrera]],"_",TablaTiempos[[#This Row],[Club]])</f>
        <v>SENIOR MASCULINO_CARRERA 8_ATLETISMO ENTREVIÑAS</v>
      </c>
      <c r="G7" s="101">
        <f>COUNTIF(F$4:F7,TablaTiempos[[#This Row],[Valor 3]])</f>
        <v>1</v>
      </c>
      <c r="H7" s="101" t="str">
        <f>CONCATENATE(TablaTiempos[[#This Row],[Pos 3]],"_",TablaTiempos[[#This Row],[Valor 3]])</f>
        <v>1_SENIOR MASCULINO_CARRERA 8_ATLETISMO ENTREVIÑAS</v>
      </c>
      <c r="I7" s="64">
        <f t="shared" si="0"/>
        <v>3</v>
      </c>
      <c r="J7" s="64">
        <v>3</v>
      </c>
      <c r="K7" s="65">
        <v>42360.026169560188</v>
      </c>
      <c r="L7" s="66" t="str">
        <f>VLOOKUP(TablaTiempos[[#This Row],[Dorsal]],TablaCorredores[[Dorsal]:[Participante]],2,FALSE)</f>
        <v>ALBERTO BENITO DEL RIO</v>
      </c>
      <c r="M7" s="67" t="str">
        <f>VLOOKUP(TablaTiempos[[#This Row],[Dorsal]],TablaCorredores[[Dorsal]:[Club]],6,FALSE)</f>
        <v>SENIOR MASCULINO</v>
      </c>
      <c r="N7" s="67" t="str">
        <f>VLOOKUP(TablaTiempos[[#This Row],[Dorsal]],TablaCorredores[[Dorsal]:[Club]],7,FALSE)</f>
        <v>CARRERA 8</v>
      </c>
      <c r="O7" s="72" t="str">
        <f>VLOOKUP(TablaTiempos[[#This Row],[Dorsal]],TablaCorredores[[Dorsal]:[Club]],8,FALSE)</f>
        <v>ATLETISMO ENTREVIÑAS</v>
      </c>
    </row>
    <row r="8" spans="1:16" x14ac:dyDescent="0.2">
      <c r="A8" s="101">
        <f>COUNTIF(M$4:M8,TablaTiempos[[#This Row],[Categoría]])</f>
        <v>1</v>
      </c>
      <c r="B8" s="101" t="str">
        <f>CONCATENATE(TablaTiempos[[#This Row],[Pos 1]],"_",TablaTiempos[[#This Row],[Categoría]])</f>
        <v>1_CHUPETE</v>
      </c>
      <c r="C8" s="101" t="str">
        <f>CONCATENATE(TablaTiempos[[#This Row],[Categoría]],"_",TablaTiempos[[#This Row],[Carrera]])</f>
        <v>CHUPETE_CARRERA 7</v>
      </c>
      <c r="D8" s="101">
        <f>COUNTIF(C$4:C8,TablaTiempos[[#This Row],[Valor 2]])</f>
        <v>1</v>
      </c>
      <c r="E8" s="101" t="str">
        <f>CONCATENATE(TablaTiempos[[#This Row],[Pos 2]],"_",TablaTiempos[[#This Row],[Valor 2]])</f>
        <v>1_CHUPETE_CARRERA 7</v>
      </c>
      <c r="F8" s="101" t="str">
        <f>CONCATENATE(TablaTiempos[[#This Row],[Categoría]],"_",TablaTiempos[[#This Row],[Carrera]],"_",TablaTiempos[[#This Row],[Club]])</f>
        <v>CHUPETE_CARRERA 7_ATLETISMO ENTREVIÑAS</v>
      </c>
      <c r="G8" s="101">
        <f>COUNTIF(F$4:F8,TablaTiempos[[#This Row],[Valor 3]])</f>
        <v>1</v>
      </c>
      <c r="H8" s="101" t="str">
        <f>CONCATENATE(TablaTiempos[[#This Row],[Pos 3]],"_",TablaTiempos[[#This Row],[Valor 3]])</f>
        <v>1_CHUPETE_CARRERA 7_ATLETISMO ENTREVIÑAS</v>
      </c>
      <c r="I8" s="64">
        <f t="shared" si="0"/>
        <v>4</v>
      </c>
      <c r="J8" s="64">
        <v>4</v>
      </c>
      <c r="K8" s="65">
        <v>42367.026183680558</v>
      </c>
      <c r="L8" s="66" t="str">
        <f>VLOOKUP(TablaTiempos[[#This Row],[Dorsal]],TablaCorredores[[Dorsal]:[Participante]],2,FALSE)</f>
        <v>ALBERTO RUBIO BRETON</v>
      </c>
      <c r="M8" s="67" t="str">
        <f>VLOOKUP(TablaTiempos[[#This Row],[Dorsal]],TablaCorredores[[Dorsal]:[Club]],6,FALSE)</f>
        <v>CHUPETE</v>
      </c>
      <c r="N8" s="67" t="str">
        <f>VLOOKUP(TablaTiempos[[#This Row],[Dorsal]],TablaCorredores[[Dorsal]:[Club]],7,FALSE)</f>
        <v>CARRERA 7</v>
      </c>
      <c r="O8" s="72" t="str">
        <f>VLOOKUP(TablaTiempos[[#This Row],[Dorsal]],TablaCorredores[[Dorsal]:[Club]],8,FALSE)</f>
        <v>ATLETISMO ENTREVIÑAS</v>
      </c>
    </row>
    <row r="9" spans="1:16" x14ac:dyDescent="0.2">
      <c r="A9" s="101">
        <f>COUNTIF(M$4:M9,TablaTiempos[[#This Row],[Categoría]])</f>
        <v>1</v>
      </c>
      <c r="B9" s="101" t="str">
        <f>CONCATENATE(TablaTiempos[[#This Row],[Pos 1]],"_",TablaTiempos[[#This Row],[Categoría]])</f>
        <v>1_INFANTIL FEMENINO</v>
      </c>
      <c r="C9" s="101" t="str">
        <f>CONCATENATE(TablaTiempos[[#This Row],[Categoría]],"_",TablaTiempos[[#This Row],[Carrera]])</f>
        <v>INFANTIL FEMENINO_CARRERA 5</v>
      </c>
      <c r="D9" s="101">
        <f>COUNTIF(C$4:C9,TablaTiempos[[#This Row],[Valor 2]])</f>
        <v>1</v>
      </c>
      <c r="E9" s="101" t="str">
        <f>CONCATENATE(TablaTiempos[[#This Row],[Pos 2]],"_",TablaTiempos[[#This Row],[Valor 2]])</f>
        <v>1_INFANTIL FEMENINO_CARRERA 5</v>
      </c>
      <c r="F9" s="101" t="str">
        <f>CONCATENATE(TablaTiempos[[#This Row],[Categoría]],"_",TablaTiempos[[#This Row],[Carrera]],"_",TablaTiempos[[#This Row],[Club]])</f>
        <v>INFANTIL FEMENINO_CARRERA 5_INDEPENDIENTE</v>
      </c>
      <c r="G9" s="101">
        <f>COUNTIF(F$4:F9,TablaTiempos[[#This Row],[Valor 3]])</f>
        <v>1</v>
      </c>
      <c r="H9" s="101" t="str">
        <f>CONCATENATE(TablaTiempos[[#This Row],[Pos 3]],"_",TablaTiempos[[#This Row],[Valor 3]])</f>
        <v>1_INFANTIL FEMENINO_CARRERA 5_INDEPENDIENTE</v>
      </c>
      <c r="I9" s="64">
        <f t="shared" si="0"/>
        <v>5</v>
      </c>
      <c r="J9" s="64">
        <v>5</v>
      </c>
      <c r="K9" s="65">
        <v>42367.026196064813</v>
      </c>
      <c r="L9" s="66" t="str">
        <f>VLOOKUP(TablaTiempos[[#This Row],[Dorsal]],TablaCorredores[[Dorsal]:[Participante]],2,FALSE)</f>
        <v>ALEJANDRO MARQUEZ CANO</v>
      </c>
      <c r="M9" s="67" t="str">
        <f>VLOOKUP(TablaTiempos[[#This Row],[Dorsal]],TablaCorredores[[Dorsal]:[Club]],6,FALSE)</f>
        <v>INFANTIL FEMENINO</v>
      </c>
      <c r="N9" s="67" t="str">
        <f>VLOOKUP(TablaTiempos[[#This Row],[Dorsal]],TablaCorredores[[Dorsal]:[Club]],7,FALSE)</f>
        <v>CARRERA 5</v>
      </c>
      <c r="O9" s="72" t="str">
        <f>VLOOKUP(TablaTiempos[[#This Row],[Dorsal]],TablaCorredores[[Dorsal]:[Club]],8,FALSE)</f>
        <v>INDEPENDIENTE</v>
      </c>
    </row>
    <row r="10" spans="1:16" x14ac:dyDescent="0.2">
      <c r="A10" s="101">
        <f>COUNTIF(M$4:M10,TablaTiempos[[#This Row],[Categoría]])</f>
        <v>3</v>
      </c>
      <c r="B10" s="101" t="str">
        <f>CONCATENATE(TablaTiempos[[#This Row],[Pos 1]],"_",TablaTiempos[[#This Row],[Categoría]])</f>
        <v>3_VETERANO MASCULINO</v>
      </c>
      <c r="C10" s="101" t="str">
        <f>CONCATENATE(TablaTiempos[[#This Row],[Categoría]],"_",TablaTiempos[[#This Row],[Carrera]])</f>
        <v>VETERANO MASCULINO_CARRERA 8</v>
      </c>
      <c r="D10" s="101">
        <f>COUNTIF(C$4:C10,TablaTiempos[[#This Row],[Valor 2]])</f>
        <v>3</v>
      </c>
      <c r="E10" s="101" t="str">
        <f>CONCATENATE(TablaTiempos[[#This Row],[Pos 2]],"_",TablaTiempos[[#This Row],[Valor 2]])</f>
        <v>3_VETERANO MASCULINO_CARRERA 8</v>
      </c>
      <c r="F10" s="101" t="str">
        <f>CONCATENATE(TablaTiempos[[#This Row],[Categoría]],"_",TablaTiempos[[#This Row],[Carrera]],"_",TablaTiempos[[#This Row],[Club]])</f>
        <v>VETERANO MASCULINO_CARRERA 8_INTER-RUNNERS</v>
      </c>
      <c r="G10" s="101">
        <f>COUNTIF(F$4:F10,TablaTiempos[[#This Row],[Valor 3]])</f>
        <v>1</v>
      </c>
      <c r="H10" s="101" t="str">
        <f>CONCATENATE(TablaTiempos[[#This Row],[Pos 3]],"_",TablaTiempos[[#This Row],[Valor 3]])</f>
        <v>1_VETERANO MASCULINO_CARRERA 8_INTER-RUNNERS</v>
      </c>
      <c r="I10" s="11">
        <f t="shared" si="0"/>
        <v>6</v>
      </c>
      <c r="J10" s="11">
        <v>6</v>
      </c>
      <c r="K10" s="76">
        <v>42361.026207291667</v>
      </c>
      <c r="L10" s="77" t="str">
        <f>VLOOKUP(TablaTiempos[[#This Row],[Dorsal]],TablaCorredores[[Dorsal]:[Participante]],2,FALSE)</f>
        <v>ALEJANDRO MUÑOZ FERNÁNDEZ</v>
      </c>
      <c r="M10" s="78" t="str">
        <f>VLOOKUP(TablaTiempos[[#This Row],[Dorsal]],TablaCorredores[[Dorsal]:[Club]],6,FALSE)</f>
        <v>VETERANO MASCULINO</v>
      </c>
      <c r="N10" s="78" t="str">
        <f>VLOOKUP(TablaTiempos[[#This Row],[Dorsal]],TablaCorredores[[Dorsal]:[Club]],7,FALSE)</f>
        <v>CARRERA 8</v>
      </c>
      <c r="O10" s="72" t="str">
        <f>VLOOKUP(TablaTiempos[[#This Row],[Dorsal]],TablaCorredores[[Dorsal]:[Club]],8,FALSE)</f>
        <v>INTER-RUNNERS</v>
      </c>
    </row>
    <row r="11" spans="1:16" x14ac:dyDescent="0.2">
      <c r="A11" s="101">
        <f>COUNTIF(M$4:M11,TablaTiempos[[#This Row],[Categoría]])</f>
        <v>1</v>
      </c>
      <c r="B11" s="101" t="str">
        <f>CONCATENATE(TablaTiempos[[#This Row],[Pos 1]],"_",TablaTiempos[[#This Row],[Categoría]])</f>
        <v>1_VETERANO FEMENINO</v>
      </c>
      <c r="C11" s="101" t="str">
        <f>CONCATENATE(TablaTiempos[[#This Row],[Categoría]],"_",TablaTiempos[[#This Row],[Carrera]])</f>
        <v>VETERANO FEMENINO_CARRERA 8</v>
      </c>
      <c r="D11" s="101">
        <f>COUNTIF(C$4:C11,TablaTiempos[[#This Row],[Valor 2]])</f>
        <v>1</v>
      </c>
      <c r="E11" s="101" t="str">
        <f>CONCATENATE(TablaTiempos[[#This Row],[Pos 2]],"_",TablaTiempos[[#This Row],[Valor 2]])</f>
        <v>1_VETERANO FEMENINO_CARRERA 8</v>
      </c>
      <c r="F11" s="101" t="str">
        <f>CONCATENATE(TablaTiempos[[#This Row],[Categoría]],"_",TablaTiempos[[#This Row],[Carrera]],"_",TablaTiempos[[#This Row],[Club]])</f>
        <v>VETERANO FEMENINO_CARRERA 8_CLARA CAMPOAMOR</v>
      </c>
      <c r="G11" s="101">
        <f>COUNTIF(F$4:F11,TablaTiempos[[#This Row],[Valor 3]])</f>
        <v>1</v>
      </c>
      <c r="H11" s="101" t="str">
        <f>CONCATENATE(TablaTiempos[[#This Row],[Pos 3]],"_",TablaTiempos[[#This Row],[Valor 3]])</f>
        <v>1_VETERANO FEMENINO_CARRERA 8_CLARA CAMPOAMOR</v>
      </c>
      <c r="I11" s="11">
        <f t="shared" si="0"/>
        <v>7</v>
      </c>
      <c r="J11" s="11">
        <v>7</v>
      </c>
      <c r="K11" s="76">
        <v>42360.026218749997</v>
      </c>
      <c r="L11" s="77" t="str">
        <f>VLOOKUP(TablaTiempos[[#This Row],[Dorsal]],TablaCorredores[[Dorsal]:[Participante]],2,FALSE)</f>
        <v>ALEX ARAGON</v>
      </c>
      <c r="M11" s="78" t="str">
        <f>VLOOKUP(TablaTiempos[[#This Row],[Dorsal]],TablaCorredores[[Dorsal]:[Club]],6,FALSE)</f>
        <v>VETERANO FEMENINO</v>
      </c>
      <c r="N11" s="78" t="str">
        <f>VLOOKUP(TablaTiempos[[#This Row],[Dorsal]],TablaCorredores[[Dorsal]:[Club]],7,FALSE)</f>
        <v>CARRERA 8</v>
      </c>
      <c r="O11" s="72" t="str">
        <f>VLOOKUP(TablaTiempos[[#This Row],[Dorsal]],TablaCorredores[[Dorsal]:[Club]],8,FALSE)</f>
        <v>CLARA CAMPOAMOR</v>
      </c>
    </row>
    <row r="12" spans="1:16" x14ac:dyDescent="0.2">
      <c r="A12" s="101">
        <f>COUNTIF(M$4:M12,TablaTiempos[[#This Row],[Categoría]])</f>
        <v>2</v>
      </c>
      <c r="B12" s="101" t="str">
        <f>CONCATENATE(TablaTiempos[[#This Row],[Pos 1]],"_",TablaTiempos[[#This Row],[Categoría]])</f>
        <v>2_VETERANO FEMENINO</v>
      </c>
      <c r="C12" s="101" t="str">
        <f>CONCATENATE(TablaTiempos[[#This Row],[Categoría]],"_",TablaTiempos[[#This Row],[Carrera]])</f>
        <v>VETERANO FEMENINO_CARRERA 8</v>
      </c>
      <c r="D12" s="101">
        <f>COUNTIF(C$4:C12,TablaTiempos[[#This Row],[Valor 2]])</f>
        <v>2</v>
      </c>
      <c r="E12" s="101" t="str">
        <f>CONCATENATE(TablaTiempos[[#This Row],[Pos 2]],"_",TablaTiempos[[#This Row],[Valor 2]])</f>
        <v>2_VETERANO FEMENINO_CARRERA 8</v>
      </c>
      <c r="F12" s="101" t="str">
        <f>CONCATENATE(TablaTiempos[[#This Row],[Categoría]],"_",TablaTiempos[[#This Row],[Carrera]],"_",TablaTiempos[[#This Row],[Club]])</f>
        <v>VETERANO FEMENINO_CARRERA 8_INDEPENDIENTE</v>
      </c>
      <c r="G12" s="101">
        <f>COUNTIF(F$4:F12,TablaTiempos[[#This Row],[Valor 3]])</f>
        <v>1</v>
      </c>
      <c r="H12" s="101" t="str">
        <f>CONCATENATE(TablaTiempos[[#This Row],[Pos 3]],"_",TablaTiempos[[#This Row],[Valor 3]])</f>
        <v>1_VETERANO FEMENINO_CARRERA 8_INDEPENDIENTE</v>
      </c>
      <c r="I12" s="11">
        <f t="shared" si="0"/>
        <v>8</v>
      </c>
      <c r="J12" s="11">
        <v>9</v>
      </c>
      <c r="K12" s="76">
        <v>42361.026248842594</v>
      </c>
      <c r="L12" s="77" t="str">
        <f>VLOOKUP(TablaTiempos[[#This Row],[Dorsal]],TablaCorredores[[Dorsal]:[Participante]],2,FALSE)</f>
        <v>ALICIA SANTOS ESPINOSA</v>
      </c>
      <c r="M12" s="78" t="str">
        <f>VLOOKUP(TablaTiempos[[#This Row],[Dorsal]],TablaCorredores[[Dorsal]:[Club]],6,FALSE)</f>
        <v>VETERANO FEMENINO</v>
      </c>
      <c r="N12" s="78" t="str">
        <f>VLOOKUP(TablaTiempos[[#This Row],[Dorsal]],TablaCorredores[[Dorsal]:[Club]],7,FALSE)</f>
        <v>CARRERA 8</v>
      </c>
      <c r="O12" s="72" t="str">
        <f>VLOOKUP(TablaTiempos[[#This Row],[Dorsal]],TablaCorredores[[Dorsal]:[Club]],8,FALSE)</f>
        <v>INDEPENDIENTE</v>
      </c>
    </row>
    <row r="13" spans="1:16" x14ac:dyDescent="0.2">
      <c r="A13" s="101">
        <f>COUNTIF(M$4:M13,TablaTiempos[[#This Row],[Categoría]])</f>
        <v>3</v>
      </c>
      <c r="B13" s="101" t="str">
        <f>CONCATENATE(TablaTiempos[[#This Row],[Pos 1]],"_",TablaTiempos[[#This Row],[Categoría]])</f>
        <v>3_VETERANO FEMENINO</v>
      </c>
      <c r="C13" s="101" t="str">
        <f>CONCATENATE(TablaTiempos[[#This Row],[Categoría]],"_",TablaTiempos[[#This Row],[Carrera]])</f>
        <v>VETERANO FEMENINO_CARRERA 8</v>
      </c>
      <c r="D13" s="101">
        <f>COUNTIF(C$4:C13,TablaTiempos[[#This Row],[Valor 2]])</f>
        <v>3</v>
      </c>
      <c r="E13" s="101" t="str">
        <f>CONCATENATE(TablaTiempos[[#This Row],[Pos 2]],"_",TablaTiempos[[#This Row],[Valor 2]])</f>
        <v>3_VETERANO FEMENINO_CARRERA 8</v>
      </c>
      <c r="F13" s="101" t="str">
        <f>CONCATENATE(TablaTiempos[[#This Row],[Categoría]],"_",TablaTiempos[[#This Row],[Carrera]],"_",TablaTiempos[[#This Row],[Club]])</f>
        <v>VETERANO FEMENINO_CARRERA 8_INDEPENDIENTE</v>
      </c>
      <c r="G13" s="101">
        <f>COUNTIF(F$4:F13,TablaTiempos[[#This Row],[Valor 3]])</f>
        <v>2</v>
      </c>
      <c r="H13" s="101" t="str">
        <f>CONCATENATE(TablaTiempos[[#This Row],[Pos 3]],"_",TablaTiempos[[#This Row],[Valor 3]])</f>
        <v>2_VETERANO FEMENINO_CARRERA 8_INDEPENDIENTE</v>
      </c>
      <c r="I13" s="77">
        <f t="shared" ref="I13" si="1">ROW()-4</f>
        <v>9</v>
      </c>
      <c r="J13" s="11">
        <v>10</v>
      </c>
      <c r="K13" s="76">
        <v>42361.029602546296</v>
      </c>
      <c r="L13" s="77" t="str">
        <f>VLOOKUP(TablaTiempos[[#This Row],[Dorsal]],TablaCorredores[[Dorsal]:[Participante]],2,FALSE)</f>
        <v>ALVARO MARTINEZ MENDOZA</v>
      </c>
      <c r="M13" s="78" t="str">
        <f>VLOOKUP(TablaTiempos[[#This Row],[Dorsal]],TablaCorredores[[Dorsal]:[Club]],6,FALSE)</f>
        <v>VETERANO FEMENINO</v>
      </c>
      <c r="N13" s="78" t="str">
        <f>VLOOKUP(TablaTiempos[[#This Row],[Dorsal]],TablaCorredores[[Dorsal]:[Club]],7,FALSE)</f>
        <v>CARRERA 8</v>
      </c>
      <c r="O13" s="72" t="str">
        <f>VLOOKUP(TablaTiempos[[#This Row],[Dorsal]],TablaCorredores[[Dorsal]:[Club]],8,FALSE)</f>
        <v>INDEPENDIENTE</v>
      </c>
    </row>
    <row r="14" spans="1:16" x14ac:dyDescent="0.2">
      <c r="A14" s="101">
        <f>COUNTIF(M$4:M14,TablaTiempos[[#This Row],[Categoría]])</f>
        <v>1</v>
      </c>
      <c r="B14" s="101" t="str">
        <f>CONCATENATE(TablaTiempos[[#This Row],[Pos 1]],"_",TablaTiempos[[#This Row],[Categoría]])</f>
        <v>1_PREBENJAMÍN</v>
      </c>
      <c r="C14" s="101" t="str">
        <f>CONCATENATE(TablaTiempos[[#This Row],[Categoría]],"_",TablaTiempos[[#This Row],[Carrera]])</f>
        <v>PREBENJAMÍN_CARRERA 6</v>
      </c>
      <c r="D14" s="101">
        <f>COUNTIF(C$4:C14,TablaTiempos[[#This Row],[Valor 2]])</f>
        <v>1</v>
      </c>
      <c r="E14" s="101" t="str">
        <f>CONCATENATE(TablaTiempos[[#This Row],[Pos 2]],"_",TablaTiempos[[#This Row],[Valor 2]])</f>
        <v>1_PREBENJAMÍN_CARRERA 6</v>
      </c>
      <c r="F14" s="101" t="str">
        <f>CONCATENATE(TablaTiempos[[#This Row],[Categoría]],"_",TablaTiempos[[#This Row],[Carrera]],"_",TablaTiempos[[#This Row],[Club]])</f>
        <v>PREBENJAMÍN_CARRERA 6_INDEPENDIENTE</v>
      </c>
      <c r="G14" s="101">
        <f>COUNTIF(F$4:F14,TablaTiempos[[#This Row],[Valor 3]])</f>
        <v>1</v>
      </c>
      <c r="H14" s="101" t="str">
        <f>CONCATENATE(TablaTiempos[[#This Row],[Pos 3]],"_",TablaTiempos[[#This Row],[Valor 3]])</f>
        <v>1_PREBENJAMÍN_CARRERA 6_INDEPENDIENTE</v>
      </c>
      <c r="I14" s="77">
        <f t="shared" ref="I14:I19" si="2">ROW()-4</f>
        <v>10</v>
      </c>
      <c r="J14" s="11">
        <v>23</v>
      </c>
      <c r="K14" s="76">
        <v>2.582175875431858E-4</v>
      </c>
      <c r="L14" s="77" t="str">
        <f>VLOOKUP(TablaTiempos[[#This Row],[Dorsal]],TablaCorredores[[Dorsal]:[Participante]],2,FALSE)</f>
        <v>TOMAS CABALLERO</v>
      </c>
      <c r="M14" s="78" t="str">
        <f>VLOOKUP(TablaTiempos[[#This Row],[Dorsal]],TablaCorredores[[Dorsal]:[Club]],6,FALSE)</f>
        <v>PREBENJAMÍN</v>
      </c>
      <c r="N14" s="78" t="str">
        <f>VLOOKUP(TablaTiempos[[#This Row],[Dorsal]],TablaCorredores[[Dorsal]:[Club]],7,FALSE)</f>
        <v>CARRERA 6</v>
      </c>
      <c r="O14" s="72" t="str">
        <f>VLOOKUP(TablaTiempos[[#This Row],[Dorsal]],TablaCorredores[[Dorsal]:[Club]],8,FALSE)</f>
        <v>INDEPENDIENTE</v>
      </c>
    </row>
    <row r="15" spans="1:16" x14ac:dyDescent="0.2">
      <c r="A15" s="101">
        <f>COUNTIF(M$4:M15,TablaTiempos[[#This Row],[Categoría]])</f>
        <v>2</v>
      </c>
      <c r="B15" s="101" t="str">
        <f>CONCATENATE(TablaTiempos[[#This Row],[Pos 1]],"_",TablaTiempos[[#This Row],[Categoría]])</f>
        <v>2_PREBENJAMÍN</v>
      </c>
      <c r="C15" s="101" t="str">
        <f>CONCATENATE(TablaTiempos[[#This Row],[Categoría]],"_",TablaTiempos[[#This Row],[Carrera]])</f>
        <v>PREBENJAMÍN_CARRERA 6</v>
      </c>
      <c r="D15" s="101">
        <f>COUNTIF(C$4:C15,TablaTiempos[[#This Row],[Valor 2]])</f>
        <v>2</v>
      </c>
      <c r="E15" s="101" t="str">
        <f>CONCATENATE(TablaTiempos[[#This Row],[Pos 2]],"_",TablaTiempos[[#This Row],[Valor 2]])</f>
        <v>2_PREBENJAMÍN_CARRERA 6</v>
      </c>
      <c r="F15" s="101" t="str">
        <f>CONCATENATE(TablaTiempos[[#This Row],[Categoría]],"_",TablaTiempos[[#This Row],[Carrera]],"_",TablaTiempos[[#This Row],[Club]])</f>
        <v>PREBENJAMÍN_CARRERA 6_INDEPENDIENTE</v>
      </c>
      <c r="G15" s="101">
        <f>COUNTIF(F$4:F15,TablaTiempos[[#This Row],[Valor 3]])</f>
        <v>2</v>
      </c>
      <c r="H15" s="101" t="str">
        <f>CONCATENATE(TablaTiempos[[#This Row],[Pos 3]],"_",TablaTiempos[[#This Row],[Valor 3]])</f>
        <v>2_PREBENJAMÍN_CARRERA 6_INDEPENDIENTE</v>
      </c>
      <c r="I15" s="77">
        <f t="shared" si="2"/>
        <v>11</v>
      </c>
      <c r="J15" s="11">
        <v>25</v>
      </c>
      <c r="K15" s="76">
        <v>3.113425918854773E-4</v>
      </c>
      <c r="L15" s="77" t="str">
        <f>VLOOKUP(TablaTiempos[[#This Row],[Dorsal]],TablaCorredores[[Dorsal]:[Participante]],2,FALSE)</f>
        <v>LUISA BERNARDA</v>
      </c>
      <c r="M15" s="78" t="str">
        <f>VLOOKUP(TablaTiempos[[#This Row],[Dorsal]],TablaCorredores[[Dorsal]:[Club]],6,FALSE)</f>
        <v>PREBENJAMÍN</v>
      </c>
      <c r="N15" s="78" t="str">
        <f>VLOOKUP(TablaTiempos[[#This Row],[Dorsal]],TablaCorredores[[Dorsal]:[Club]],7,FALSE)</f>
        <v>CARRERA 6</v>
      </c>
      <c r="O15" s="72" t="str">
        <f>VLOOKUP(TablaTiempos[[#This Row],[Dorsal]],TablaCorredores[[Dorsal]:[Club]],8,FALSE)</f>
        <v>INDEPENDIENTE</v>
      </c>
    </row>
    <row r="16" spans="1:16" x14ac:dyDescent="0.2">
      <c r="A16" s="101">
        <f>COUNTIF(M$4:M16,TablaTiempos[[#This Row],[Categoría]])</f>
        <v>3</v>
      </c>
      <c r="B16" s="101" t="str">
        <f>CONCATENATE(TablaTiempos[[#This Row],[Pos 1]],"_",TablaTiempos[[#This Row],[Categoría]])</f>
        <v>3_PREBENJAMÍN</v>
      </c>
      <c r="C16" s="101" t="str">
        <f>CONCATENATE(TablaTiempos[[#This Row],[Categoría]],"_",TablaTiempos[[#This Row],[Carrera]])</f>
        <v>PREBENJAMÍN_CARRERA 6</v>
      </c>
      <c r="D16" s="101">
        <f>COUNTIF(C$4:C16,TablaTiempos[[#This Row],[Valor 2]])</f>
        <v>3</v>
      </c>
      <c r="E16" s="101" t="str">
        <f>CONCATENATE(TablaTiempos[[#This Row],[Pos 2]],"_",TablaTiempos[[#This Row],[Valor 2]])</f>
        <v>3_PREBENJAMÍN_CARRERA 6</v>
      </c>
      <c r="F16" s="101" t="str">
        <f>CONCATENATE(TablaTiempos[[#This Row],[Categoría]],"_",TablaTiempos[[#This Row],[Carrera]],"_",TablaTiempos[[#This Row],[Club]])</f>
        <v>PREBENJAMÍN_CARRERA 6_INDEPENDIENTE</v>
      </c>
      <c r="G16" s="101">
        <f>COUNTIF(F$4:F16,TablaTiempos[[#This Row],[Valor 3]])</f>
        <v>3</v>
      </c>
      <c r="H16" s="101" t="str">
        <f>CONCATENATE(TablaTiempos[[#This Row],[Pos 3]],"_",TablaTiempos[[#This Row],[Valor 3]])</f>
        <v>3_PREBENJAMÍN_CARRERA 6_INDEPENDIENTE</v>
      </c>
      <c r="I16" s="77">
        <f t="shared" si="2"/>
        <v>12</v>
      </c>
      <c r="J16" s="11">
        <v>19</v>
      </c>
      <c r="K16" s="76">
        <v>3.9872685010777786E-4</v>
      </c>
      <c r="L16" s="77" t="str">
        <f>VLOOKUP(TablaTiempos[[#This Row],[Dorsal]],TablaCorredores[[Dorsal]:[Participante]],2,FALSE)</f>
        <v>TIMOTEO VARGAS LLOSA</v>
      </c>
      <c r="M16" s="78" t="str">
        <f>VLOOKUP(TablaTiempos[[#This Row],[Dorsal]],TablaCorredores[[Dorsal]:[Club]],6,FALSE)</f>
        <v>PREBENJAMÍN</v>
      </c>
      <c r="N16" s="78" t="str">
        <f>VLOOKUP(TablaTiempos[[#This Row],[Dorsal]],TablaCorredores[[Dorsal]:[Club]],7,FALSE)</f>
        <v>CARRERA 6</v>
      </c>
      <c r="O16" s="72" t="str">
        <f>VLOOKUP(TablaTiempos[[#This Row],[Dorsal]],TablaCorredores[[Dorsal]:[Club]],8,FALSE)</f>
        <v>INDEPENDIENTE</v>
      </c>
    </row>
    <row r="17" spans="1:15" x14ac:dyDescent="0.2">
      <c r="A17" s="101">
        <f>COUNTIF(M$4:M17,TablaTiempos[[#This Row],[Categoría]])</f>
        <v>4</v>
      </c>
      <c r="B17" s="101" t="str">
        <f>CONCATENATE(TablaTiempos[[#This Row],[Pos 1]],"_",TablaTiempos[[#This Row],[Categoría]])</f>
        <v>4_PREBENJAMÍN</v>
      </c>
      <c r="C17" s="101" t="str">
        <f>CONCATENATE(TablaTiempos[[#This Row],[Categoría]],"_",TablaTiempos[[#This Row],[Carrera]])</f>
        <v>PREBENJAMÍN_CARRERA 6</v>
      </c>
      <c r="D17" s="101">
        <f>COUNTIF(C$4:C17,TablaTiempos[[#This Row],[Valor 2]])</f>
        <v>4</v>
      </c>
      <c r="E17" s="101" t="str">
        <f>CONCATENATE(TablaTiempos[[#This Row],[Pos 2]],"_",TablaTiempos[[#This Row],[Valor 2]])</f>
        <v>4_PREBENJAMÍN_CARRERA 6</v>
      </c>
      <c r="F17" s="101" t="str">
        <f>CONCATENATE(TablaTiempos[[#This Row],[Categoría]],"_",TablaTiempos[[#This Row],[Carrera]],"_",TablaTiempos[[#This Row],[Club]])</f>
        <v>PREBENJAMÍN_CARRERA 6_BOQUEPACHA</v>
      </c>
      <c r="G17" s="101">
        <f>COUNTIF(F$4:F17,TablaTiempos[[#This Row],[Valor 3]])</f>
        <v>1</v>
      </c>
      <c r="H17" s="101" t="str">
        <f>CONCATENATE(TablaTiempos[[#This Row],[Pos 3]],"_",TablaTiempos[[#This Row],[Valor 3]])</f>
        <v>1_PREBENJAMÍN_CARRERA 6_BOQUEPACHA</v>
      </c>
      <c r="I17" s="77">
        <f t="shared" si="2"/>
        <v>13</v>
      </c>
      <c r="J17" s="11">
        <v>24</v>
      </c>
      <c r="K17" s="76">
        <v>4.9201388901565224E-4</v>
      </c>
      <c r="L17" s="77" t="str">
        <f>VLOOKUP(TablaTiempos[[#This Row],[Dorsal]],TablaCorredores[[Dorsal]:[Participante]],2,FALSE)</f>
        <v>MARIA MAGDALENA</v>
      </c>
      <c r="M17" s="78" t="str">
        <f>VLOOKUP(TablaTiempos[[#This Row],[Dorsal]],TablaCorredores[[Dorsal]:[Club]],6,FALSE)</f>
        <v>PREBENJAMÍN</v>
      </c>
      <c r="N17" s="78" t="str">
        <f>VLOOKUP(TablaTiempos[[#This Row],[Dorsal]],TablaCorredores[[Dorsal]:[Club]],7,FALSE)</f>
        <v>CARRERA 6</v>
      </c>
      <c r="O17" s="72" t="str">
        <f>VLOOKUP(TablaTiempos[[#This Row],[Dorsal]],TablaCorredores[[Dorsal]:[Club]],8,FALSE)</f>
        <v>BOQUEPACHA</v>
      </c>
    </row>
    <row r="18" spans="1:15" x14ac:dyDescent="0.2">
      <c r="A18" s="101">
        <f>COUNTIF(M$4:M18,TablaTiempos[[#This Row],[Categoría]])</f>
        <v>1</v>
      </c>
      <c r="B18" s="101" t="e">
        <f>CONCATENATE(TablaTiempos[[#This Row],[Pos 1]],"_",TablaTiempos[[#This Row],[Categoría]])</f>
        <v>#N/A</v>
      </c>
      <c r="C18" s="101" t="e">
        <f>CONCATENATE(TablaTiempos[[#This Row],[Categoría]],"_",TablaTiempos[[#This Row],[Carrera]])</f>
        <v>#N/A</v>
      </c>
      <c r="D18" s="101">
        <f>COUNTIF(C$4:C18,TablaTiempos[[#This Row],[Valor 2]])</f>
        <v>1</v>
      </c>
      <c r="E18" s="101" t="e">
        <f>CONCATENATE(TablaTiempos[[#This Row],[Pos 2]],"_",TablaTiempos[[#This Row],[Valor 2]])</f>
        <v>#N/A</v>
      </c>
      <c r="F18" s="101" t="e">
        <f>CONCATENATE(TablaTiempos[[#This Row],[Categoría]],"_",TablaTiempos[[#This Row],[Carrera]],"_",TablaTiempos[[#This Row],[Club]])</f>
        <v>#N/A</v>
      </c>
      <c r="G18" s="101">
        <f>COUNTIF(F$4:F18,TablaTiempos[[#This Row],[Valor 3]])</f>
        <v>1</v>
      </c>
      <c r="H18" s="101" t="e">
        <f>CONCATENATE(TablaTiempos[[#This Row],[Pos 3]],"_",TablaTiempos[[#This Row],[Valor 3]])</f>
        <v>#N/A</v>
      </c>
      <c r="I18" s="77">
        <f t="shared" si="2"/>
        <v>14</v>
      </c>
      <c r="J18" s="11" t="s">
        <v>183</v>
      </c>
      <c r="K18" s="76" t="e">
        <v>#N/A</v>
      </c>
      <c r="L18" s="77" t="e">
        <f>VLOOKUP(TablaTiempos[[#This Row],[Dorsal]],TablaCorredores[[Dorsal]:[Participante]],2,FALSE)</f>
        <v>#N/A</v>
      </c>
      <c r="M18" s="78" t="e">
        <f>VLOOKUP(TablaTiempos[[#This Row],[Dorsal]],TablaCorredores[[Dorsal]:[Club]],6,FALSE)</f>
        <v>#N/A</v>
      </c>
      <c r="N18" s="78" t="e">
        <f>VLOOKUP(TablaTiempos[[#This Row],[Dorsal]],TablaCorredores[[Dorsal]:[Club]],7,FALSE)</f>
        <v>#N/A</v>
      </c>
      <c r="O18" s="72" t="e">
        <f>VLOOKUP(TablaTiempos[[#This Row],[Dorsal]],TablaCorredores[[Dorsal]:[Club]],8,FALSE)</f>
        <v>#N/A</v>
      </c>
    </row>
    <row r="19" spans="1:15" x14ac:dyDescent="0.2">
      <c r="A19" s="101">
        <f>COUNTIF(M$4:M19,TablaTiempos[[#This Row],[Categoría]])</f>
        <v>5</v>
      </c>
      <c r="B19" s="101" t="str">
        <f>CONCATENATE(TablaTiempos[[#This Row],[Pos 1]],"_",TablaTiempos[[#This Row],[Categoría]])</f>
        <v>5_PREBENJAMÍN</v>
      </c>
      <c r="C19" s="101" t="str">
        <f>CONCATENATE(TablaTiempos[[#This Row],[Categoría]],"_",TablaTiempos[[#This Row],[Carrera]])</f>
        <v>PREBENJAMÍN_CARRERA 6</v>
      </c>
      <c r="D19" s="101">
        <f>COUNTIF(C$4:C19,TablaTiempos[[#This Row],[Valor 2]])</f>
        <v>5</v>
      </c>
      <c r="E19" s="101" t="str">
        <f>CONCATENATE(TablaTiempos[[#This Row],[Pos 2]],"_",TablaTiempos[[#This Row],[Valor 2]])</f>
        <v>5_PREBENJAMÍN_CARRERA 6</v>
      </c>
      <c r="F19" s="101" t="str">
        <f>CONCATENATE(TablaTiempos[[#This Row],[Categoría]],"_",TablaTiempos[[#This Row],[Carrera]],"_",TablaTiempos[[#This Row],[Club]])</f>
        <v>PREBENJAMÍN_CARRERA 6_INDEPENDIENTE</v>
      </c>
      <c r="G19" s="101">
        <f>COUNTIF(F$4:F19,TablaTiempos[[#This Row],[Valor 3]])</f>
        <v>4</v>
      </c>
      <c r="H19" s="101" t="str">
        <f>CONCATENATE(TablaTiempos[[#This Row],[Pos 3]],"_",TablaTiempos[[#This Row],[Valor 3]])</f>
        <v>4_PREBENJAMÍN_CARRERA 6_INDEPENDIENTE</v>
      </c>
      <c r="I19" s="77">
        <f t="shared" si="2"/>
        <v>15</v>
      </c>
      <c r="J19" s="11">
        <v>25</v>
      </c>
      <c r="K19" s="76">
        <v>7.3668981349328533E-4</v>
      </c>
      <c r="L19" s="77" t="str">
        <f>VLOOKUP(TablaTiempos[[#This Row],[Dorsal]],TablaCorredores[[Dorsal]:[Participante]],2,FALSE)</f>
        <v>LUISA BERNARDA</v>
      </c>
      <c r="M19" s="78" t="str">
        <f>VLOOKUP(TablaTiempos[[#This Row],[Dorsal]],TablaCorredores[[Dorsal]:[Club]],6,FALSE)</f>
        <v>PREBENJAMÍN</v>
      </c>
      <c r="N19" s="78" t="str">
        <f>VLOOKUP(TablaTiempos[[#This Row],[Dorsal]],TablaCorredores[[Dorsal]:[Club]],7,FALSE)</f>
        <v>CARRERA 6</v>
      </c>
      <c r="O19" s="72" t="str">
        <f>VLOOKUP(TablaTiempos[[#This Row],[Dorsal]],TablaCorredores[[Dorsal]:[Club]],8,FALSE)</f>
        <v>INDEPENDIENTE</v>
      </c>
    </row>
  </sheetData>
  <mergeCells count="7">
    <mergeCell ref="I1:O1"/>
    <mergeCell ref="A2:B2"/>
    <mergeCell ref="C2:E2"/>
    <mergeCell ref="F2:H2"/>
    <mergeCell ref="A1:H1"/>
    <mergeCell ref="I2:L2"/>
    <mergeCell ref="M2:O2"/>
  </mergeCells>
  <conditionalFormatting sqref="J4:J19">
    <cfRule type="duplicateValues" dxfId="50" priority="38"/>
  </conditionalFormatting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5" tint="-0.499984740745262"/>
  </sheetPr>
  <dimension ref="A1:O1007"/>
  <sheetViews>
    <sheetView workbookViewId="0">
      <selection activeCell="K42" sqref="K42"/>
    </sheetView>
  </sheetViews>
  <sheetFormatPr baseColWidth="10" defaultRowHeight="12.75" x14ac:dyDescent="0.2"/>
  <cols>
    <col min="1" max="1" width="4.7109375" style="10" bestFit="1" customWidth="1"/>
    <col min="2" max="2" width="12.85546875" style="10" bestFit="1" customWidth="1"/>
    <col min="3" max="3" width="11.7109375" style="10" bestFit="1" customWidth="1"/>
    <col min="4" max="4" width="33.140625" style="13" bestFit="1" customWidth="1"/>
    <col min="5" max="5" width="23" style="13" bestFit="1" customWidth="1"/>
    <col min="6" max="6" width="23" style="13" customWidth="1"/>
    <col min="7" max="7" width="12" style="10" bestFit="1" customWidth="1"/>
    <col min="8" max="10" width="11.42578125" style="12"/>
    <col min="11" max="11" width="11.42578125" style="13"/>
    <col min="12" max="15" width="11.42578125" style="12"/>
    <col min="16" max="16384" width="11.42578125" style="10"/>
  </cols>
  <sheetData>
    <row r="1" spans="1:15" ht="13.5" thickBot="1" x14ac:dyDescent="0.25"/>
    <row r="2" spans="1:15" s="37" customFormat="1" ht="18" customHeight="1" thickBot="1" x14ac:dyDescent="0.4">
      <c r="B2" s="46" t="s">
        <v>79</v>
      </c>
      <c r="C2" s="127" t="s">
        <v>80</v>
      </c>
      <c r="D2" s="128"/>
      <c r="E2" s="38"/>
      <c r="F2" s="38"/>
      <c r="H2" s="39"/>
      <c r="I2" s="39"/>
      <c r="J2" s="39"/>
      <c r="K2" s="38"/>
      <c r="L2" s="39"/>
      <c r="M2" s="39"/>
      <c r="N2" s="39"/>
      <c r="O2" s="39"/>
    </row>
    <row r="3" spans="1:15" s="37" customFormat="1" ht="18" customHeight="1" thickBot="1" x14ac:dyDescent="0.4">
      <c r="B3" s="46" t="s">
        <v>25</v>
      </c>
      <c r="C3" s="127" t="s">
        <v>8</v>
      </c>
      <c r="D3" s="128"/>
      <c r="E3" s="38"/>
      <c r="F3" s="38"/>
      <c r="H3" s="39"/>
      <c r="I3" s="39"/>
      <c r="J3" s="39"/>
      <c r="K3" s="38"/>
      <c r="L3" s="39"/>
      <c r="M3" s="39"/>
      <c r="N3" s="39"/>
      <c r="O3" s="39"/>
    </row>
    <row r="4" spans="1:15" ht="13.5" thickBot="1" x14ac:dyDescent="0.25"/>
    <row r="5" spans="1:15" ht="19.5" thickBot="1" x14ac:dyDescent="0.25">
      <c r="A5" s="129" t="str">
        <f>IF(ISBLANK(LaCarrera),"Establece filtro para la CARRERA y/o CATEGORÍA",CONCATENATE("CLASIFICACIÓN ",IF(ISBLANK(LaCategoria),CONCATENATE("CARRERA ",LaCarrera),CONCATENATE("CARRERA ",LaCarrera," - CATEGORÍA ",LaCategoria))))</f>
        <v>CLASIFICACIÓN CARRERA LARGA - CATEGORÍA ABSOLUTA MASCULINA</v>
      </c>
      <c r="B5" s="129"/>
      <c r="C5" s="129"/>
      <c r="D5" s="129"/>
      <c r="E5" s="129"/>
      <c r="F5" s="129"/>
      <c r="G5" s="129"/>
    </row>
    <row r="7" spans="1:15" ht="15.75" x14ac:dyDescent="0.25">
      <c r="A7" s="36" t="s">
        <v>46</v>
      </c>
      <c r="B7" s="44" t="s">
        <v>93</v>
      </c>
      <c r="C7" s="44" t="s">
        <v>24</v>
      </c>
      <c r="D7" s="6" t="s">
        <v>47</v>
      </c>
      <c r="E7" s="6" t="s">
        <v>26</v>
      </c>
      <c r="F7" s="6" t="s">
        <v>25</v>
      </c>
      <c r="G7" s="36" t="s">
        <v>94</v>
      </c>
    </row>
    <row r="8" spans="1:15" x14ac:dyDescent="0.2">
      <c r="A8" s="13">
        <f t="shared" ref="A8:A71" si="0">ROW()-7</f>
        <v>1</v>
      </c>
      <c r="B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" s="43">
        <f ca="1">NOW()-'LOS TIEMPOS'!$K$2</f>
        <v>42368.075526157409</v>
      </c>
    </row>
    <row r="9" spans="1:15" x14ac:dyDescent="0.2">
      <c r="A9" s="13">
        <f t="shared" si="0"/>
        <v>2</v>
      </c>
      <c r="B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" s="43">
        <f ca="1">NOW()-'LOS TIEMPOS'!$K$2</f>
        <v>42368.075526157409</v>
      </c>
    </row>
    <row r="10" spans="1:15" x14ac:dyDescent="0.2">
      <c r="A10" s="13">
        <f t="shared" si="0"/>
        <v>3</v>
      </c>
      <c r="B1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0" s="43">
        <f ca="1">NOW()-'LOS TIEMPOS'!$K$2</f>
        <v>42368.075526157409</v>
      </c>
    </row>
    <row r="11" spans="1:15" x14ac:dyDescent="0.2">
      <c r="A11" s="13">
        <f t="shared" si="0"/>
        <v>4</v>
      </c>
      <c r="B1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1" s="43">
        <f ca="1">NOW()-'LOS TIEMPOS'!$K$2</f>
        <v>42368.075526157409</v>
      </c>
    </row>
    <row r="12" spans="1:15" x14ac:dyDescent="0.2">
      <c r="A12" s="13">
        <f t="shared" si="0"/>
        <v>5</v>
      </c>
      <c r="B1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2" s="43">
        <f ca="1">NOW()-'LOS TIEMPOS'!$K$2</f>
        <v>42368.075526157409</v>
      </c>
    </row>
    <row r="13" spans="1:15" x14ac:dyDescent="0.2">
      <c r="A13" s="13">
        <f t="shared" si="0"/>
        <v>6</v>
      </c>
      <c r="B1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3" s="43">
        <f ca="1">NOW()-'LOS TIEMPOS'!$K$2</f>
        <v>42368.075526157409</v>
      </c>
    </row>
    <row r="14" spans="1:15" x14ac:dyDescent="0.2">
      <c r="A14" s="13">
        <f t="shared" si="0"/>
        <v>7</v>
      </c>
      <c r="B1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4" s="43">
        <f ca="1">NOW()-'LOS TIEMPOS'!$K$2</f>
        <v>42368.075526157409</v>
      </c>
    </row>
    <row r="15" spans="1:15" x14ac:dyDescent="0.2">
      <c r="A15" s="13">
        <f t="shared" si="0"/>
        <v>8</v>
      </c>
      <c r="B1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5" s="43">
        <f ca="1">NOW()-'LOS TIEMPOS'!$K$2</f>
        <v>42368.075526157409</v>
      </c>
    </row>
    <row r="16" spans="1:15" x14ac:dyDescent="0.2">
      <c r="A16" s="13">
        <f t="shared" si="0"/>
        <v>9</v>
      </c>
      <c r="B1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6" s="43">
        <f ca="1">NOW()-'LOS TIEMPOS'!$K$2</f>
        <v>42368.075526157409</v>
      </c>
    </row>
    <row r="17" spans="1:7" x14ac:dyDescent="0.2">
      <c r="A17" s="13">
        <f t="shared" si="0"/>
        <v>10</v>
      </c>
      <c r="B1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7" s="43">
        <f ca="1">NOW()-'LOS TIEMPOS'!$K$2</f>
        <v>42368.075526157409</v>
      </c>
    </row>
    <row r="18" spans="1:7" x14ac:dyDescent="0.2">
      <c r="A18" s="13">
        <f t="shared" si="0"/>
        <v>11</v>
      </c>
      <c r="B1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8" s="43">
        <f ca="1">NOW()-'LOS TIEMPOS'!$K$2</f>
        <v>42368.075526157409</v>
      </c>
    </row>
    <row r="19" spans="1:7" x14ac:dyDescent="0.2">
      <c r="A19" s="13">
        <f t="shared" si="0"/>
        <v>12</v>
      </c>
      <c r="B1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9" s="43">
        <f ca="1">NOW()-'LOS TIEMPOS'!$K$2</f>
        <v>42368.075526157409</v>
      </c>
    </row>
    <row r="20" spans="1:7" x14ac:dyDescent="0.2">
      <c r="A20" s="13">
        <f t="shared" si="0"/>
        <v>13</v>
      </c>
      <c r="B2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0" s="43">
        <f ca="1">NOW()-'LOS TIEMPOS'!$K$2</f>
        <v>42368.075526157409</v>
      </c>
    </row>
    <row r="21" spans="1:7" x14ac:dyDescent="0.2">
      <c r="A21" s="13">
        <f t="shared" si="0"/>
        <v>14</v>
      </c>
      <c r="B2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1" s="43">
        <f ca="1">NOW()-'LOS TIEMPOS'!$K$2</f>
        <v>42368.075526157409</v>
      </c>
    </row>
    <row r="22" spans="1:7" x14ac:dyDescent="0.2">
      <c r="A22" s="13">
        <f t="shared" si="0"/>
        <v>15</v>
      </c>
      <c r="B2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2" s="43">
        <f ca="1">NOW()-'LOS TIEMPOS'!$K$2</f>
        <v>42368.075526157409</v>
      </c>
    </row>
    <row r="23" spans="1:7" x14ac:dyDescent="0.2">
      <c r="A23" s="13">
        <f t="shared" si="0"/>
        <v>16</v>
      </c>
      <c r="B2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3" s="43">
        <f ca="1">NOW()-'LOS TIEMPOS'!$K$2</f>
        <v>42368.075526157409</v>
      </c>
    </row>
    <row r="24" spans="1:7" x14ac:dyDescent="0.2">
      <c r="A24" s="13">
        <f t="shared" si="0"/>
        <v>17</v>
      </c>
      <c r="B2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4" s="43">
        <f ca="1">NOW()-'LOS TIEMPOS'!$K$2</f>
        <v>42368.075526157409</v>
      </c>
    </row>
    <row r="25" spans="1:7" x14ac:dyDescent="0.2">
      <c r="A25" s="13">
        <f t="shared" si="0"/>
        <v>18</v>
      </c>
      <c r="B2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5" s="43">
        <f ca="1">NOW()-'LOS TIEMPOS'!$K$2</f>
        <v>42368.075526157409</v>
      </c>
    </row>
    <row r="26" spans="1:7" x14ac:dyDescent="0.2">
      <c r="A26" s="13">
        <f t="shared" si="0"/>
        <v>19</v>
      </c>
      <c r="B2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6" s="43">
        <f ca="1">NOW()-'LOS TIEMPOS'!$K$2</f>
        <v>42368.075526157409</v>
      </c>
    </row>
    <row r="27" spans="1:7" x14ac:dyDescent="0.2">
      <c r="A27" s="13">
        <f t="shared" si="0"/>
        <v>20</v>
      </c>
      <c r="B2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7" s="43">
        <f ca="1">NOW()-'LOS TIEMPOS'!$K$2</f>
        <v>42368.075526157409</v>
      </c>
    </row>
    <row r="28" spans="1:7" x14ac:dyDescent="0.2">
      <c r="A28" s="13">
        <f t="shared" si="0"/>
        <v>21</v>
      </c>
      <c r="B2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8" s="43">
        <f ca="1">NOW()-'LOS TIEMPOS'!$K$2</f>
        <v>42368.075526157409</v>
      </c>
    </row>
    <row r="29" spans="1:7" x14ac:dyDescent="0.2">
      <c r="A29" s="13">
        <f t="shared" si="0"/>
        <v>22</v>
      </c>
      <c r="B2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9" s="43">
        <f ca="1">NOW()-'LOS TIEMPOS'!$K$2</f>
        <v>42368.075526157409</v>
      </c>
    </row>
    <row r="30" spans="1:7" x14ac:dyDescent="0.2">
      <c r="A30" s="13">
        <f t="shared" si="0"/>
        <v>23</v>
      </c>
      <c r="B3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0" s="43">
        <f ca="1">NOW()-'LOS TIEMPOS'!$K$2</f>
        <v>42368.075526157409</v>
      </c>
    </row>
    <row r="31" spans="1:7" x14ac:dyDescent="0.2">
      <c r="A31" s="13">
        <f t="shared" si="0"/>
        <v>24</v>
      </c>
      <c r="B3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1" s="43">
        <f ca="1">NOW()-'LOS TIEMPOS'!$K$2</f>
        <v>42368.075526157409</v>
      </c>
    </row>
    <row r="32" spans="1:7" x14ac:dyDescent="0.2">
      <c r="A32" s="13">
        <f t="shared" si="0"/>
        <v>25</v>
      </c>
      <c r="B3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2" s="43">
        <f ca="1">NOW()-'LOS TIEMPOS'!$K$2</f>
        <v>42368.075526157409</v>
      </c>
    </row>
    <row r="33" spans="1:7" x14ac:dyDescent="0.2">
      <c r="A33" s="13">
        <f t="shared" si="0"/>
        <v>26</v>
      </c>
      <c r="B3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3" s="43">
        <f ca="1">NOW()-'LOS TIEMPOS'!$K$2</f>
        <v>42368.075526157409</v>
      </c>
    </row>
    <row r="34" spans="1:7" x14ac:dyDescent="0.2">
      <c r="A34" s="13">
        <f t="shared" si="0"/>
        <v>27</v>
      </c>
      <c r="B3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4" s="43">
        <f ca="1">NOW()-'LOS TIEMPOS'!$K$2</f>
        <v>42368.075526157409</v>
      </c>
    </row>
    <row r="35" spans="1:7" x14ac:dyDescent="0.2">
      <c r="A35" s="13">
        <f t="shared" si="0"/>
        <v>28</v>
      </c>
      <c r="B3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5" s="43">
        <f ca="1">NOW()-'LOS TIEMPOS'!$K$2</f>
        <v>42368.075526157409</v>
      </c>
    </row>
    <row r="36" spans="1:7" x14ac:dyDescent="0.2">
      <c r="A36" s="13">
        <f t="shared" si="0"/>
        <v>29</v>
      </c>
      <c r="B3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6" s="43">
        <f ca="1">NOW()-'LOS TIEMPOS'!$K$2</f>
        <v>42368.075526157409</v>
      </c>
    </row>
    <row r="37" spans="1:7" x14ac:dyDescent="0.2">
      <c r="A37" s="13">
        <f t="shared" si="0"/>
        <v>30</v>
      </c>
      <c r="B3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7" s="43">
        <f ca="1">NOW()-'LOS TIEMPOS'!$K$2</f>
        <v>42368.075526157409</v>
      </c>
    </row>
    <row r="38" spans="1:7" x14ac:dyDescent="0.2">
      <c r="A38" s="13">
        <f t="shared" si="0"/>
        <v>31</v>
      </c>
      <c r="B3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8" s="43">
        <f ca="1">NOW()-'LOS TIEMPOS'!$K$2</f>
        <v>42368.075526157409</v>
      </c>
    </row>
    <row r="39" spans="1:7" x14ac:dyDescent="0.2">
      <c r="A39" s="13">
        <f t="shared" si="0"/>
        <v>32</v>
      </c>
      <c r="B3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9" s="43">
        <f ca="1">NOW()-'LOS TIEMPOS'!$K$2</f>
        <v>42368.075526157409</v>
      </c>
    </row>
    <row r="40" spans="1:7" x14ac:dyDescent="0.2">
      <c r="A40" s="13">
        <f t="shared" si="0"/>
        <v>33</v>
      </c>
      <c r="B4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0" s="43">
        <f ca="1">NOW()-'LOS TIEMPOS'!$K$2</f>
        <v>42368.075526157409</v>
      </c>
    </row>
    <row r="41" spans="1:7" x14ac:dyDescent="0.2">
      <c r="A41" s="13">
        <f t="shared" si="0"/>
        <v>34</v>
      </c>
      <c r="B4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1" s="43">
        <f ca="1">NOW()-'LOS TIEMPOS'!$K$2</f>
        <v>42368.075526157409</v>
      </c>
    </row>
    <row r="42" spans="1:7" x14ac:dyDescent="0.2">
      <c r="A42" s="13">
        <f t="shared" si="0"/>
        <v>35</v>
      </c>
      <c r="B4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2" s="43">
        <f ca="1">NOW()-'LOS TIEMPOS'!$K$2</f>
        <v>42368.075526157409</v>
      </c>
    </row>
    <row r="43" spans="1:7" x14ac:dyDescent="0.2">
      <c r="A43" s="13">
        <f t="shared" si="0"/>
        <v>36</v>
      </c>
      <c r="B4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3" s="43">
        <f ca="1">NOW()-'LOS TIEMPOS'!$K$2</f>
        <v>42368.075526157409</v>
      </c>
    </row>
    <row r="44" spans="1:7" x14ac:dyDescent="0.2">
      <c r="A44" s="13">
        <f t="shared" si="0"/>
        <v>37</v>
      </c>
      <c r="B4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4" s="43">
        <f ca="1">NOW()-'LOS TIEMPOS'!$K$2</f>
        <v>42368.075526157409</v>
      </c>
    </row>
    <row r="45" spans="1:7" x14ac:dyDescent="0.2">
      <c r="A45" s="13">
        <f t="shared" si="0"/>
        <v>38</v>
      </c>
      <c r="B4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5" s="43">
        <f ca="1">NOW()-'LOS TIEMPOS'!$K$2</f>
        <v>42368.075526157409</v>
      </c>
    </row>
    <row r="46" spans="1:7" x14ac:dyDescent="0.2">
      <c r="A46" s="13">
        <f t="shared" si="0"/>
        <v>39</v>
      </c>
      <c r="B4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6" s="43">
        <f ca="1">NOW()-'LOS TIEMPOS'!$K$2</f>
        <v>42368.075526157409</v>
      </c>
    </row>
    <row r="47" spans="1:7" x14ac:dyDescent="0.2">
      <c r="A47" s="13">
        <f t="shared" si="0"/>
        <v>40</v>
      </c>
      <c r="B4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7" s="43">
        <f ca="1">NOW()-'LOS TIEMPOS'!$K$2</f>
        <v>42368.075526157409</v>
      </c>
    </row>
    <row r="48" spans="1:7" x14ac:dyDescent="0.2">
      <c r="A48" s="13">
        <f t="shared" si="0"/>
        <v>41</v>
      </c>
      <c r="B4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8" s="43">
        <f ca="1">NOW()-'LOS TIEMPOS'!$K$2</f>
        <v>42368.075526157409</v>
      </c>
    </row>
    <row r="49" spans="1:7" x14ac:dyDescent="0.2">
      <c r="A49" s="13">
        <f t="shared" si="0"/>
        <v>42</v>
      </c>
      <c r="B4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9" s="43">
        <f ca="1">NOW()-'LOS TIEMPOS'!$K$2</f>
        <v>42368.075526157409</v>
      </c>
    </row>
    <row r="50" spans="1:7" x14ac:dyDescent="0.2">
      <c r="A50" s="13">
        <f t="shared" si="0"/>
        <v>43</v>
      </c>
      <c r="B5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0" s="43">
        <f ca="1">NOW()-'LOS TIEMPOS'!$K$2</f>
        <v>42368.075526157409</v>
      </c>
    </row>
    <row r="51" spans="1:7" x14ac:dyDescent="0.2">
      <c r="A51" s="13">
        <f t="shared" si="0"/>
        <v>44</v>
      </c>
      <c r="B5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1" s="43">
        <f ca="1">NOW()-'LOS TIEMPOS'!$K$2</f>
        <v>42368.075526157409</v>
      </c>
    </row>
    <row r="52" spans="1:7" x14ac:dyDescent="0.2">
      <c r="A52" s="13">
        <f t="shared" si="0"/>
        <v>45</v>
      </c>
      <c r="B5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2" s="43">
        <f ca="1">NOW()-'LOS TIEMPOS'!$K$2</f>
        <v>42368.075526157409</v>
      </c>
    </row>
    <row r="53" spans="1:7" x14ac:dyDescent="0.2">
      <c r="A53" s="13">
        <f t="shared" si="0"/>
        <v>46</v>
      </c>
      <c r="B5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3" s="43">
        <f ca="1">NOW()-'LOS TIEMPOS'!$K$2</f>
        <v>42368.075526157409</v>
      </c>
    </row>
    <row r="54" spans="1:7" x14ac:dyDescent="0.2">
      <c r="A54" s="13">
        <f t="shared" si="0"/>
        <v>47</v>
      </c>
      <c r="B5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4" s="43">
        <f ca="1">NOW()-'LOS TIEMPOS'!$K$2</f>
        <v>42368.075526157409</v>
      </c>
    </row>
    <row r="55" spans="1:7" x14ac:dyDescent="0.2">
      <c r="A55" s="13">
        <f t="shared" si="0"/>
        <v>48</v>
      </c>
      <c r="B5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5" s="43">
        <f ca="1">NOW()-'LOS TIEMPOS'!$K$2</f>
        <v>42368.075526157409</v>
      </c>
    </row>
    <row r="56" spans="1:7" x14ac:dyDescent="0.2">
      <c r="A56" s="13">
        <f t="shared" si="0"/>
        <v>49</v>
      </c>
      <c r="B5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6" s="43">
        <f ca="1">NOW()-'LOS TIEMPOS'!$K$2</f>
        <v>42368.075526157409</v>
      </c>
    </row>
    <row r="57" spans="1:7" x14ac:dyDescent="0.2">
      <c r="A57" s="13">
        <f t="shared" si="0"/>
        <v>50</v>
      </c>
      <c r="B5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7" s="43">
        <f ca="1">NOW()-'LOS TIEMPOS'!$K$2</f>
        <v>42368.075526157409</v>
      </c>
    </row>
    <row r="58" spans="1:7" x14ac:dyDescent="0.2">
      <c r="A58" s="13">
        <f t="shared" si="0"/>
        <v>51</v>
      </c>
      <c r="B5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8" s="43">
        <f ca="1">NOW()-'LOS TIEMPOS'!$K$2</f>
        <v>42368.075526157409</v>
      </c>
    </row>
    <row r="59" spans="1:7" x14ac:dyDescent="0.2">
      <c r="A59" s="13">
        <f t="shared" si="0"/>
        <v>52</v>
      </c>
      <c r="B5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9" s="43">
        <f ca="1">NOW()-'LOS TIEMPOS'!$K$2</f>
        <v>42368.075526157409</v>
      </c>
    </row>
    <row r="60" spans="1:7" x14ac:dyDescent="0.2">
      <c r="A60" s="13">
        <f t="shared" si="0"/>
        <v>53</v>
      </c>
      <c r="B6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0" s="43">
        <f ca="1">NOW()-'LOS TIEMPOS'!$K$2</f>
        <v>42368.075526157409</v>
      </c>
    </row>
    <row r="61" spans="1:7" x14ac:dyDescent="0.2">
      <c r="A61" s="13">
        <f t="shared" si="0"/>
        <v>54</v>
      </c>
      <c r="B6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1" s="43">
        <f ca="1">NOW()-'LOS TIEMPOS'!$K$2</f>
        <v>42368.075526157409</v>
      </c>
    </row>
    <row r="62" spans="1:7" x14ac:dyDescent="0.2">
      <c r="A62" s="13">
        <f t="shared" si="0"/>
        <v>55</v>
      </c>
      <c r="B6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2" s="43">
        <f ca="1">NOW()-'LOS TIEMPOS'!$K$2</f>
        <v>42368.075526157409</v>
      </c>
    </row>
    <row r="63" spans="1:7" x14ac:dyDescent="0.2">
      <c r="A63" s="13">
        <f t="shared" si="0"/>
        <v>56</v>
      </c>
      <c r="B6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3" s="43">
        <f ca="1">NOW()-'LOS TIEMPOS'!$K$2</f>
        <v>42368.075526157409</v>
      </c>
    </row>
    <row r="64" spans="1:7" x14ac:dyDescent="0.2">
      <c r="A64" s="13">
        <f t="shared" si="0"/>
        <v>57</v>
      </c>
      <c r="B6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4" s="43">
        <f ca="1">NOW()-'LOS TIEMPOS'!$K$2</f>
        <v>42368.075526157409</v>
      </c>
    </row>
    <row r="65" spans="1:7" x14ac:dyDescent="0.2">
      <c r="A65" s="13">
        <f t="shared" si="0"/>
        <v>58</v>
      </c>
      <c r="B6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5" s="43">
        <f ca="1">NOW()-'LOS TIEMPOS'!$K$2</f>
        <v>42368.075526157409</v>
      </c>
    </row>
    <row r="66" spans="1:7" x14ac:dyDescent="0.2">
      <c r="A66" s="13">
        <f t="shared" si="0"/>
        <v>59</v>
      </c>
      <c r="B6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6" s="43">
        <f ca="1">NOW()-'LOS TIEMPOS'!$K$2</f>
        <v>42368.075526157409</v>
      </c>
    </row>
    <row r="67" spans="1:7" x14ac:dyDescent="0.2">
      <c r="A67" s="13">
        <f t="shared" si="0"/>
        <v>60</v>
      </c>
      <c r="B6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7" s="43">
        <f ca="1">NOW()-'LOS TIEMPOS'!$K$2</f>
        <v>42368.075526157409</v>
      </c>
    </row>
    <row r="68" spans="1:7" x14ac:dyDescent="0.2">
      <c r="A68" s="13">
        <f t="shared" si="0"/>
        <v>61</v>
      </c>
      <c r="B6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8" s="43">
        <f ca="1">NOW()-'LOS TIEMPOS'!$K$2</f>
        <v>42368.075526157409</v>
      </c>
    </row>
    <row r="69" spans="1:7" x14ac:dyDescent="0.2">
      <c r="A69" s="13">
        <f t="shared" si="0"/>
        <v>62</v>
      </c>
      <c r="B6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9" s="43">
        <f ca="1">NOW()-'LOS TIEMPOS'!$K$2</f>
        <v>42368.075526157409</v>
      </c>
    </row>
    <row r="70" spans="1:7" x14ac:dyDescent="0.2">
      <c r="A70" s="13">
        <f t="shared" si="0"/>
        <v>63</v>
      </c>
      <c r="B7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0" s="43">
        <f ca="1">NOW()-'LOS TIEMPOS'!$K$2</f>
        <v>42368.075526157409</v>
      </c>
    </row>
    <row r="71" spans="1:7" x14ac:dyDescent="0.2">
      <c r="A71" s="13">
        <f t="shared" si="0"/>
        <v>64</v>
      </c>
      <c r="B7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1" s="43">
        <f ca="1">NOW()-'LOS TIEMPOS'!$K$2</f>
        <v>42368.075526157409</v>
      </c>
    </row>
    <row r="72" spans="1:7" x14ac:dyDescent="0.2">
      <c r="A72" s="13">
        <f t="shared" ref="A72:A135" si="1">ROW()-7</f>
        <v>65</v>
      </c>
      <c r="B7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2" s="43">
        <f ca="1">NOW()-'LOS TIEMPOS'!$K$2</f>
        <v>42368.075526157409</v>
      </c>
    </row>
    <row r="73" spans="1:7" x14ac:dyDescent="0.2">
      <c r="A73" s="13">
        <f t="shared" si="1"/>
        <v>66</v>
      </c>
      <c r="B7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3" s="43">
        <f ca="1">NOW()-'LOS TIEMPOS'!$K$2</f>
        <v>42368.075526157409</v>
      </c>
    </row>
    <row r="74" spans="1:7" x14ac:dyDescent="0.2">
      <c r="A74" s="13">
        <f t="shared" si="1"/>
        <v>67</v>
      </c>
      <c r="B7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4" s="43">
        <f ca="1">NOW()-'LOS TIEMPOS'!$K$2</f>
        <v>42368.075526157409</v>
      </c>
    </row>
    <row r="75" spans="1:7" x14ac:dyDescent="0.2">
      <c r="A75" s="13">
        <f t="shared" si="1"/>
        <v>68</v>
      </c>
      <c r="B7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5" s="43">
        <f ca="1">NOW()-'LOS TIEMPOS'!$K$2</f>
        <v>42368.075526157409</v>
      </c>
    </row>
    <row r="76" spans="1:7" x14ac:dyDescent="0.2">
      <c r="A76" s="13">
        <f t="shared" si="1"/>
        <v>69</v>
      </c>
      <c r="B7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6" s="43">
        <f ca="1">NOW()-'LOS TIEMPOS'!$K$2</f>
        <v>42368.075526157409</v>
      </c>
    </row>
    <row r="77" spans="1:7" x14ac:dyDescent="0.2">
      <c r="A77" s="13">
        <f t="shared" si="1"/>
        <v>70</v>
      </c>
      <c r="B7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7" s="43">
        <f ca="1">NOW()-'LOS TIEMPOS'!$K$2</f>
        <v>42368.075526157409</v>
      </c>
    </row>
    <row r="78" spans="1:7" x14ac:dyDescent="0.2">
      <c r="A78" s="13">
        <f t="shared" si="1"/>
        <v>71</v>
      </c>
      <c r="B7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8" s="43">
        <f ca="1">NOW()-'LOS TIEMPOS'!$K$2</f>
        <v>42368.075526157409</v>
      </c>
    </row>
    <row r="79" spans="1:7" x14ac:dyDescent="0.2">
      <c r="A79" s="13">
        <f t="shared" si="1"/>
        <v>72</v>
      </c>
      <c r="B7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9" s="43">
        <f ca="1">NOW()-'LOS TIEMPOS'!$K$2</f>
        <v>42368.075526157409</v>
      </c>
    </row>
    <row r="80" spans="1:7" x14ac:dyDescent="0.2">
      <c r="A80" s="13">
        <f t="shared" si="1"/>
        <v>73</v>
      </c>
      <c r="B8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0" s="43">
        <f ca="1">NOW()-'LOS TIEMPOS'!$K$2</f>
        <v>42368.075526157409</v>
      </c>
    </row>
    <row r="81" spans="1:7" x14ac:dyDescent="0.2">
      <c r="A81" s="13">
        <f t="shared" si="1"/>
        <v>74</v>
      </c>
      <c r="B8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1" s="43">
        <f ca="1">NOW()-'LOS TIEMPOS'!$K$2</f>
        <v>42368.075526157409</v>
      </c>
    </row>
    <row r="82" spans="1:7" x14ac:dyDescent="0.2">
      <c r="A82" s="13">
        <f t="shared" si="1"/>
        <v>75</v>
      </c>
      <c r="B8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2" s="43">
        <f ca="1">NOW()-'LOS TIEMPOS'!$K$2</f>
        <v>42368.075526157409</v>
      </c>
    </row>
    <row r="83" spans="1:7" x14ac:dyDescent="0.2">
      <c r="A83" s="13">
        <f t="shared" si="1"/>
        <v>76</v>
      </c>
      <c r="B8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3" s="43">
        <f ca="1">NOW()-'LOS TIEMPOS'!$K$2</f>
        <v>42368.075526157409</v>
      </c>
    </row>
    <row r="84" spans="1:7" x14ac:dyDescent="0.2">
      <c r="A84" s="13">
        <f t="shared" si="1"/>
        <v>77</v>
      </c>
      <c r="B8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4" s="43">
        <f ca="1">NOW()-'LOS TIEMPOS'!$K$2</f>
        <v>42368.075526157409</v>
      </c>
    </row>
    <row r="85" spans="1:7" x14ac:dyDescent="0.2">
      <c r="A85" s="13">
        <f t="shared" si="1"/>
        <v>78</v>
      </c>
      <c r="B8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5" s="43">
        <f ca="1">NOW()-'LOS TIEMPOS'!$K$2</f>
        <v>42368.075526157409</v>
      </c>
    </row>
    <row r="86" spans="1:7" x14ac:dyDescent="0.2">
      <c r="A86" s="13">
        <f t="shared" si="1"/>
        <v>79</v>
      </c>
      <c r="B8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6" s="43">
        <f ca="1">NOW()-'LOS TIEMPOS'!$K$2</f>
        <v>42368.075526157409</v>
      </c>
    </row>
    <row r="87" spans="1:7" x14ac:dyDescent="0.2">
      <c r="A87" s="13">
        <f t="shared" si="1"/>
        <v>80</v>
      </c>
      <c r="B8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7" s="43">
        <f ca="1">NOW()-'LOS TIEMPOS'!$K$2</f>
        <v>42368.075526157409</v>
      </c>
    </row>
    <row r="88" spans="1:7" x14ac:dyDescent="0.2">
      <c r="A88" s="13">
        <f t="shared" si="1"/>
        <v>81</v>
      </c>
      <c r="B8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8" s="43">
        <f ca="1">NOW()-'LOS TIEMPOS'!$K$2</f>
        <v>42368.075526157409</v>
      </c>
    </row>
    <row r="89" spans="1:7" x14ac:dyDescent="0.2">
      <c r="A89" s="13">
        <f t="shared" si="1"/>
        <v>82</v>
      </c>
      <c r="B8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9" s="43">
        <f ca="1">NOW()-'LOS TIEMPOS'!$K$2</f>
        <v>42368.075526157409</v>
      </c>
    </row>
    <row r="90" spans="1:7" x14ac:dyDescent="0.2">
      <c r="A90" s="13">
        <f t="shared" si="1"/>
        <v>83</v>
      </c>
      <c r="B9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0" s="43">
        <f ca="1">NOW()-'LOS TIEMPOS'!$K$2</f>
        <v>42368.075526157409</v>
      </c>
    </row>
    <row r="91" spans="1:7" x14ac:dyDescent="0.2">
      <c r="A91" s="13">
        <f t="shared" si="1"/>
        <v>84</v>
      </c>
      <c r="B9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1" s="43">
        <f ca="1">NOW()-'LOS TIEMPOS'!$K$2</f>
        <v>42368.075526157409</v>
      </c>
    </row>
    <row r="92" spans="1:7" x14ac:dyDescent="0.2">
      <c r="A92" s="13">
        <f t="shared" si="1"/>
        <v>85</v>
      </c>
      <c r="B9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2" s="43">
        <f ca="1">NOW()-'LOS TIEMPOS'!$K$2</f>
        <v>42368.075526157409</v>
      </c>
    </row>
    <row r="93" spans="1:7" x14ac:dyDescent="0.2">
      <c r="A93" s="13">
        <f t="shared" si="1"/>
        <v>86</v>
      </c>
      <c r="B9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3" s="43">
        <f ca="1">NOW()-'LOS TIEMPOS'!$K$2</f>
        <v>42368.075526157409</v>
      </c>
    </row>
    <row r="94" spans="1:7" x14ac:dyDescent="0.2">
      <c r="A94" s="13">
        <f t="shared" si="1"/>
        <v>87</v>
      </c>
      <c r="B9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4" s="43">
        <f ca="1">NOW()-'LOS TIEMPOS'!$K$2</f>
        <v>42368.075526157409</v>
      </c>
    </row>
    <row r="95" spans="1:7" x14ac:dyDescent="0.2">
      <c r="A95" s="13">
        <f t="shared" si="1"/>
        <v>88</v>
      </c>
      <c r="B9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5" s="43">
        <f ca="1">NOW()-'LOS TIEMPOS'!$K$2</f>
        <v>42368.075526157409</v>
      </c>
    </row>
    <row r="96" spans="1:7" x14ac:dyDescent="0.2">
      <c r="A96" s="13">
        <f t="shared" si="1"/>
        <v>89</v>
      </c>
      <c r="B9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6" s="43">
        <f ca="1">NOW()-'LOS TIEMPOS'!$K$2</f>
        <v>42368.075526157409</v>
      </c>
    </row>
    <row r="97" spans="1:7" x14ac:dyDescent="0.2">
      <c r="A97" s="13">
        <f t="shared" si="1"/>
        <v>90</v>
      </c>
      <c r="B9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7" s="43">
        <f ca="1">NOW()-'LOS TIEMPOS'!$K$2</f>
        <v>42368.075526157409</v>
      </c>
    </row>
    <row r="98" spans="1:7" x14ac:dyDescent="0.2">
      <c r="A98" s="13">
        <f t="shared" si="1"/>
        <v>91</v>
      </c>
      <c r="B9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8" s="43">
        <f ca="1">NOW()-'LOS TIEMPOS'!$K$2</f>
        <v>42368.075526157409</v>
      </c>
    </row>
    <row r="99" spans="1:7" x14ac:dyDescent="0.2">
      <c r="A99" s="13">
        <f t="shared" si="1"/>
        <v>92</v>
      </c>
      <c r="B9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9" s="43">
        <f ca="1">NOW()-'LOS TIEMPOS'!$K$2</f>
        <v>42368.075526157409</v>
      </c>
    </row>
    <row r="100" spans="1:7" x14ac:dyDescent="0.2">
      <c r="A100" s="13">
        <f t="shared" si="1"/>
        <v>93</v>
      </c>
      <c r="B10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0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0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0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0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00" s="43">
        <f ca="1">NOW()-'LOS TIEMPOS'!$K$2</f>
        <v>42368.075526157409</v>
      </c>
    </row>
    <row r="101" spans="1:7" x14ac:dyDescent="0.2">
      <c r="A101" s="13">
        <f t="shared" si="1"/>
        <v>94</v>
      </c>
      <c r="B10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0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0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0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0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01" s="43">
        <f ca="1">NOW()-'LOS TIEMPOS'!$K$2</f>
        <v>42368.075526157409</v>
      </c>
    </row>
    <row r="102" spans="1:7" x14ac:dyDescent="0.2">
      <c r="A102" s="13">
        <f t="shared" si="1"/>
        <v>95</v>
      </c>
      <c r="B10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0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0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0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0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02" s="43">
        <f ca="1">NOW()-'LOS TIEMPOS'!$K$2</f>
        <v>42368.075526157409</v>
      </c>
    </row>
    <row r="103" spans="1:7" x14ac:dyDescent="0.2">
      <c r="A103" s="13">
        <f t="shared" si="1"/>
        <v>96</v>
      </c>
      <c r="B10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0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0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0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0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03" s="43">
        <f ca="1">NOW()-'LOS TIEMPOS'!$K$2</f>
        <v>42368.075526157409</v>
      </c>
    </row>
    <row r="104" spans="1:7" x14ac:dyDescent="0.2">
      <c r="A104" s="13">
        <f t="shared" si="1"/>
        <v>97</v>
      </c>
      <c r="B10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0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0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0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0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04" s="43">
        <f ca="1">NOW()-'LOS TIEMPOS'!$K$2</f>
        <v>42368.075526157409</v>
      </c>
    </row>
    <row r="105" spans="1:7" x14ac:dyDescent="0.2">
      <c r="A105" s="13">
        <f t="shared" si="1"/>
        <v>98</v>
      </c>
      <c r="B10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0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0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0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0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05" s="43">
        <f ca="1">NOW()-'LOS TIEMPOS'!$K$2</f>
        <v>42368.075526157409</v>
      </c>
    </row>
    <row r="106" spans="1:7" x14ac:dyDescent="0.2">
      <c r="A106" s="13">
        <f t="shared" si="1"/>
        <v>99</v>
      </c>
      <c r="B10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0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0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0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0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06" s="43">
        <f ca="1">NOW()-'LOS TIEMPOS'!$K$2</f>
        <v>42368.075526157409</v>
      </c>
    </row>
    <row r="107" spans="1:7" x14ac:dyDescent="0.2">
      <c r="A107" s="13">
        <f t="shared" si="1"/>
        <v>100</v>
      </c>
      <c r="B10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0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0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0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0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07" s="43">
        <f ca="1">NOW()-'LOS TIEMPOS'!$K$2</f>
        <v>42368.075526157409</v>
      </c>
    </row>
    <row r="108" spans="1:7" x14ac:dyDescent="0.2">
      <c r="A108" s="13">
        <f t="shared" si="1"/>
        <v>101</v>
      </c>
      <c r="B10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0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0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0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0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08" s="43">
        <f ca="1">NOW()-'LOS TIEMPOS'!$K$2</f>
        <v>42368.075526157409</v>
      </c>
    </row>
    <row r="109" spans="1:7" x14ac:dyDescent="0.2">
      <c r="A109" s="13">
        <f t="shared" si="1"/>
        <v>102</v>
      </c>
      <c r="B10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0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0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0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0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09" s="43">
        <f ca="1">NOW()-'LOS TIEMPOS'!$K$2</f>
        <v>42368.075526157409</v>
      </c>
    </row>
    <row r="110" spans="1:7" x14ac:dyDescent="0.2">
      <c r="A110" s="13">
        <f t="shared" si="1"/>
        <v>103</v>
      </c>
      <c r="B11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1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1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1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1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10" s="43">
        <f ca="1">NOW()-'LOS TIEMPOS'!$K$2</f>
        <v>42368.075526157409</v>
      </c>
    </row>
    <row r="111" spans="1:7" x14ac:dyDescent="0.2">
      <c r="A111" s="13">
        <f t="shared" si="1"/>
        <v>104</v>
      </c>
      <c r="B11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1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1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1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1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11" s="43">
        <f ca="1">NOW()-'LOS TIEMPOS'!$K$2</f>
        <v>42368.075526157409</v>
      </c>
    </row>
    <row r="112" spans="1:7" x14ac:dyDescent="0.2">
      <c r="A112" s="13">
        <f t="shared" si="1"/>
        <v>105</v>
      </c>
      <c r="B11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1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1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1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1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12" s="43">
        <f ca="1">NOW()-'LOS TIEMPOS'!$K$2</f>
        <v>42368.075526157409</v>
      </c>
    </row>
    <row r="113" spans="1:7" x14ac:dyDescent="0.2">
      <c r="A113" s="13">
        <f t="shared" si="1"/>
        <v>106</v>
      </c>
      <c r="B11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1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1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1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1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13" s="43">
        <f ca="1">NOW()-'LOS TIEMPOS'!$K$2</f>
        <v>42368.075526157409</v>
      </c>
    </row>
    <row r="114" spans="1:7" x14ac:dyDescent="0.2">
      <c r="A114" s="13">
        <f t="shared" si="1"/>
        <v>107</v>
      </c>
      <c r="B11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1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1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1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1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14" s="43">
        <f ca="1">NOW()-'LOS TIEMPOS'!$K$2</f>
        <v>42368.075526157409</v>
      </c>
    </row>
    <row r="115" spans="1:7" x14ac:dyDescent="0.2">
      <c r="A115" s="13">
        <f t="shared" si="1"/>
        <v>108</v>
      </c>
      <c r="B11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1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1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1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1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15" s="43">
        <f ca="1">NOW()-'LOS TIEMPOS'!$K$2</f>
        <v>42368.075526157409</v>
      </c>
    </row>
    <row r="116" spans="1:7" x14ac:dyDescent="0.2">
      <c r="A116" s="13">
        <f t="shared" si="1"/>
        <v>109</v>
      </c>
      <c r="B11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1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1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1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1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16" s="43">
        <f ca="1">NOW()-'LOS TIEMPOS'!$K$2</f>
        <v>42368.075526157409</v>
      </c>
    </row>
    <row r="117" spans="1:7" x14ac:dyDescent="0.2">
      <c r="A117" s="13">
        <f t="shared" si="1"/>
        <v>110</v>
      </c>
      <c r="B11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1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1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1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1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17" s="43">
        <f ca="1">NOW()-'LOS TIEMPOS'!$K$2</f>
        <v>42368.075526157409</v>
      </c>
    </row>
    <row r="118" spans="1:7" x14ac:dyDescent="0.2">
      <c r="A118" s="13">
        <f t="shared" si="1"/>
        <v>111</v>
      </c>
      <c r="B11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1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1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1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1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18" s="43">
        <f ca="1">NOW()-'LOS TIEMPOS'!$K$2</f>
        <v>42368.075526157409</v>
      </c>
    </row>
    <row r="119" spans="1:7" x14ac:dyDescent="0.2">
      <c r="A119" s="13">
        <f t="shared" si="1"/>
        <v>112</v>
      </c>
      <c r="B11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1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1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1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1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19" s="43">
        <f ca="1">NOW()-'LOS TIEMPOS'!$K$2</f>
        <v>42368.075526157409</v>
      </c>
    </row>
    <row r="120" spans="1:7" x14ac:dyDescent="0.2">
      <c r="A120" s="13">
        <f t="shared" si="1"/>
        <v>113</v>
      </c>
      <c r="B12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2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2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2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2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20" s="43">
        <f ca="1">NOW()-'LOS TIEMPOS'!$K$2</f>
        <v>42368.075526157409</v>
      </c>
    </row>
    <row r="121" spans="1:7" x14ac:dyDescent="0.2">
      <c r="A121" s="13">
        <f t="shared" si="1"/>
        <v>114</v>
      </c>
      <c r="B12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2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2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2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2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21" s="43">
        <f ca="1">NOW()-'LOS TIEMPOS'!$K$2</f>
        <v>42368.075526157409</v>
      </c>
    </row>
    <row r="122" spans="1:7" x14ac:dyDescent="0.2">
      <c r="A122" s="13">
        <f t="shared" si="1"/>
        <v>115</v>
      </c>
      <c r="B12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2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2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2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2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22" s="43">
        <f ca="1">NOW()-'LOS TIEMPOS'!$K$2</f>
        <v>42368.075526157409</v>
      </c>
    </row>
    <row r="123" spans="1:7" x14ac:dyDescent="0.2">
      <c r="A123" s="13">
        <f t="shared" si="1"/>
        <v>116</v>
      </c>
      <c r="B12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2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2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2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2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23" s="43">
        <f ca="1">NOW()-'LOS TIEMPOS'!$K$2</f>
        <v>42368.075526157409</v>
      </c>
    </row>
    <row r="124" spans="1:7" x14ac:dyDescent="0.2">
      <c r="A124" s="13">
        <f t="shared" si="1"/>
        <v>117</v>
      </c>
      <c r="B12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2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2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2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2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24" s="43">
        <f ca="1">NOW()-'LOS TIEMPOS'!$K$2</f>
        <v>42368.075526157409</v>
      </c>
    </row>
    <row r="125" spans="1:7" x14ac:dyDescent="0.2">
      <c r="A125" s="13">
        <f t="shared" si="1"/>
        <v>118</v>
      </c>
      <c r="B12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2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2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2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2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25" s="43">
        <f ca="1">NOW()-'LOS TIEMPOS'!$K$2</f>
        <v>42368.075526157409</v>
      </c>
    </row>
    <row r="126" spans="1:7" x14ac:dyDescent="0.2">
      <c r="A126" s="13">
        <f t="shared" si="1"/>
        <v>119</v>
      </c>
      <c r="B12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2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2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2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2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26" s="43">
        <f ca="1">NOW()-'LOS TIEMPOS'!$K$2</f>
        <v>42368.075526157409</v>
      </c>
    </row>
    <row r="127" spans="1:7" x14ac:dyDescent="0.2">
      <c r="A127" s="13">
        <f t="shared" si="1"/>
        <v>120</v>
      </c>
      <c r="B12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2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2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2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2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27" s="43">
        <f ca="1">NOW()-'LOS TIEMPOS'!$K$2</f>
        <v>42368.075526157409</v>
      </c>
    </row>
    <row r="128" spans="1:7" x14ac:dyDescent="0.2">
      <c r="A128" s="13">
        <f t="shared" si="1"/>
        <v>121</v>
      </c>
      <c r="B12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2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2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2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2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28" s="43">
        <f ca="1">NOW()-'LOS TIEMPOS'!$K$2</f>
        <v>42368.075526157409</v>
      </c>
    </row>
    <row r="129" spans="1:7" x14ac:dyDescent="0.2">
      <c r="A129" s="13">
        <f t="shared" si="1"/>
        <v>122</v>
      </c>
      <c r="B12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2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2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2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2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29" s="43">
        <f ca="1">NOW()-'LOS TIEMPOS'!$K$2</f>
        <v>42368.075526157409</v>
      </c>
    </row>
    <row r="130" spans="1:7" x14ac:dyDescent="0.2">
      <c r="A130" s="13">
        <f t="shared" si="1"/>
        <v>123</v>
      </c>
      <c r="B13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3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3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3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3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30" s="43">
        <f ca="1">NOW()-'LOS TIEMPOS'!$K$2</f>
        <v>42368.075526157409</v>
      </c>
    </row>
    <row r="131" spans="1:7" x14ac:dyDescent="0.2">
      <c r="A131" s="13">
        <f t="shared" si="1"/>
        <v>124</v>
      </c>
      <c r="B13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3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3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3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3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31" s="43">
        <f ca="1">NOW()-'LOS TIEMPOS'!$K$2</f>
        <v>42368.075526157409</v>
      </c>
    </row>
    <row r="132" spans="1:7" x14ac:dyDescent="0.2">
      <c r="A132" s="13">
        <f t="shared" si="1"/>
        <v>125</v>
      </c>
      <c r="B13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3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3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3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3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32" s="43">
        <f ca="1">NOW()-'LOS TIEMPOS'!$K$2</f>
        <v>42368.075526157409</v>
      </c>
    </row>
    <row r="133" spans="1:7" x14ac:dyDescent="0.2">
      <c r="A133" s="13">
        <f t="shared" si="1"/>
        <v>126</v>
      </c>
      <c r="B13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3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3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3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3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33" s="43">
        <f ca="1">NOW()-'LOS TIEMPOS'!$K$2</f>
        <v>42368.075526157409</v>
      </c>
    </row>
    <row r="134" spans="1:7" x14ac:dyDescent="0.2">
      <c r="A134" s="13">
        <f t="shared" si="1"/>
        <v>127</v>
      </c>
      <c r="B13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3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3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3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3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34" s="43">
        <f ca="1">NOW()-'LOS TIEMPOS'!$K$2</f>
        <v>42368.075526157409</v>
      </c>
    </row>
    <row r="135" spans="1:7" x14ac:dyDescent="0.2">
      <c r="A135" s="13">
        <f t="shared" si="1"/>
        <v>128</v>
      </c>
      <c r="B13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3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3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3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3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35" s="43">
        <f ca="1">NOW()-'LOS TIEMPOS'!$K$2</f>
        <v>42368.075526157409</v>
      </c>
    </row>
    <row r="136" spans="1:7" x14ac:dyDescent="0.2">
      <c r="A136" s="13">
        <f t="shared" ref="A136:A199" si="2">ROW()-7</f>
        <v>129</v>
      </c>
      <c r="B13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3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3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3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3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36" s="43">
        <f ca="1">NOW()-'LOS TIEMPOS'!$K$2</f>
        <v>42368.075526157409</v>
      </c>
    </row>
    <row r="137" spans="1:7" x14ac:dyDescent="0.2">
      <c r="A137" s="13">
        <f t="shared" si="2"/>
        <v>130</v>
      </c>
      <c r="B13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3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3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3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3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37" s="43">
        <f ca="1">NOW()-'LOS TIEMPOS'!$K$2</f>
        <v>42368.075526157409</v>
      </c>
    </row>
    <row r="138" spans="1:7" x14ac:dyDescent="0.2">
      <c r="A138" s="13">
        <f t="shared" si="2"/>
        <v>131</v>
      </c>
      <c r="B13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3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3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3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3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38" s="43">
        <f ca="1">NOW()-'LOS TIEMPOS'!$K$2</f>
        <v>42368.075526157409</v>
      </c>
    </row>
    <row r="139" spans="1:7" x14ac:dyDescent="0.2">
      <c r="A139" s="13">
        <f t="shared" si="2"/>
        <v>132</v>
      </c>
      <c r="B13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3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3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3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3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39" s="43">
        <f ca="1">NOW()-'LOS TIEMPOS'!$K$2</f>
        <v>42368.075526157409</v>
      </c>
    </row>
    <row r="140" spans="1:7" x14ac:dyDescent="0.2">
      <c r="A140" s="13">
        <f t="shared" si="2"/>
        <v>133</v>
      </c>
      <c r="B14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4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4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4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4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40" s="43">
        <f ca="1">NOW()-'LOS TIEMPOS'!$K$2</f>
        <v>42368.075526157409</v>
      </c>
    </row>
    <row r="141" spans="1:7" x14ac:dyDescent="0.2">
      <c r="A141" s="13">
        <f t="shared" si="2"/>
        <v>134</v>
      </c>
      <c r="B14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4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4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4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4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41" s="43">
        <f ca="1">NOW()-'LOS TIEMPOS'!$K$2</f>
        <v>42368.075526157409</v>
      </c>
    </row>
    <row r="142" spans="1:7" x14ac:dyDescent="0.2">
      <c r="A142" s="13">
        <f t="shared" si="2"/>
        <v>135</v>
      </c>
      <c r="B14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4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4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4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4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42" s="43">
        <f ca="1">NOW()-'LOS TIEMPOS'!$K$2</f>
        <v>42368.075526157409</v>
      </c>
    </row>
    <row r="143" spans="1:7" x14ac:dyDescent="0.2">
      <c r="A143" s="13">
        <f t="shared" si="2"/>
        <v>136</v>
      </c>
      <c r="B14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4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4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4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4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43" s="43">
        <f ca="1">NOW()-'LOS TIEMPOS'!$K$2</f>
        <v>42368.075526157409</v>
      </c>
    </row>
    <row r="144" spans="1:7" x14ac:dyDescent="0.2">
      <c r="A144" s="13">
        <f t="shared" si="2"/>
        <v>137</v>
      </c>
      <c r="B14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4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4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4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4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44" s="43">
        <f ca="1">NOW()-'LOS TIEMPOS'!$K$2</f>
        <v>42368.075526157409</v>
      </c>
    </row>
    <row r="145" spans="1:7" x14ac:dyDescent="0.2">
      <c r="A145" s="13">
        <f t="shared" si="2"/>
        <v>138</v>
      </c>
      <c r="B14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4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4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4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4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45" s="43">
        <f ca="1">NOW()-'LOS TIEMPOS'!$K$2</f>
        <v>42368.075526157409</v>
      </c>
    </row>
    <row r="146" spans="1:7" x14ac:dyDescent="0.2">
      <c r="A146" s="13">
        <f t="shared" si="2"/>
        <v>139</v>
      </c>
      <c r="B14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4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4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4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4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46" s="43">
        <f ca="1">NOW()-'LOS TIEMPOS'!$K$2</f>
        <v>42368.075526157409</v>
      </c>
    </row>
    <row r="147" spans="1:7" x14ac:dyDescent="0.2">
      <c r="A147" s="13">
        <f t="shared" si="2"/>
        <v>140</v>
      </c>
      <c r="B14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4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4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4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4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47" s="43">
        <f ca="1">NOW()-'LOS TIEMPOS'!$K$2</f>
        <v>42368.075526157409</v>
      </c>
    </row>
    <row r="148" spans="1:7" x14ac:dyDescent="0.2">
      <c r="A148" s="13">
        <f t="shared" si="2"/>
        <v>141</v>
      </c>
      <c r="B14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4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4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4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4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48" s="43">
        <f ca="1">NOW()-'LOS TIEMPOS'!$K$2</f>
        <v>42368.075526157409</v>
      </c>
    </row>
    <row r="149" spans="1:7" x14ac:dyDescent="0.2">
      <c r="A149" s="13">
        <f t="shared" si="2"/>
        <v>142</v>
      </c>
      <c r="B14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4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4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4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4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49" s="43">
        <f ca="1">NOW()-'LOS TIEMPOS'!$K$2</f>
        <v>42368.075526157409</v>
      </c>
    </row>
    <row r="150" spans="1:7" x14ac:dyDescent="0.2">
      <c r="A150" s="13">
        <f t="shared" si="2"/>
        <v>143</v>
      </c>
      <c r="B15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5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5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5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5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50" s="43">
        <f ca="1">NOW()-'LOS TIEMPOS'!$K$2</f>
        <v>42368.075526157409</v>
      </c>
    </row>
    <row r="151" spans="1:7" x14ac:dyDescent="0.2">
      <c r="A151" s="13">
        <f t="shared" si="2"/>
        <v>144</v>
      </c>
      <c r="B15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5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5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5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5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51" s="43">
        <f ca="1">NOW()-'LOS TIEMPOS'!$K$2</f>
        <v>42368.075526157409</v>
      </c>
    </row>
    <row r="152" spans="1:7" x14ac:dyDescent="0.2">
      <c r="A152" s="13">
        <f t="shared" si="2"/>
        <v>145</v>
      </c>
      <c r="B15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5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5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5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5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52" s="43">
        <f ca="1">NOW()-'LOS TIEMPOS'!$K$2</f>
        <v>42368.075526157409</v>
      </c>
    </row>
    <row r="153" spans="1:7" x14ac:dyDescent="0.2">
      <c r="A153" s="13">
        <f t="shared" si="2"/>
        <v>146</v>
      </c>
      <c r="B15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5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5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5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5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53" s="43">
        <f ca="1">NOW()-'LOS TIEMPOS'!$K$2</f>
        <v>42368.075526157409</v>
      </c>
    </row>
    <row r="154" spans="1:7" x14ac:dyDescent="0.2">
      <c r="A154" s="13">
        <f t="shared" si="2"/>
        <v>147</v>
      </c>
      <c r="B15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5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5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5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5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54" s="43">
        <f ca="1">NOW()-'LOS TIEMPOS'!$K$2</f>
        <v>42368.075526157409</v>
      </c>
    </row>
    <row r="155" spans="1:7" x14ac:dyDescent="0.2">
      <c r="A155" s="13">
        <f t="shared" si="2"/>
        <v>148</v>
      </c>
      <c r="B15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5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5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5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5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55" s="43">
        <f ca="1">NOW()-'LOS TIEMPOS'!$K$2</f>
        <v>42368.075526157409</v>
      </c>
    </row>
    <row r="156" spans="1:7" x14ac:dyDescent="0.2">
      <c r="A156" s="13">
        <f t="shared" si="2"/>
        <v>149</v>
      </c>
      <c r="B15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5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5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5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5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56" s="43">
        <f ca="1">NOW()-'LOS TIEMPOS'!$K$2</f>
        <v>42368.075526157409</v>
      </c>
    </row>
    <row r="157" spans="1:7" x14ac:dyDescent="0.2">
      <c r="A157" s="13">
        <f t="shared" si="2"/>
        <v>150</v>
      </c>
      <c r="B15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5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5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5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5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57" s="43">
        <f ca="1">NOW()-'LOS TIEMPOS'!$K$2</f>
        <v>42368.075526157409</v>
      </c>
    </row>
    <row r="158" spans="1:7" x14ac:dyDescent="0.2">
      <c r="A158" s="13">
        <f t="shared" si="2"/>
        <v>151</v>
      </c>
      <c r="B15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5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5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5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5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58" s="43">
        <f ca="1">NOW()-'LOS TIEMPOS'!$K$2</f>
        <v>42368.075526157409</v>
      </c>
    </row>
    <row r="159" spans="1:7" x14ac:dyDescent="0.2">
      <c r="A159" s="13">
        <f t="shared" si="2"/>
        <v>152</v>
      </c>
      <c r="B15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5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5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5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5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59" s="43">
        <f ca="1">NOW()-'LOS TIEMPOS'!$K$2</f>
        <v>42368.075526157409</v>
      </c>
    </row>
    <row r="160" spans="1:7" x14ac:dyDescent="0.2">
      <c r="A160" s="13">
        <f t="shared" si="2"/>
        <v>153</v>
      </c>
      <c r="B16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6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6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6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6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60" s="43">
        <f ca="1">NOW()-'LOS TIEMPOS'!$K$2</f>
        <v>42368.075526157409</v>
      </c>
    </row>
    <row r="161" spans="1:7" x14ac:dyDescent="0.2">
      <c r="A161" s="13">
        <f t="shared" si="2"/>
        <v>154</v>
      </c>
      <c r="B16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6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6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6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6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61" s="43">
        <f ca="1">NOW()-'LOS TIEMPOS'!$K$2</f>
        <v>42368.075526157409</v>
      </c>
    </row>
    <row r="162" spans="1:7" x14ac:dyDescent="0.2">
      <c r="A162" s="13">
        <f t="shared" si="2"/>
        <v>155</v>
      </c>
      <c r="B16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6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6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6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6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62" s="43">
        <f ca="1">NOW()-'LOS TIEMPOS'!$K$2</f>
        <v>42368.075526157409</v>
      </c>
    </row>
    <row r="163" spans="1:7" x14ac:dyDescent="0.2">
      <c r="A163" s="13">
        <f t="shared" si="2"/>
        <v>156</v>
      </c>
      <c r="B16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6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6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6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6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63" s="43">
        <f ca="1">NOW()-'LOS TIEMPOS'!$K$2</f>
        <v>42368.075526157409</v>
      </c>
    </row>
    <row r="164" spans="1:7" x14ac:dyDescent="0.2">
      <c r="A164" s="13">
        <f t="shared" si="2"/>
        <v>157</v>
      </c>
      <c r="B16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6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6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6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6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64" s="43">
        <f ca="1">NOW()-'LOS TIEMPOS'!$K$2</f>
        <v>42368.075526157409</v>
      </c>
    </row>
    <row r="165" spans="1:7" x14ac:dyDescent="0.2">
      <c r="A165" s="13">
        <f t="shared" si="2"/>
        <v>158</v>
      </c>
      <c r="B16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6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6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6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6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65" s="43">
        <f ca="1">NOW()-'LOS TIEMPOS'!$K$2</f>
        <v>42368.075526157409</v>
      </c>
    </row>
    <row r="166" spans="1:7" x14ac:dyDescent="0.2">
      <c r="A166" s="13">
        <f t="shared" si="2"/>
        <v>159</v>
      </c>
      <c r="B16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6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6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6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6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66" s="43">
        <f ca="1">NOW()-'LOS TIEMPOS'!$K$2</f>
        <v>42368.075526157409</v>
      </c>
    </row>
    <row r="167" spans="1:7" x14ac:dyDescent="0.2">
      <c r="A167" s="13">
        <f t="shared" si="2"/>
        <v>160</v>
      </c>
      <c r="B16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6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6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6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6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67" s="43">
        <f ca="1">NOW()-'LOS TIEMPOS'!$K$2</f>
        <v>42368.075526157409</v>
      </c>
    </row>
    <row r="168" spans="1:7" x14ac:dyDescent="0.2">
      <c r="A168" s="13">
        <f t="shared" si="2"/>
        <v>161</v>
      </c>
      <c r="B16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6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6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6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6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68" s="43">
        <f ca="1">NOW()-'LOS TIEMPOS'!$K$2</f>
        <v>42368.075526157409</v>
      </c>
    </row>
    <row r="169" spans="1:7" x14ac:dyDescent="0.2">
      <c r="A169" s="13">
        <f t="shared" si="2"/>
        <v>162</v>
      </c>
      <c r="B16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6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6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6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6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69" s="43">
        <f ca="1">NOW()-'LOS TIEMPOS'!$K$2</f>
        <v>42368.075526157409</v>
      </c>
    </row>
    <row r="170" spans="1:7" x14ac:dyDescent="0.2">
      <c r="A170" s="13">
        <f t="shared" si="2"/>
        <v>163</v>
      </c>
      <c r="B17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7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7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7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7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70" s="43">
        <f ca="1">NOW()-'LOS TIEMPOS'!$K$2</f>
        <v>42368.075526157409</v>
      </c>
    </row>
    <row r="171" spans="1:7" x14ac:dyDescent="0.2">
      <c r="A171" s="13">
        <f t="shared" si="2"/>
        <v>164</v>
      </c>
      <c r="B17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7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7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7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7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71" s="43">
        <f ca="1">NOW()-'LOS TIEMPOS'!$K$2</f>
        <v>42368.075526157409</v>
      </c>
    </row>
    <row r="172" spans="1:7" x14ac:dyDescent="0.2">
      <c r="A172" s="13">
        <f t="shared" si="2"/>
        <v>165</v>
      </c>
      <c r="B17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7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7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7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7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72" s="43">
        <f ca="1">NOW()-'LOS TIEMPOS'!$K$2</f>
        <v>42368.075526157409</v>
      </c>
    </row>
    <row r="173" spans="1:7" x14ac:dyDescent="0.2">
      <c r="A173" s="13">
        <f t="shared" si="2"/>
        <v>166</v>
      </c>
      <c r="B17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7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7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7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7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73" s="43">
        <f ca="1">NOW()-'LOS TIEMPOS'!$K$2</f>
        <v>42368.075526157409</v>
      </c>
    </row>
    <row r="174" spans="1:7" x14ac:dyDescent="0.2">
      <c r="A174" s="13">
        <f t="shared" si="2"/>
        <v>167</v>
      </c>
      <c r="B17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7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7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7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7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74" s="43">
        <f ca="1">NOW()-'LOS TIEMPOS'!$K$2</f>
        <v>42368.075526157409</v>
      </c>
    </row>
    <row r="175" spans="1:7" x14ac:dyDescent="0.2">
      <c r="A175" s="13">
        <f t="shared" si="2"/>
        <v>168</v>
      </c>
      <c r="B17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7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7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7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7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75" s="43">
        <f ca="1">NOW()-'LOS TIEMPOS'!$K$2</f>
        <v>42368.075526157409</v>
      </c>
    </row>
    <row r="176" spans="1:7" x14ac:dyDescent="0.2">
      <c r="A176" s="13">
        <f t="shared" si="2"/>
        <v>169</v>
      </c>
      <c r="B17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7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7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7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7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76" s="43">
        <f ca="1">NOW()-'LOS TIEMPOS'!$K$2</f>
        <v>42368.075526157409</v>
      </c>
    </row>
    <row r="177" spans="1:7" x14ac:dyDescent="0.2">
      <c r="A177" s="13">
        <f t="shared" si="2"/>
        <v>170</v>
      </c>
      <c r="B17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7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7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7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7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77" s="43">
        <f ca="1">NOW()-'LOS TIEMPOS'!$K$2</f>
        <v>42368.075526157409</v>
      </c>
    </row>
    <row r="178" spans="1:7" x14ac:dyDescent="0.2">
      <c r="A178" s="13">
        <f t="shared" si="2"/>
        <v>171</v>
      </c>
      <c r="B17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7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7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7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7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78" s="43">
        <f ca="1">NOW()-'LOS TIEMPOS'!$K$2</f>
        <v>42368.075526157409</v>
      </c>
    </row>
    <row r="179" spans="1:7" x14ac:dyDescent="0.2">
      <c r="A179" s="13">
        <f t="shared" si="2"/>
        <v>172</v>
      </c>
      <c r="B17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7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7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7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7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79" s="43">
        <f ca="1">NOW()-'LOS TIEMPOS'!$K$2</f>
        <v>42368.075526157409</v>
      </c>
    </row>
    <row r="180" spans="1:7" x14ac:dyDescent="0.2">
      <c r="A180" s="13">
        <f t="shared" si="2"/>
        <v>173</v>
      </c>
      <c r="B18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8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8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8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8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80" s="43">
        <f ca="1">NOW()-'LOS TIEMPOS'!$K$2</f>
        <v>42368.075526157409</v>
      </c>
    </row>
    <row r="181" spans="1:7" x14ac:dyDescent="0.2">
      <c r="A181" s="13">
        <f t="shared" si="2"/>
        <v>174</v>
      </c>
      <c r="B18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8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8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8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8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81" s="43">
        <f ca="1">NOW()-'LOS TIEMPOS'!$K$2</f>
        <v>42368.075526157409</v>
      </c>
    </row>
    <row r="182" spans="1:7" x14ac:dyDescent="0.2">
      <c r="A182" s="13">
        <f t="shared" si="2"/>
        <v>175</v>
      </c>
      <c r="B18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8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8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8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8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82" s="43">
        <f ca="1">NOW()-'LOS TIEMPOS'!$K$2</f>
        <v>42368.075526157409</v>
      </c>
    </row>
    <row r="183" spans="1:7" x14ac:dyDescent="0.2">
      <c r="A183" s="13">
        <f t="shared" si="2"/>
        <v>176</v>
      </c>
      <c r="B18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8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8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8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8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83" s="43">
        <f ca="1">NOW()-'LOS TIEMPOS'!$K$2</f>
        <v>42368.075526157409</v>
      </c>
    </row>
    <row r="184" spans="1:7" x14ac:dyDescent="0.2">
      <c r="A184" s="13">
        <f t="shared" si="2"/>
        <v>177</v>
      </c>
      <c r="B18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8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8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8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8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84" s="43">
        <f ca="1">NOW()-'LOS TIEMPOS'!$K$2</f>
        <v>42368.075526157409</v>
      </c>
    </row>
    <row r="185" spans="1:7" x14ac:dyDescent="0.2">
      <c r="A185" s="13">
        <f t="shared" si="2"/>
        <v>178</v>
      </c>
      <c r="B18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8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8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8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8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85" s="43">
        <f ca="1">NOW()-'LOS TIEMPOS'!$K$2</f>
        <v>42368.075526157409</v>
      </c>
    </row>
    <row r="186" spans="1:7" x14ac:dyDescent="0.2">
      <c r="A186" s="13">
        <f t="shared" si="2"/>
        <v>179</v>
      </c>
      <c r="B18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8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8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8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8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86" s="43">
        <f ca="1">NOW()-'LOS TIEMPOS'!$K$2</f>
        <v>42368.075526157409</v>
      </c>
    </row>
    <row r="187" spans="1:7" x14ac:dyDescent="0.2">
      <c r="A187" s="13">
        <f t="shared" si="2"/>
        <v>180</v>
      </c>
      <c r="B18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8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8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8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8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87" s="43">
        <f ca="1">NOW()-'LOS TIEMPOS'!$K$2</f>
        <v>42368.075526157409</v>
      </c>
    </row>
    <row r="188" spans="1:7" x14ac:dyDescent="0.2">
      <c r="A188" s="13">
        <f t="shared" si="2"/>
        <v>181</v>
      </c>
      <c r="B18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8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8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8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8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88" s="43">
        <f ca="1">NOW()-'LOS TIEMPOS'!$K$2</f>
        <v>42368.075526157409</v>
      </c>
    </row>
    <row r="189" spans="1:7" x14ac:dyDescent="0.2">
      <c r="A189" s="13">
        <f t="shared" si="2"/>
        <v>182</v>
      </c>
      <c r="B18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8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8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8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8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89" s="43">
        <f ca="1">NOW()-'LOS TIEMPOS'!$K$2</f>
        <v>42368.075526157409</v>
      </c>
    </row>
    <row r="190" spans="1:7" x14ac:dyDescent="0.2">
      <c r="A190" s="13">
        <f t="shared" si="2"/>
        <v>183</v>
      </c>
      <c r="B19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9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9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9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9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90" s="43">
        <f ca="1">NOW()-'LOS TIEMPOS'!$K$2</f>
        <v>42368.075526157409</v>
      </c>
    </row>
    <row r="191" spans="1:7" x14ac:dyDescent="0.2">
      <c r="A191" s="13">
        <f t="shared" si="2"/>
        <v>184</v>
      </c>
      <c r="B19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9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9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9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9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91" s="43">
        <f ca="1">NOW()-'LOS TIEMPOS'!$K$2</f>
        <v>42368.075526157409</v>
      </c>
    </row>
    <row r="192" spans="1:7" x14ac:dyDescent="0.2">
      <c r="A192" s="13">
        <f t="shared" si="2"/>
        <v>185</v>
      </c>
      <c r="B19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9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9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9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9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92" s="43">
        <f ca="1">NOW()-'LOS TIEMPOS'!$K$2</f>
        <v>42368.075526157409</v>
      </c>
    </row>
    <row r="193" spans="1:7" x14ac:dyDescent="0.2">
      <c r="A193" s="13">
        <f t="shared" si="2"/>
        <v>186</v>
      </c>
      <c r="B19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9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9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9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9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93" s="43">
        <f ca="1">NOW()-'LOS TIEMPOS'!$K$2</f>
        <v>42368.075526157409</v>
      </c>
    </row>
    <row r="194" spans="1:7" x14ac:dyDescent="0.2">
      <c r="A194" s="13">
        <f t="shared" si="2"/>
        <v>187</v>
      </c>
      <c r="B19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9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9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9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9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94" s="43">
        <f ca="1">NOW()-'LOS TIEMPOS'!$K$2</f>
        <v>42368.075526157409</v>
      </c>
    </row>
    <row r="195" spans="1:7" x14ac:dyDescent="0.2">
      <c r="A195" s="13">
        <f t="shared" si="2"/>
        <v>188</v>
      </c>
      <c r="B19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9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9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9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9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95" s="43">
        <f ca="1">NOW()-'LOS TIEMPOS'!$K$2</f>
        <v>42368.075526157409</v>
      </c>
    </row>
    <row r="196" spans="1:7" x14ac:dyDescent="0.2">
      <c r="A196" s="13">
        <f t="shared" si="2"/>
        <v>189</v>
      </c>
      <c r="B19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9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9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9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9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96" s="43">
        <f ca="1">NOW()-'LOS TIEMPOS'!$K$2</f>
        <v>42368.075526157409</v>
      </c>
    </row>
    <row r="197" spans="1:7" x14ac:dyDescent="0.2">
      <c r="A197" s="13">
        <f t="shared" si="2"/>
        <v>190</v>
      </c>
      <c r="B19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9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9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9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9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97" s="43">
        <f ca="1">NOW()-'LOS TIEMPOS'!$K$2</f>
        <v>42368.075526157409</v>
      </c>
    </row>
    <row r="198" spans="1:7" x14ac:dyDescent="0.2">
      <c r="A198" s="13">
        <f t="shared" si="2"/>
        <v>191</v>
      </c>
      <c r="B19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9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9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9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9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98" s="43">
        <f ca="1">NOW()-'LOS TIEMPOS'!$K$2</f>
        <v>42368.075526157409</v>
      </c>
    </row>
    <row r="199" spans="1:7" x14ac:dyDescent="0.2">
      <c r="A199" s="13">
        <f t="shared" si="2"/>
        <v>192</v>
      </c>
      <c r="B19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9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9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9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9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99" s="43">
        <f ca="1">NOW()-'LOS TIEMPOS'!$K$2</f>
        <v>42368.075526157409</v>
      </c>
    </row>
    <row r="200" spans="1:7" x14ac:dyDescent="0.2">
      <c r="A200" s="13">
        <f t="shared" ref="A200:A263" si="3">ROW()-7</f>
        <v>193</v>
      </c>
      <c r="B20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0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0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0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0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00" s="43">
        <f ca="1">NOW()-'LOS TIEMPOS'!$K$2</f>
        <v>42368.075526157409</v>
      </c>
    </row>
    <row r="201" spans="1:7" x14ac:dyDescent="0.2">
      <c r="A201" s="13">
        <f t="shared" si="3"/>
        <v>194</v>
      </c>
      <c r="B20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0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0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0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0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01" s="43">
        <f ca="1">NOW()-'LOS TIEMPOS'!$K$2</f>
        <v>42368.075526157409</v>
      </c>
    </row>
    <row r="202" spans="1:7" x14ac:dyDescent="0.2">
      <c r="A202" s="13">
        <f t="shared" si="3"/>
        <v>195</v>
      </c>
      <c r="B20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0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0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0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0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02" s="43">
        <f ca="1">NOW()-'LOS TIEMPOS'!$K$2</f>
        <v>42368.075526157409</v>
      </c>
    </row>
    <row r="203" spans="1:7" x14ac:dyDescent="0.2">
      <c r="A203" s="13">
        <f t="shared" si="3"/>
        <v>196</v>
      </c>
      <c r="B20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0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0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0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0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03" s="43">
        <f ca="1">NOW()-'LOS TIEMPOS'!$K$2</f>
        <v>42368.075526157409</v>
      </c>
    </row>
    <row r="204" spans="1:7" x14ac:dyDescent="0.2">
      <c r="A204" s="13">
        <f t="shared" si="3"/>
        <v>197</v>
      </c>
      <c r="B20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0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0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0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0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04" s="43">
        <f ca="1">NOW()-'LOS TIEMPOS'!$K$2</f>
        <v>42368.075526157409</v>
      </c>
    </row>
    <row r="205" spans="1:7" x14ac:dyDescent="0.2">
      <c r="A205" s="13">
        <f t="shared" si="3"/>
        <v>198</v>
      </c>
      <c r="B20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0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0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0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0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05" s="43">
        <f ca="1">NOW()-'LOS TIEMPOS'!$K$2</f>
        <v>42368.075526157409</v>
      </c>
    </row>
    <row r="206" spans="1:7" x14ac:dyDescent="0.2">
      <c r="A206" s="13">
        <f t="shared" si="3"/>
        <v>199</v>
      </c>
      <c r="B20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0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0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0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0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06" s="43">
        <f ca="1">NOW()-'LOS TIEMPOS'!$K$2</f>
        <v>42368.075526157409</v>
      </c>
    </row>
    <row r="207" spans="1:7" x14ac:dyDescent="0.2">
      <c r="A207" s="13">
        <f t="shared" si="3"/>
        <v>200</v>
      </c>
      <c r="B20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0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0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0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0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07" s="43">
        <f ca="1">NOW()-'LOS TIEMPOS'!$K$2</f>
        <v>42368.075526157409</v>
      </c>
    </row>
    <row r="208" spans="1:7" x14ac:dyDescent="0.2">
      <c r="A208" s="13">
        <f t="shared" si="3"/>
        <v>201</v>
      </c>
      <c r="B20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0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0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0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0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08" s="43">
        <f ca="1">NOW()-'LOS TIEMPOS'!$K$2</f>
        <v>42368.075526157409</v>
      </c>
    </row>
    <row r="209" spans="1:7" x14ac:dyDescent="0.2">
      <c r="A209" s="13">
        <f t="shared" si="3"/>
        <v>202</v>
      </c>
      <c r="B20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0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0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0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0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09" s="43">
        <f ca="1">NOW()-'LOS TIEMPOS'!$K$2</f>
        <v>42368.075526157409</v>
      </c>
    </row>
    <row r="210" spans="1:7" x14ac:dyDescent="0.2">
      <c r="A210" s="13">
        <f t="shared" si="3"/>
        <v>203</v>
      </c>
      <c r="B21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1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1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1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1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10" s="43">
        <f ca="1">NOW()-'LOS TIEMPOS'!$K$2</f>
        <v>42368.075526157409</v>
      </c>
    </row>
    <row r="211" spans="1:7" x14ac:dyDescent="0.2">
      <c r="A211" s="13">
        <f t="shared" si="3"/>
        <v>204</v>
      </c>
      <c r="B21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1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1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1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1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11" s="43">
        <f ca="1">NOW()-'LOS TIEMPOS'!$K$2</f>
        <v>42368.075526157409</v>
      </c>
    </row>
    <row r="212" spans="1:7" x14ac:dyDescent="0.2">
      <c r="A212" s="13">
        <f t="shared" si="3"/>
        <v>205</v>
      </c>
      <c r="B21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1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1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1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1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12" s="43">
        <f ca="1">NOW()-'LOS TIEMPOS'!$K$2</f>
        <v>42368.075526157409</v>
      </c>
    </row>
    <row r="213" spans="1:7" x14ac:dyDescent="0.2">
      <c r="A213" s="13">
        <f t="shared" si="3"/>
        <v>206</v>
      </c>
      <c r="B21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1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1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1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1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13" s="43">
        <f ca="1">NOW()-'LOS TIEMPOS'!$K$2</f>
        <v>42368.075526157409</v>
      </c>
    </row>
    <row r="214" spans="1:7" x14ac:dyDescent="0.2">
      <c r="A214" s="13">
        <f t="shared" si="3"/>
        <v>207</v>
      </c>
      <c r="B21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1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1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1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1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14" s="43">
        <f ca="1">NOW()-'LOS TIEMPOS'!$K$2</f>
        <v>42368.075526157409</v>
      </c>
    </row>
    <row r="215" spans="1:7" x14ac:dyDescent="0.2">
      <c r="A215" s="13">
        <f t="shared" si="3"/>
        <v>208</v>
      </c>
      <c r="B21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1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1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1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1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15" s="43">
        <f ca="1">NOW()-'LOS TIEMPOS'!$K$2</f>
        <v>42368.075526157409</v>
      </c>
    </row>
    <row r="216" spans="1:7" x14ac:dyDescent="0.2">
      <c r="A216" s="13">
        <f t="shared" si="3"/>
        <v>209</v>
      </c>
      <c r="B21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1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1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1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1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16" s="43">
        <f ca="1">NOW()-'LOS TIEMPOS'!$K$2</f>
        <v>42368.075526157409</v>
      </c>
    </row>
    <row r="217" spans="1:7" x14ac:dyDescent="0.2">
      <c r="A217" s="13">
        <f t="shared" si="3"/>
        <v>210</v>
      </c>
      <c r="B21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1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1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1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1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17" s="43">
        <f ca="1">NOW()-'LOS TIEMPOS'!$K$2</f>
        <v>42368.075526157409</v>
      </c>
    </row>
    <row r="218" spans="1:7" x14ac:dyDescent="0.2">
      <c r="A218" s="13">
        <f t="shared" si="3"/>
        <v>211</v>
      </c>
      <c r="B21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1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1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1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1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18" s="43">
        <f ca="1">NOW()-'LOS TIEMPOS'!$K$2</f>
        <v>42368.075526157409</v>
      </c>
    </row>
    <row r="219" spans="1:7" x14ac:dyDescent="0.2">
      <c r="A219" s="13">
        <f t="shared" si="3"/>
        <v>212</v>
      </c>
      <c r="B21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1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1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1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1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19" s="43">
        <f ca="1">NOW()-'LOS TIEMPOS'!$K$2</f>
        <v>42368.075526157409</v>
      </c>
    </row>
    <row r="220" spans="1:7" x14ac:dyDescent="0.2">
      <c r="A220" s="13">
        <f t="shared" si="3"/>
        <v>213</v>
      </c>
      <c r="B22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2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2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2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2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20" s="43">
        <f ca="1">NOW()-'LOS TIEMPOS'!$K$2</f>
        <v>42368.075526157409</v>
      </c>
    </row>
    <row r="221" spans="1:7" x14ac:dyDescent="0.2">
      <c r="A221" s="13">
        <f t="shared" si="3"/>
        <v>214</v>
      </c>
      <c r="B22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2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2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2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2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21" s="43">
        <f ca="1">NOW()-'LOS TIEMPOS'!$K$2</f>
        <v>42368.075526157409</v>
      </c>
    </row>
    <row r="222" spans="1:7" x14ac:dyDescent="0.2">
      <c r="A222" s="13">
        <f t="shared" si="3"/>
        <v>215</v>
      </c>
      <c r="B22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2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2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2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2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22" s="43">
        <f ca="1">NOW()-'LOS TIEMPOS'!$K$2</f>
        <v>42368.075526157409</v>
      </c>
    </row>
    <row r="223" spans="1:7" x14ac:dyDescent="0.2">
      <c r="A223" s="13">
        <f t="shared" si="3"/>
        <v>216</v>
      </c>
      <c r="B22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2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2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2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2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23" s="43">
        <f ca="1">NOW()-'LOS TIEMPOS'!$K$2</f>
        <v>42368.075526157409</v>
      </c>
    </row>
    <row r="224" spans="1:7" x14ac:dyDescent="0.2">
      <c r="A224" s="13">
        <f t="shared" si="3"/>
        <v>217</v>
      </c>
      <c r="B22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2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2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2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2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24" s="43">
        <f ca="1">NOW()-'LOS TIEMPOS'!$K$2</f>
        <v>42368.075526157409</v>
      </c>
    </row>
    <row r="225" spans="1:7" x14ac:dyDescent="0.2">
      <c r="A225" s="13">
        <f t="shared" si="3"/>
        <v>218</v>
      </c>
      <c r="B22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2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2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2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2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25" s="43">
        <f ca="1">NOW()-'LOS TIEMPOS'!$K$2</f>
        <v>42368.075526157409</v>
      </c>
    </row>
    <row r="226" spans="1:7" x14ac:dyDescent="0.2">
      <c r="A226" s="13">
        <f t="shared" si="3"/>
        <v>219</v>
      </c>
      <c r="B22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2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2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2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2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26" s="43">
        <f ca="1">NOW()-'LOS TIEMPOS'!$K$2</f>
        <v>42368.075526157409</v>
      </c>
    </row>
    <row r="227" spans="1:7" x14ac:dyDescent="0.2">
      <c r="A227" s="13">
        <f t="shared" si="3"/>
        <v>220</v>
      </c>
      <c r="B22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2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2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2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2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27" s="43">
        <f ca="1">NOW()-'LOS TIEMPOS'!$K$2</f>
        <v>42368.075526157409</v>
      </c>
    </row>
    <row r="228" spans="1:7" x14ac:dyDescent="0.2">
      <c r="A228" s="13">
        <f t="shared" si="3"/>
        <v>221</v>
      </c>
      <c r="B22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2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2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2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2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28" s="43">
        <f ca="1">NOW()-'LOS TIEMPOS'!$K$2</f>
        <v>42368.075526157409</v>
      </c>
    </row>
    <row r="229" spans="1:7" x14ac:dyDescent="0.2">
      <c r="A229" s="13">
        <f t="shared" si="3"/>
        <v>222</v>
      </c>
      <c r="B22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2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2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2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2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29" s="43">
        <f ca="1">NOW()-'LOS TIEMPOS'!$K$2</f>
        <v>42368.075526157409</v>
      </c>
    </row>
    <row r="230" spans="1:7" x14ac:dyDescent="0.2">
      <c r="A230" s="13">
        <f t="shared" si="3"/>
        <v>223</v>
      </c>
      <c r="B23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3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3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3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3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30" s="43">
        <f ca="1">NOW()-'LOS TIEMPOS'!$K$2</f>
        <v>42368.075526157409</v>
      </c>
    </row>
    <row r="231" spans="1:7" x14ac:dyDescent="0.2">
      <c r="A231" s="13">
        <f t="shared" si="3"/>
        <v>224</v>
      </c>
      <c r="B23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3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3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3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3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31" s="43">
        <f ca="1">NOW()-'LOS TIEMPOS'!$K$2</f>
        <v>42368.075526157409</v>
      </c>
    </row>
    <row r="232" spans="1:7" x14ac:dyDescent="0.2">
      <c r="A232" s="13">
        <f t="shared" si="3"/>
        <v>225</v>
      </c>
      <c r="B23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3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3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3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3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32" s="43">
        <f ca="1">NOW()-'LOS TIEMPOS'!$K$2</f>
        <v>42368.075526157409</v>
      </c>
    </row>
    <row r="233" spans="1:7" x14ac:dyDescent="0.2">
      <c r="A233" s="13">
        <f t="shared" si="3"/>
        <v>226</v>
      </c>
      <c r="B23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3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3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3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3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33" s="43">
        <f ca="1">NOW()-'LOS TIEMPOS'!$K$2</f>
        <v>42368.075526157409</v>
      </c>
    </row>
    <row r="234" spans="1:7" x14ac:dyDescent="0.2">
      <c r="A234" s="13">
        <f t="shared" si="3"/>
        <v>227</v>
      </c>
      <c r="B23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3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3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3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3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34" s="43">
        <f ca="1">NOW()-'LOS TIEMPOS'!$K$2</f>
        <v>42368.075526157409</v>
      </c>
    </row>
    <row r="235" spans="1:7" x14ac:dyDescent="0.2">
      <c r="A235" s="13">
        <f t="shared" si="3"/>
        <v>228</v>
      </c>
      <c r="B23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3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3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3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3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35" s="43">
        <f ca="1">NOW()-'LOS TIEMPOS'!$K$2</f>
        <v>42368.075526157409</v>
      </c>
    </row>
    <row r="236" spans="1:7" x14ac:dyDescent="0.2">
      <c r="A236" s="13">
        <f t="shared" si="3"/>
        <v>229</v>
      </c>
      <c r="B23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3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3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3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3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36" s="43">
        <f ca="1">NOW()-'LOS TIEMPOS'!$K$2</f>
        <v>42368.075526157409</v>
      </c>
    </row>
    <row r="237" spans="1:7" x14ac:dyDescent="0.2">
      <c r="A237" s="13">
        <f t="shared" si="3"/>
        <v>230</v>
      </c>
      <c r="B23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3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3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3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3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37" s="43">
        <f ca="1">NOW()-'LOS TIEMPOS'!$K$2</f>
        <v>42368.075526157409</v>
      </c>
    </row>
    <row r="238" spans="1:7" x14ac:dyDescent="0.2">
      <c r="A238" s="13">
        <f t="shared" si="3"/>
        <v>231</v>
      </c>
      <c r="B23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3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3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3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3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38" s="43">
        <f ca="1">NOW()-'LOS TIEMPOS'!$K$2</f>
        <v>42368.075526157409</v>
      </c>
    </row>
    <row r="239" spans="1:7" x14ac:dyDescent="0.2">
      <c r="A239" s="13">
        <f t="shared" si="3"/>
        <v>232</v>
      </c>
      <c r="B23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3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3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3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3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39" s="43">
        <f ca="1">NOW()-'LOS TIEMPOS'!$K$2</f>
        <v>42368.075526157409</v>
      </c>
    </row>
    <row r="240" spans="1:7" x14ac:dyDescent="0.2">
      <c r="A240" s="13">
        <f t="shared" si="3"/>
        <v>233</v>
      </c>
      <c r="B24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4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4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4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4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40" s="43">
        <f ca="1">NOW()-'LOS TIEMPOS'!$K$2</f>
        <v>42368.075526157409</v>
      </c>
    </row>
    <row r="241" spans="1:7" x14ac:dyDescent="0.2">
      <c r="A241" s="13">
        <f t="shared" si="3"/>
        <v>234</v>
      </c>
      <c r="B24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4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4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4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4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41" s="43">
        <f ca="1">NOW()-'LOS TIEMPOS'!$K$2</f>
        <v>42368.075526157409</v>
      </c>
    </row>
    <row r="242" spans="1:7" x14ac:dyDescent="0.2">
      <c r="A242" s="13">
        <f t="shared" si="3"/>
        <v>235</v>
      </c>
      <c r="B24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4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4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4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4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42" s="43">
        <f ca="1">NOW()-'LOS TIEMPOS'!$K$2</f>
        <v>42368.075526157409</v>
      </c>
    </row>
    <row r="243" spans="1:7" x14ac:dyDescent="0.2">
      <c r="A243" s="13">
        <f t="shared" si="3"/>
        <v>236</v>
      </c>
      <c r="B24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4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4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4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4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43" s="43">
        <f ca="1">NOW()-'LOS TIEMPOS'!$K$2</f>
        <v>42368.075526157409</v>
      </c>
    </row>
    <row r="244" spans="1:7" x14ac:dyDescent="0.2">
      <c r="A244" s="13">
        <f t="shared" si="3"/>
        <v>237</v>
      </c>
      <c r="B24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4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4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4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4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44" s="43">
        <f ca="1">NOW()-'LOS TIEMPOS'!$K$2</f>
        <v>42368.075526157409</v>
      </c>
    </row>
    <row r="245" spans="1:7" x14ac:dyDescent="0.2">
      <c r="A245" s="13">
        <f t="shared" si="3"/>
        <v>238</v>
      </c>
      <c r="B24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4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4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4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4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45" s="43">
        <f ca="1">NOW()-'LOS TIEMPOS'!$K$2</f>
        <v>42368.075526157409</v>
      </c>
    </row>
    <row r="246" spans="1:7" x14ac:dyDescent="0.2">
      <c r="A246" s="13">
        <f t="shared" si="3"/>
        <v>239</v>
      </c>
      <c r="B24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4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4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4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4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46" s="43">
        <f ca="1">NOW()-'LOS TIEMPOS'!$K$2</f>
        <v>42368.075526157409</v>
      </c>
    </row>
    <row r="247" spans="1:7" x14ac:dyDescent="0.2">
      <c r="A247" s="13">
        <f t="shared" si="3"/>
        <v>240</v>
      </c>
      <c r="B24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4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4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4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4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47" s="43">
        <f ca="1">NOW()-'LOS TIEMPOS'!$K$2</f>
        <v>42368.075526157409</v>
      </c>
    </row>
    <row r="248" spans="1:7" x14ac:dyDescent="0.2">
      <c r="A248" s="13">
        <f t="shared" si="3"/>
        <v>241</v>
      </c>
      <c r="B24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4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4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4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4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48" s="43">
        <f ca="1">NOW()-'LOS TIEMPOS'!$K$2</f>
        <v>42368.075526157409</v>
      </c>
    </row>
    <row r="249" spans="1:7" x14ac:dyDescent="0.2">
      <c r="A249" s="13">
        <f t="shared" si="3"/>
        <v>242</v>
      </c>
      <c r="B24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4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4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4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4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49" s="43">
        <f ca="1">NOW()-'LOS TIEMPOS'!$K$2</f>
        <v>42368.075526157409</v>
      </c>
    </row>
    <row r="250" spans="1:7" x14ac:dyDescent="0.2">
      <c r="A250" s="13">
        <f t="shared" si="3"/>
        <v>243</v>
      </c>
      <c r="B25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5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5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5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5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50" s="43">
        <f ca="1">NOW()-'LOS TIEMPOS'!$K$2</f>
        <v>42368.075526157409</v>
      </c>
    </row>
    <row r="251" spans="1:7" x14ac:dyDescent="0.2">
      <c r="A251" s="13">
        <f t="shared" si="3"/>
        <v>244</v>
      </c>
      <c r="B25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5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5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5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5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51" s="43">
        <f ca="1">NOW()-'LOS TIEMPOS'!$K$2</f>
        <v>42368.075526157409</v>
      </c>
    </row>
    <row r="252" spans="1:7" x14ac:dyDescent="0.2">
      <c r="A252" s="13">
        <f t="shared" si="3"/>
        <v>245</v>
      </c>
      <c r="B25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5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5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5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5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52" s="43">
        <f ca="1">NOW()-'LOS TIEMPOS'!$K$2</f>
        <v>42368.075526157409</v>
      </c>
    </row>
    <row r="253" spans="1:7" x14ac:dyDescent="0.2">
      <c r="A253" s="13">
        <f t="shared" si="3"/>
        <v>246</v>
      </c>
      <c r="B25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5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5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5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5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53" s="43">
        <f ca="1">NOW()-'LOS TIEMPOS'!$K$2</f>
        <v>42368.075526157409</v>
      </c>
    </row>
    <row r="254" spans="1:7" x14ac:dyDescent="0.2">
      <c r="A254" s="13">
        <f t="shared" si="3"/>
        <v>247</v>
      </c>
      <c r="B25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5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5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5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5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54" s="43">
        <f ca="1">NOW()-'LOS TIEMPOS'!$K$2</f>
        <v>42368.075526157409</v>
      </c>
    </row>
    <row r="255" spans="1:7" x14ac:dyDescent="0.2">
      <c r="A255" s="13">
        <f t="shared" si="3"/>
        <v>248</v>
      </c>
      <c r="B25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5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5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5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5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55" s="43">
        <f ca="1">NOW()-'LOS TIEMPOS'!$K$2</f>
        <v>42368.075526157409</v>
      </c>
    </row>
    <row r="256" spans="1:7" x14ac:dyDescent="0.2">
      <c r="A256" s="13">
        <f t="shared" si="3"/>
        <v>249</v>
      </c>
      <c r="B25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5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5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5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5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56" s="43">
        <f ca="1">NOW()-'LOS TIEMPOS'!$K$2</f>
        <v>42368.075526157409</v>
      </c>
    </row>
    <row r="257" spans="1:7" x14ac:dyDescent="0.2">
      <c r="A257" s="13">
        <f t="shared" si="3"/>
        <v>250</v>
      </c>
      <c r="B25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5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5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5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5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57" s="43">
        <f ca="1">NOW()-'LOS TIEMPOS'!$K$2</f>
        <v>42368.075526157409</v>
      </c>
    </row>
    <row r="258" spans="1:7" x14ac:dyDescent="0.2">
      <c r="A258" s="13">
        <f t="shared" si="3"/>
        <v>251</v>
      </c>
      <c r="B25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5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5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5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5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58" s="43">
        <f ca="1">NOW()-'LOS TIEMPOS'!$K$2</f>
        <v>42368.075526157409</v>
      </c>
    </row>
    <row r="259" spans="1:7" x14ac:dyDescent="0.2">
      <c r="A259" s="13">
        <f t="shared" si="3"/>
        <v>252</v>
      </c>
      <c r="B25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5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5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5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5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59" s="43">
        <f ca="1">NOW()-'LOS TIEMPOS'!$K$2</f>
        <v>42368.075526157409</v>
      </c>
    </row>
    <row r="260" spans="1:7" x14ac:dyDescent="0.2">
      <c r="A260" s="13">
        <f t="shared" si="3"/>
        <v>253</v>
      </c>
      <c r="B26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6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6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6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6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60" s="43">
        <f ca="1">NOW()-'LOS TIEMPOS'!$K$2</f>
        <v>42368.075526157409</v>
      </c>
    </row>
    <row r="261" spans="1:7" x14ac:dyDescent="0.2">
      <c r="A261" s="13">
        <f t="shared" si="3"/>
        <v>254</v>
      </c>
      <c r="B26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6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6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6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6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61" s="43">
        <f ca="1">NOW()-'LOS TIEMPOS'!$K$2</f>
        <v>42368.075526157409</v>
      </c>
    </row>
    <row r="262" spans="1:7" x14ac:dyDescent="0.2">
      <c r="A262" s="13">
        <f t="shared" si="3"/>
        <v>255</v>
      </c>
      <c r="B26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6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6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6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6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62" s="43">
        <f ca="1">NOW()-'LOS TIEMPOS'!$K$2</f>
        <v>42368.075526157409</v>
      </c>
    </row>
    <row r="263" spans="1:7" x14ac:dyDescent="0.2">
      <c r="A263" s="13">
        <f t="shared" si="3"/>
        <v>256</v>
      </c>
      <c r="B26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6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6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6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6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63" s="43">
        <f ca="1">NOW()-'LOS TIEMPOS'!$K$2</f>
        <v>42368.075526157409</v>
      </c>
    </row>
    <row r="264" spans="1:7" x14ac:dyDescent="0.2">
      <c r="A264" s="13">
        <f t="shared" ref="A264:A327" si="4">ROW()-7</f>
        <v>257</v>
      </c>
      <c r="B26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6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6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6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6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64" s="43">
        <f ca="1">NOW()-'LOS TIEMPOS'!$K$2</f>
        <v>42368.075526157409</v>
      </c>
    </row>
    <row r="265" spans="1:7" x14ac:dyDescent="0.2">
      <c r="A265" s="13">
        <f t="shared" si="4"/>
        <v>258</v>
      </c>
      <c r="B26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6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6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6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6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65" s="43">
        <f ca="1">NOW()-'LOS TIEMPOS'!$K$2</f>
        <v>42368.075526157409</v>
      </c>
    </row>
    <row r="266" spans="1:7" x14ac:dyDescent="0.2">
      <c r="A266" s="13">
        <f t="shared" si="4"/>
        <v>259</v>
      </c>
      <c r="B26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6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6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6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6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66" s="43">
        <f ca="1">NOW()-'LOS TIEMPOS'!$K$2</f>
        <v>42368.075526157409</v>
      </c>
    </row>
    <row r="267" spans="1:7" x14ac:dyDescent="0.2">
      <c r="A267" s="13">
        <f t="shared" si="4"/>
        <v>260</v>
      </c>
      <c r="B26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6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6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6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6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67" s="43">
        <f ca="1">NOW()-'LOS TIEMPOS'!$K$2</f>
        <v>42368.075526157409</v>
      </c>
    </row>
    <row r="268" spans="1:7" x14ac:dyDescent="0.2">
      <c r="A268" s="13">
        <f t="shared" si="4"/>
        <v>261</v>
      </c>
      <c r="B26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6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6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6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6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68" s="43">
        <f ca="1">NOW()-'LOS TIEMPOS'!$K$2</f>
        <v>42368.075526157409</v>
      </c>
    </row>
    <row r="269" spans="1:7" x14ac:dyDescent="0.2">
      <c r="A269" s="13">
        <f t="shared" si="4"/>
        <v>262</v>
      </c>
      <c r="B26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6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6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6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6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69" s="43">
        <f ca="1">NOW()-'LOS TIEMPOS'!$K$2</f>
        <v>42368.075526157409</v>
      </c>
    </row>
    <row r="270" spans="1:7" x14ac:dyDescent="0.2">
      <c r="A270" s="13">
        <f t="shared" si="4"/>
        <v>263</v>
      </c>
      <c r="B27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7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7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7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7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70" s="43">
        <f ca="1">NOW()-'LOS TIEMPOS'!$K$2</f>
        <v>42368.075526157409</v>
      </c>
    </row>
    <row r="271" spans="1:7" x14ac:dyDescent="0.2">
      <c r="A271" s="13">
        <f t="shared" si="4"/>
        <v>264</v>
      </c>
      <c r="B27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7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7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7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7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71" s="43">
        <f ca="1">NOW()-'LOS TIEMPOS'!$K$2</f>
        <v>42368.075526157409</v>
      </c>
    </row>
    <row r="272" spans="1:7" x14ac:dyDescent="0.2">
      <c r="A272" s="13">
        <f t="shared" si="4"/>
        <v>265</v>
      </c>
      <c r="B27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7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7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7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7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72" s="43">
        <f ca="1">NOW()-'LOS TIEMPOS'!$K$2</f>
        <v>42368.075526157409</v>
      </c>
    </row>
    <row r="273" spans="1:7" x14ac:dyDescent="0.2">
      <c r="A273" s="13">
        <f t="shared" si="4"/>
        <v>266</v>
      </c>
      <c r="B27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7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7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7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7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73" s="43">
        <f ca="1">NOW()-'LOS TIEMPOS'!$K$2</f>
        <v>42368.075526157409</v>
      </c>
    </row>
    <row r="274" spans="1:7" x14ac:dyDescent="0.2">
      <c r="A274" s="13">
        <f t="shared" si="4"/>
        <v>267</v>
      </c>
      <c r="B27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7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7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7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7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74" s="43">
        <f ca="1">NOW()-'LOS TIEMPOS'!$K$2</f>
        <v>42368.075526157409</v>
      </c>
    </row>
    <row r="275" spans="1:7" x14ac:dyDescent="0.2">
      <c r="A275" s="13">
        <f t="shared" si="4"/>
        <v>268</v>
      </c>
      <c r="B27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7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7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7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7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75" s="43">
        <f ca="1">NOW()-'LOS TIEMPOS'!$K$2</f>
        <v>42368.075526157409</v>
      </c>
    </row>
    <row r="276" spans="1:7" x14ac:dyDescent="0.2">
      <c r="A276" s="13">
        <f t="shared" si="4"/>
        <v>269</v>
      </c>
      <c r="B27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7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7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7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7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76" s="43">
        <f ca="1">NOW()-'LOS TIEMPOS'!$K$2</f>
        <v>42368.075526157409</v>
      </c>
    </row>
    <row r="277" spans="1:7" x14ac:dyDescent="0.2">
      <c r="A277" s="13">
        <f t="shared" si="4"/>
        <v>270</v>
      </c>
      <c r="B27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7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7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7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7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77" s="43">
        <f ca="1">NOW()-'LOS TIEMPOS'!$K$2</f>
        <v>42368.075526157409</v>
      </c>
    </row>
    <row r="278" spans="1:7" x14ac:dyDescent="0.2">
      <c r="A278" s="13">
        <f t="shared" si="4"/>
        <v>271</v>
      </c>
      <c r="B27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7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7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7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7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78" s="43">
        <f ca="1">NOW()-'LOS TIEMPOS'!$K$2</f>
        <v>42368.075526157409</v>
      </c>
    </row>
    <row r="279" spans="1:7" x14ac:dyDescent="0.2">
      <c r="A279" s="13">
        <f t="shared" si="4"/>
        <v>272</v>
      </c>
      <c r="B27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7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7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7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7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79" s="43">
        <f ca="1">NOW()-'LOS TIEMPOS'!$K$2</f>
        <v>42368.075526157409</v>
      </c>
    </row>
    <row r="280" spans="1:7" x14ac:dyDescent="0.2">
      <c r="A280" s="13">
        <f t="shared" si="4"/>
        <v>273</v>
      </c>
      <c r="B28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8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8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8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8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80" s="43">
        <f ca="1">NOW()-'LOS TIEMPOS'!$K$2</f>
        <v>42368.075526157409</v>
      </c>
    </row>
    <row r="281" spans="1:7" x14ac:dyDescent="0.2">
      <c r="A281" s="13">
        <f t="shared" si="4"/>
        <v>274</v>
      </c>
      <c r="B28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8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8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8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8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81" s="43">
        <f ca="1">NOW()-'LOS TIEMPOS'!$K$2</f>
        <v>42368.075526157409</v>
      </c>
    </row>
    <row r="282" spans="1:7" x14ac:dyDescent="0.2">
      <c r="A282" s="13">
        <f t="shared" si="4"/>
        <v>275</v>
      </c>
      <c r="B28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8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8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8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8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82" s="43">
        <f ca="1">NOW()-'LOS TIEMPOS'!$K$2</f>
        <v>42368.075526157409</v>
      </c>
    </row>
    <row r="283" spans="1:7" x14ac:dyDescent="0.2">
      <c r="A283" s="13">
        <f t="shared" si="4"/>
        <v>276</v>
      </c>
      <c r="B28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8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8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8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8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83" s="43">
        <f ca="1">NOW()-'LOS TIEMPOS'!$K$2</f>
        <v>42368.075526157409</v>
      </c>
    </row>
    <row r="284" spans="1:7" x14ac:dyDescent="0.2">
      <c r="A284" s="13">
        <f t="shared" si="4"/>
        <v>277</v>
      </c>
      <c r="B28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8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8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8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8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84" s="43">
        <f ca="1">NOW()-'LOS TIEMPOS'!$K$2</f>
        <v>42368.075526157409</v>
      </c>
    </row>
    <row r="285" spans="1:7" x14ac:dyDescent="0.2">
      <c r="A285" s="13">
        <f t="shared" si="4"/>
        <v>278</v>
      </c>
      <c r="B28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8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8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8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8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85" s="43">
        <f ca="1">NOW()-'LOS TIEMPOS'!$K$2</f>
        <v>42368.075526157409</v>
      </c>
    </row>
    <row r="286" spans="1:7" x14ac:dyDescent="0.2">
      <c r="A286" s="13">
        <f t="shared" si="4"/>
        <v>279</v>
      </c>
      <c r="B28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8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8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8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8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86" s="43">
        <f ca="1">NOW()-'LOS TIEMPOS'!$K$2</f>
        <v>42368.075526157409</v>
      </c>
    </row>
    <row r="287" spans="1:7" x14ac:dyDescent="0.2">
      <c r="A287" s="13">
        <f t="shared" si="4"/>
        <v>280</v>
      </c>
      <c r="B28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8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8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8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8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87" s="43">
        <f ca="1">NOW()-'LOS TIEMPOS'!$K$2</f>
        <v>42368.075526157409</v>
      </c>
    </row>
    <row r="288" spans="1:7" x14ac:dyDescent="0.2">
      <c r="A288" s="13">
        <f t="shared" si="4"/>
        <v>281</v>
      </c>
      <c r="B28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8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8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8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8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88" s="43">
        <f ca="1">NOW()-'LOS TIEMPOS'!$K$2</f>
        <v>42368.075526157409</v>
      </c>
    </row>
    <row r="289" spans="1:7" x14ac:dyDescent="0.2">
      <c r="A289" s="13">
        <f t="shared" si="4"/>
        <v>282</v>
      </c>
      <c r="B28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8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8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8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8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89" s="43">
        <f ca="1">NOW()-'LOS TIEMPOS'!$K$2</f>
        <v>42368.075526157409</v>
      </c>
    </row>
    <row r="290" spans="1:7" x14ac:dyDescent="0.2">
      <c r="A290" s="13">
        <f t="shared" si="4"/>
        <v>283</v>
      </c>
      <c r="B29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9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9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9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9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90" s="43">
        <f ca="1">NOW()-'LOS TIEMPOS'!$K$2</f>
        <v>42368.075526157409</v>
      </c>
    </row>
    <row r="291" spans="1:7" x14ac:dyDescent="0.2">
      <c r="A291" s="13">
        <f t="shared" si="4"/>
        <v>284</v>
      </c>
      <c r="B29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9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9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9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9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91" s="43">
        <f ca="1">NOW()-'LOS TIEMPOS'!$K$2</f>
        <v>42368.075526157409</v>
      </c>
    </row>
    <row r="292" spans="1:7" x14ac:dyDescent="0.2">
      <c r="A292" s="13">
        <f t="shared" si="4"/>
        <v>285</v>
      </c>
      <c r="B29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9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9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9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9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92" s="43">
        <f ca="1">NOW()-'LOS TIEMPOS'!$K$2</f>
        <v>42368.075526157409</v>
      </c>
    </row>
    <row r="293" spans="1:7" x14ac:dyDescent="0.2">
      <c r="A293" s="13">
        <f t="shared" si="4"/>
        <v>286</v>
      </c>
      <c r="B29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9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9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9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9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93" s="43">
        <f ca="1">NOW()-'LOS TIEMPOS'!$K$2</f>
        <v>42368.075526157409</v>
      </c>
    </row>
    <row r="294" spans="1:7" x14ac:dyDescent="0.2">
      <c r="A294" s="13">
        <f t="shared" si="4"/>
        <v>287</v>
      </c>
      <c r="B29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9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9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9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9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94" s="43">
        <f ca="1">NOW()-'LOS TIEMPOS'!$K$2</f>
        <v>42368.075526157409</v>
      </c>
    </row>
    <row r="295" spans="1:7" x14ac:dyDescent="0.2">
      <c r="A295" s="13">
        <f t="shared" si="4"/>
        <v>288</v>
      </c>
      <c r="B29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9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9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9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9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95" s="43">
        <f ca="1">NOW()-'LOS TIEMPOS'!$K$2</f>
        <v>42368.075526157409</v>
      </c>
    </row>
    <row r="296" spans="1:7" x14ac:dyDescent="0.2">
      <c r="A296" s="13">
        <f t="shared" si="4"/>
        <v>289</v>
      </c>
      <c r="B29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9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9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9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9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96" s="43">
        <f ca="1">NOW()-'LOS TIEMPOS'!$K$2</f>
        <v>42368.075526157409</v>
      </c>
    </row>
    <row r="297" spans="1:7" x14ac:dyDescent="0.2">
      <c r="A297" s="13">
        <f t="shared" si="4"/>
        <v>290</v>
      </c>
      <c r="B29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9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9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9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9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97" s="43">
        <f ca="1">NOW()-'LOS TIEMPOS'!$K$2</f>
        <v>42368.075526157409</v>
      </c>
    </row>
    <row r="298" spans="1:7" x14ac:dyDescent="0.2">
      <c r="A298" s="13">
        <f t="shared" si="4"/>
        <v>291</v>
      </c>
      <c r="B29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9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9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9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9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98" s="43">
        <f ca="1">NOW()-'LOS TIEMPOS'!$K$2</f>
        <v>42368.075526157409</v>
      </c>
    </row>
    <row r="299" spans="1:7" x14ac:dyDescent="0.2">
      <c r="A299" s="13">
        <f t="shared" si="4"/>
        <v>292</v>
      </c>
      <c r="B29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29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29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29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29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299" s="43">
        <f ca="1">NOW()-'LOS TIEMPOS'!$K$2</f>
        <v>42368.075526157409</v>
      </c>
    </row>
    <row r="300" spans="1:7" x14ac:dyDescent="0.2">
      <c r="A300" s="13">
        <f t="shared" si="4"/>
        <v>293</v>
      </c>
      <c r="B30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0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0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0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0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00" s="43">
        <f ca="1">NOW()-'LOS TIEMPOS'!$K$2</f>
        <v>42368.075526157409</v>
      </c>
    </row>
    <row r="301" spans="1:7" x14ac:dyDescent="0.2">
      <c r="A301" s="13">
        <f t="shared" si="4"/>
        <v>294</v>
      </c>
      <c r="B30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0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0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0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0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01" s="43">
        <f ca="1">NOW()-'LOS TIEMPOS'!$K$2</f>
        <v>42368.075526157409</v>
      </c>
    </row>
    <row r="302" spans="1:7" x14ac:dyDescent="0.2">
      <c r="A302" s="13">
        <f t="shared" si="4"/>
        <v>295</v>
      </c>
      <c r="B30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0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0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0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0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02" s="43">
        <f ca="1">NOW()-'LOS TIEMPOS'!$K$2</f>
        <v>42368.075526157409</v>
      </c>
    </row>
    <row r="303" spans="1:7" x14ac:dyDescent="0.2">
      <c r="A303" s="13">
        <f t="shared" si="4"/>
        <v>296</v>
      </c>
      <c r="B30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0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0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0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0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03" s="43">
        <f ca="1">NOW()-'LOS TIEMPOS'!$K$2</f>
        <v>42368.075526157409</v>
      </c>
    </row>
    <row r="304" spans="1:7" x14ac:dyDescent="0.2">
      <c r="A304" s="13">
        <f t="shared" si="4"/>
        <v>297</v>
      </c>
      <c r="B30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0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0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0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0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04" s="43">
        <f ca="1">NOW()-'LOS TIEMPOS'!$K$2</f>
        <v>42368.075526157409</v>
      </c>
    </row>
    <row r="305" spans="1:7" x14ac:dyDescent="0.2">
      <c r="A305" s="13">
        <f t="shared" si="4"/>
        <v>298</v>
      </c>
      <c r="B30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0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0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0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0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05" s="43">
        <f ca="1">NOW()-'LOS TIEMPOS'!$K$2</f>
        <v>42368.075526157409</v>
      </c>
    </row>
    <row r="306" spans="1:7" x14ac:dyDescent="0.2">
      <c r="A306" s="13">
        <f t="shared" si="4"/>
        <v>299</v>
      </c>
      <c r="B30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0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0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0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0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06" s="43">
        <f ca="1">NOW()-'LOS TIEMPOS'!$K$2</f>
        <v>42368.075526157409</v>
      </c>
    </row>
    <row r="307" spans="1:7" x14ac:dyDescent="0.2">
      <c r="A307" s="13">
        <f t="shared" si="4"/>
        <v>300</v>
      </c>
      <c r="B30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0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0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0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0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07" s="43">
        <f ca="1">NOW()-'LOS TIEMPOS'!$K$2</f>
        <v>42368.075526157409</v>
      </c>
    </row>
    <row r="308" spans="1:7" x14ac:dyDescent="0.2">
      <c r="A308" s="13">
        <f t="shared" si="4"/>
        <v>301</v>
      </c>
      <c r="B30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0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0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0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0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08" s="43">
        <f ca="1">NOW()-'LOS TIEMPOS'!$K$2</f>
        <v>42368.075526157409</v>
      </c>
    </row>
    <row r="309" spans="1:7" x14ac:dyDescent="0.2">
      <c r="A309" s="13">
        <f t="shared" si="4"/>
        <v>302</v>
      </c>
      <c r="B30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0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0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0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0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09" s="43">
        <f ca="1">NOW()-'LOS TIEMPOS'!$K$2</f>
        <v>42368.075526157409</v>
      </c>
    </row>
    <row r="310" spans="1:7" x14ac:dyDescent="0.2">
      <c r="A310" s="13">
        <f t="shared" si="4"/>
        <v>303</v>
      </c>
      <c r="B31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1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1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1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1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10" s="43">
        <f ca="1">NOW()-'LOS TIEMPOS'!$K$2</f>
        <v>42368.075526157409</v>
      </c>
    </row>
    <row r="311" spans="1:7" x14ac:dyDescent="0.2">
      <c r="A311" s="13">
        <f t="shared" si="4"/>
        <v>304</v>
      </c>
      <c r="B31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1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1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1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1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11" s="43">
        <f ca="1">NOW()-'LOS TIEMPOS'!$K$2</f>
        <v>42368.075526157409</v>
      </c>
    </row>
    <row r="312" spans="1:7" x14ac:dyDescent="0.2">
      <c r="A312" s="13">
        <f t="shared" si="4"/>
        <v>305</v>
      </c>
      <c r="B31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1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1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1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1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12" s="43">
        <f ca="1">NOW()-'LOS TIEMPOS'!$K$2</f>
        <v>42368.075526157409</v>
      </c>
    </row>
    <row r="313" spans="1:7" x14ac:dyDescent="0.2">
      <c r="A313" s="13">
        <f t="shared" si="4"/>
        <v>306</v>
      </c>
      <c r="B31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1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1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1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1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13" s="43">
        <f ca="1">NOW()-'LOS TIEMPOS'!$K$2</f>
        <v>42368.075526157409</v>
      </c>
    </row>
    <row r="314" spans="1:7" x14ac:dyDescent="0.2">
      <c r="A314" s="13">
        <f t="shared" si="4"/>
        <v>307</v>
      </c>
      <c r="B31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1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1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1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1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14" s="43">
        <f ca="1">NOW()-'LOS TIEMPOS'!$K$2</f>
        <v>42368.075526157409</v>
      </c>
    </row>
    <row r="315" spans="1:7" x14ac:dyDescent="0.2">
      <c r="A315" s="13">
        <f t="shared" si="4"/>
        <v>308</v>
      </c>
      <c r="B31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1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1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1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1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15" s="43">
        <f ca="1">NOW()-'LOS TIEMPOS'!$K$2</f>
        <v>42368.075526157409</v>
      </c>
    </row>
    <row r="316" spans="1:7" x14ac:dyDescent="0.2">
      <c r="A316" s="13">
        <f t="shared" si="4"/>
        <v>309</v>
      </c>
      <c r="B31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1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1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1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1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16" s="43">
        <f ca="1">NOW()-'LOS TIEMPOS'!$K$2</f>
        <v>42368.075526157409</v>
      </c>
    </row>
    <row r="317" spans="1:7" x14ac:dyDescent="0.2">
      <c r="A317" s="13">
        <f t="shared" si="4"/>
        <v>310</v>
      </c>
      <c r="B31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1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1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1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1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17" s="43">
        <f ca="1">NOW()-'LOS TIEMPOS'!$K$2</f>
        <v>42368.075526157409</v>
      </c>
    </row>
    <row r="318" spans="1:7" x14ac:dyDescent="0.2">
      <c r="A318" s="13">
        <f t="shared" si="4"/>
        <v>311</v>
      </c>
      <c r="B31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1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1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1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1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18" s="43">
        <f ca="1">NOW()-'LOS TIEMPOS'!$K$2</f>
        <v>42368.075526157409</v>
      </c>
    </row>
    <row r="319" spans="1:7" x14ac:dyDescent="0.2">
      <c r="A319" s="13">
        <f t="shared" si="4"/>
        <v>312</v>
      </c>
      <c r="B31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1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1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1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1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19" s="43">
        <f ca="1">NOW()-'LOS TIEMPOS'!$K$2</f>
        <v>42368.075526157409</v>
      </c>
    </row>
    <row r="320" spans="1:7" x14ac:dyDescent="0.2">
      <c r="A320" s="13">
        <f t="shared" si="4"/>
        <v>313</v>
      </c>
      <c r="B32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2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2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2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2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20" s="43">
        <f ca="1">NOW()-'LOS TIEMPOS'!$K$2</f>
        <v>42368.075526157409</v>
      </c>
    </row>
    <row r="321" spans="1:7" x14ac:dyDescent="0.2">
      <c r="A321" s="13">
        <f t="shared" si="4"/>
        <v>314</v>
      </c>
      <c r="B32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2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2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2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2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21" s="43">
        <f ca="1">NOW()-'LOS TIEMPOS'!$K$2</f>
        <v>42368.075526157409</v>
      </c>
    </row>
    <row r="322" spans="1:7" x14ac:dyDescent="0.2">
      <c r="A322" s="13">
        <f t="shared" si="4"/>
        <v>315</v>
      </c>
      <c r="B32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2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2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2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2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22" s="43">
        <f ca="1">NOW()-'LOS TIEMPOS'!$K$2</f>
        <v>42368.075526157409</v>
      </c>
    </row>
    <row r="323" spans="1:7" x14ac:dyDescent="0.2">
      <c r="A323" s="13">
        <f t="shared" si="4"/>
        <v>316</v>
      </c>
      <c r="B32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2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2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2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2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23" s="43">
        <f ca="1">NOW()-'LOS TIEMPOS'!$K$2</f>
        <v>42368.075526157409</v>
      </c>
    </row>
    <row r="324" spans="1:7" x14ac:dyDescent="0.2">
      <c r="A324" s="13">
        <f t="shared" si="4"/>
        <v>317</v>
      </c>
      <c r="B32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2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2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2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2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24" s="43">
        <f ca="1">NOW()-'LOS TIEMPOS'!$K$2</f>
        <v>42368.075526157409</v>
      </c>
    </row>
    <row r="325" spans="1:7" x14ac:dyDescent="0.2">
      <c r="A325" s="13">
        <f t="shared" si="4"/>
        <v>318</v>
      </c>
      <c r="B32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2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2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2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2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25" s="43">
        <f ca="1">NOW()-'LOS TIEMPOS'!$K$2</f>
        <v>42368.075526157409</v>
      </c>
    </row>
    <row r="326" spans="1:7" x14ac:dyDescent="0.2">
      <c r="A326" s="13">
        <f t="shared" si="4"/>
        <v>319</v>
      </c>
      <c r="B32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2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2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2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2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26" s="43">
        <f ca="1">NOW()-'LOS TIEMPOS'!$K$2</f>
        <v>42368.075526157409</v>
      </c>
    </row>
    <row r="327" spans="1:7" x14ac:dyDescent="0.2">
      <c r="A327" s="13">
        <f t="shared" si="4"/>
        <v>320</v>
      </c>
      <c r="B32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2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2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2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2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27" s="43">
        <f ca="1">NOW()-'LOS TIEMPOS'!$K$2</f>
        <v>42368.075526157409</v>
      </c>
    </row>
    <row r="328" spans="1:7" x14ac:dyDescent="0.2">
      <c r="A328" s="13">
        <f t="shared" ref="A328:A391" si="5">ROW()-7</f>
        <v>321</v>
      </c>
      <c r="B32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2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2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2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2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28" s="43">
        <f ca="1">NOW()-'LOS TIEMPOS'!$K$2</f>
        <v>42368.075526157409</v>
      </c>
    </row>
    <row r="329" spans="1:7" x14ac:dyDescent="0.2">
      <c r="A329" s="13">
        <f t="shared" si="5"/>
        <v>322</v>
      </c>
      <c r="B32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2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2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2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2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29" s="43">
        <f ca="1">NOW()-'LOS TIEMPOS'!$K$2</f>
        <v>42368.075526157409</v>
      </c>
    </row>
    <row r="330" spans="1:7" x14ac:dyDescent="0.2">
      <c r="A330" s="13">
        <f t="shared" si="5"/>
        <v>323</v>
      </c>
      <c r="B33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3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3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3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3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30" s="43">
        <f ca="1">NOW()-'LOS TIEMPOS'!$K$2</f>
        <v>42368.075526157409</v>
      </c>
    </row>
    <row r="331" spans="1:7" x14ac:dyDescent="0.2">
      <c r="A331" s="13">
        <f t="shared" si="5"/>
        <v>324</v>
      </c>
      <c r="B33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3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3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3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3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31" s="43">
        <f ca="1">NOW()-'LOS TIEMPOS'!$K$2</f>
        <v>42368.075526157409</v>
      </c>
    </row>
    <row r="332" spans="1:7" x14ac:dyDescent="0.2">
      <c r="A332" s="13">
        <f t="shared" si="5"/>
        <v>325</v>
      </c>
      <c r="B33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3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3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3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3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32" s="43">
        <f ca="1">NOW()-'LOS TIEMPOS'!$K$2</f>
        <v>42368.075526157409</v>
      </c>
    </row>
    <row r="333" spans="1:7" x14ac:dyDescent="0.2">
      <c r="A333" s="13">
        <f t="shared" si="5"/>
        <v>326</v>
      </c>
      <c r="B33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3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3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3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3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33" s="43">
        <f ca="1">NOW()-'LOS TIEMPOS'!$K$2</f>
        <v>42368.075526157409</v>
      </c>
    </row>
    <row r="334" spans="1:7" x14ac:dyDescent="0.2">
      <c r="A334" s="13">
        <f t="shared" si="5"/>
        <v>327</v>
      </c>
      <c r="B33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3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3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3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3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34" s="43">
        <f ca="1">NOW()-'LOS TIEMPOS'!$K$2</f>
        <v>42368.075526157409</v>
      </c>
    </row>
    <row r="335" spans="1:7" x14ac:dyDescent="0.2">
      <c r="A335" s="13">
        <f t="shared" si="5"/>
        <v>328</v>
      </c>
      <c r="B33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3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3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3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3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35" s="43">
        <f ca="1">NOW()-'LOS TIEMPOS'!$K$2</f>
        <v>42368.075526157409</v>
      </c>
    </row>
    <row r="336" spans="1:7" x14ac:dyDescent="0.2">
      <c r="A336" s="13">
        <f t="shared" si="5"/>
        <v>329</v>
      </c>
      <c r="B33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3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3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3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3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36" s="43">
        <f ca="1">NOW()-'LOS TIEMPOS'!$K$2</f>
        <v>42368.075526157409</v>
      </c>
    </row>
    <row r="337" spans="1:7" x14ac:dyDescent="0.2">
      <c r="A337" s="13">
        <f t="shared" si="5"/>
        <v>330</v>
      </c>
      <c r="B33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3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3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3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3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37" s="43">
        <f ca="1">NOW()-'LOS TIEMPOS'!$K$2</f>
        <v>42368.075526157409</v>
      </c>
    </row>
    <row r="338" spans="1:7" x14ac:dyDescent="0.2">
      <c r="A338" s="13">
        <f t="shared" si="5"/>
        <v>331</v>
      </c>
      <c r="B33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3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3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3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3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38" s="43">
        <f ca="1">NOW()-'LOS TIEMPOS'!$K$2</f>
        <v>42368.075526157409</v>
      </c>
    </row>
    <row r="339" spans="1:7" x14ac:dyDescent="0.2">
      <c r="A339" s="13">
        <f t="shared" si="5"/>
        <v>332</v>
      </c>
      <c r="B33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3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3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3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3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39" s="43">
        <f ca="1">NOW()-'LOS TIEMPOS'!$K$2</f>
        <v>42368.075526157409</v>
      </c>
    </row>
    <row r="340" spans="1:7" x14ac:dyDescent="0.2">
      <c r="A340" s="13">
        <f t="shared" si="5"/>
        <v>333</v>
      </c>
      <c r="B34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4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4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4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4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40" s="43">
        <f ca="1">NOW()-'LOS TIEMPOS'!$K$2</f>
        <v>42368.075526157409</v>
      </c>
    </row>
    <row r="341" spans="1:7" x14ac:dyDescent="0.2">
      <c r="A341" s="13">
        <f t="shared" si="5"/>
        <v>334</v>
      </c>
      <c r="B34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4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4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4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4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41" s="43">
        <f ca="1">NOW()-'LOS TIEMPOS'!$K$2</f>
        <v>42368.075526157409</v>
      </c>
    </row>
    <row r="342" spans="1:7" x14ac:dyDescent="0.2">
      <c r="A342" s="13">
        <f t="shared" si="5"/>
        <v>335</v>
      </c>
      <c r="B34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4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4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4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4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42" s="43">
        <f ca="1">NOW()-'LOS TIEMPOS'!$K$2</f>
        <v>42368.075526157409</v>
      </c>
    </row>
    <row r="343" spans="1:7" x14ac:dyDescent="0.2">
      <c r="A343" s="13">
        <f t="shared" si="5"/>
        <v>336</v>
      </c>
      <c r="B34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4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4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4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4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43" s="43">
        <f ca="1">NOW()-'LOS TIEMPOS'!$K$2</f>
        <v>42368.075526157409</v>
      </c>
    </row>
    <row r="344" spans="1:7" x14ac:dyDescent="0.2">
      <c r="A344" s="13">
        <f t="shared" si="5"/>
        <v>337</v>
      </c>
      <c r="B34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4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4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4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4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44" s="43">
        <f ca="1">NOW()-'LOS TIEMPOS'!$K$2</f>
        <v>42368.075526157409</v>
      </c>
    </row>
    <row r="345" spans="1:7" x14ac:dyDescent="0.2">
      <c r="A345" s="13">
        <f t="shared" si="5"/>
        <v>338</v>
      </c>
      <c r="B34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4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4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4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4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45" s="43">
        <f ca="1">NOW()-'LOS TIEMPOS'!$K$2</f>
        <v>42368.075526157409</v>
      </c>
    </row>
    <row r="346" spans="1:7" x14ac:dyDescent="0.2">
      <c r="A346" s="13">
        <f t="shared" si="5"/>
        <v>339</v>
      </c>
      <c r="B34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4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4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4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4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46" s="43">
        <f ca="1">NOW()-'LOS TIEMPOS'!$K$2</f>
        <v>42368.075526157409</v>
      </c>
    </row>
    <row r="347" spans="1:7" x14ac:dyDescent="0.2">
      <c r="A347" s="13">
        <f t="shared" si="5"/>
        <v>340</v>
      </c>
      <c r="B34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4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4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4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4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47" s="43">
        <f ca="1">NOW()-'LOS TIEMPOS'!$K$2</f>
        <v>42368.075526157409</v>
      </c>
    </row>
    <row r="348" spans="1:7" x14ac:dyDescent="0.2">
      <c r="A348" s="13">
        <f t="shared" si="5"/>
        <v>341</v>
      </c>
      <c r="B34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4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4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4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4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48" s="43">
        <f ca="1">NOW()-'LOS TIEMPOS'!$K$2</f>
        <v>42368.075526157409</v>
      </c>
    </row>
    <row r="349" spans="1:7" x14ac:dyDescent="0.2">
      <c r="A349" s="13">
        <f t="shared" si="5"/>
        <v>342</v>
      </c>
      <c r="B34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4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4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4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4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49" s="43">
        <f ca="1">NOW()-'LOS TIEMPOS'!$K$2</f>
        <v>42368.075526157409</v>
      </c>
    </row>
    <row r="350" spans="1:7" x14ac:dyDescent="0.2">
      <c r="A350" s="13">
        <f t="shared" si="5"/>
        <v>343</v>
      </c>
      <c r="B35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5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5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5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5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50" s="43">
        <f ca="1">NOW()-'LOS TIEMPOS'!$K$2</f>
        <v>42368.075526157409</v>
      </c>
    </row>
    <row r="351" spans="1:7" x14ac:dyDescent="0.2">
      <c r="A351" s="13">
        <f t="shared" si="5"/>
        <v>344</v>
      </c>
      <c r="B35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5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5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5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5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51" s="43">
        <f ca="1">NOW()-'LOS TIEMPOS'!$K$2</f>
        <v>42368.075526157409</v>
      </c>
    </row>
    <row r="352" spans="1:7" x14ac:dyDescent="0.2">
      <c r="A352" s="13">
        <f t="shared" si="5"/>
        <v>345</v>
      </c>
      <c r="B35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5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5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5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5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52" s="43">
        <f ca="1">NOW()-'LOS TIEMPOS'!$K$2</f>
        <v>42368.075526157409</v>
      </c>
    </row>
    <row r="353" spans="1:7" x14ac:dyDescent="0.2">
      <c r="A353" s="13">
        <f t="shared" si="5"/>
        <v>346</v>
      </c>
      <c r="B35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5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5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5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5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53" s="43">
        <f ca="1">NOW()-'LOS TIEMPOS'!$K$2</f>
        <v>42368.075526157409</v>
      </c>
    </row>
    <row r="354" spans="1:7" x14ac:dyDescent="0.2">
      <c r="A354" s="13">
        <f t="shared" si="5"/>
        <v>347</v>
      </c>
      <c r="B35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5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5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5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5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54" s="43">
        <f ca="1">NOW()-'LOS TIEMPOS'!$K$2</f>
        <v>42368.075526157409</v>
      </c>
    </row>
    <row r="355" spans="1:7" x14ac:dyDescent="0.2">
      <c r="A355" s="13">
        <f t="shared" si="5"/>
        <v>348</v>
      </c>
      <c r="B35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5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5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5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5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55" s="43">
        <f ca="1">NOW()-'LOS TIEMPOS'!$K$2</f>
        <v>42368.075526157409</v>
      </c>
    </row>
    <row r="356" spans="1:7" x14ac:dyDescent="0.2">
      <c r="A356" s="13">
        <f t="shared" si="5"/>
        <v>349</v>
      </c>
      <c r="B35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5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5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5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5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56" s="43">
        <f ca="1">NOW()-'LOS TIEMPOS'!$K$2</f>
        <v>42368.075526157409</v>
      </c>
    </row>
    <row r="357" spans="1:7" x14ac:dyDescent="0.2">
      <c r="A357" s="13">
        <f t="shared" si="5"/>
        <v>350</v>
      </c>
      <c r="B35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5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5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5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5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57" s="43">
        <f ca="1">NOW()-'LOS TIEMPOS'!$K$2</f>
        <v>42368.075526157409</v>
      </c>
    </row>
    <row r="358" spans="1:7" x14ac:dyDescent="0.2">
      <c r="A358" s="13">
        <f t="shared" si="5"/>
        <v>351</v>
      </c>
      <c r="B35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5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5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5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5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58" s="43">
        <f ca="1">NOW()-'LOS TIEMPOS'!$K$2</f>
        <v>42368.075526157409</v>
      </c>
    </row>
    <row r="359" spans="1:7" x14ac:dyDescent="0.2">
      <c r="A359" s="13">
        <f t="shared" si="5"/>
        <v>352</v>
      </c>
      <c r="B35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5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5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5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5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59" s="43">
        <f ca="1">NOW()-'LOS TIEMPOS'!$K$2</f>
        <v>42368.075526157409</v>
      </c>
    </row>
    <row r="360" spans="1:7" x14ac:dyDescent="0.2">
      <c r="A360" s="13">
        <f t="shared" si="5"/>
        <v>353</v>
      </c>
      <c r="B36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6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6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6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6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60" s="43">
        <f ca="1">NOW()-'LOS TIEMPOS'!$K$2</f>
        <v>42368.075526157409</v>
      </c>
    </row>
    <row r="361" spans="1:7" x14ac:dyDescent="0.2">
      <c r="A361" s="13">
        <f t="shared" si="5"/>
        <v>354</v>
      </c>
      <c r="B36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6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6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6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6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61" s="43">
        <f ca="1">NOW()-'LOS TIEMPOS'!$K$2</f>
        <v>42368.075526157409</v>
      </c>
    </row>
    <row r="362" spans="1:7" x14ac:dyDescent="0.2">
      <c r="A362" s="13">
        <f t="shared" si="5"/>
        <v>355</v>
      </c>
      <c r="B36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6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6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6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6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62" s="43">
        <f ca="1">NOW()-'LOS TIEMPOS'!$K$2</f>
        <v>42368.075526157409</v>
      </c>
    </row>
    <row r="363" spans="1:7" x14ac:dyDescent="0.2">
      <c r="A363" s="13">
        <f t="shared" si="5"/>
        <v>356</v>
      </c>
      <c r="B36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6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6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6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6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63" s="43">
        <f ca="1">NOW()-'LOS TIEMPOS'!$K$2</f>
        <v>42368.075526157409</v>
      </c>
    </row>
    <row r="364" spans="1:7" x14ac:dyDescent="0.2">
      <c r="A364" s="13">
        <f t="shared" si="5"/>
        <v>357</v>
      </c>
      <c r="B36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6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6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6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6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64" s="43">
        <f ca="1">NOW()-'LOS TIEMPOS'!$K$2</f>
        <v>42368.075526157409</v>
      </c>
    </row>
    <row r="365" spans="1:7" x14ac:dyDescent="0.2">
      <c r="A365" s="13">
        <f t="shared" si="5"/>
        <v>358</v>
      </c>
      <c r="B36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6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6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6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6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65" s="43">
        <f ca="1">NOW()-'LOS TIEMPOS'!$K$2</f>
        <v>42368.075526157409</v>
      </c>
    </row>
    <row r="366" spans="1:7" x14ac:dyDescent="0.2">
      <c r="A366" s="13">
        <f t="shared" si="5"/>
        <v>359</v>
      </c>
      <c r="B36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6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6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6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6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66" s="43">
        <f ca="1">NOW()-'LOS TIEMPOS'!$K$2</f>
        <v>42368.075526157409</v>
      </c>
    </row>
    <row r="367" spans="1:7" x14ac:dyDescent="0.2">
      <c r="A367" s="13">
        <f t="shared" si="5"/>
        <v>360</v>
      </c>
      <c r="B36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6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6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6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6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67" s="43">
        <f ca="1">NOW()-'LOS TIEMPOS'!$K$2</f>
        <v>42368.075526157409</v>
      </c>
    </row>
    <row r="368" spans="1:7" x14ac:dyDescent="0.2">
      <c r="A368" s="13">
        <f t="shared" si="5"/>
        <v>361</v>
      </c>
      <c r="B36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6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6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6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6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68" s="43">
        <f ca="1">NOW()-'LOS TIEMPOS'!$K$2</f>
        <v>42368.075526157409</v>
      </c>
    </row>
    <row r="369" spans="1:7" x14ac:dyDescent="0.2">
      <c r="A369" s="13">
        <f t="shared" si="5"/>
        <v>362</v>
      </c>
      <c r="B36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6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6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6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6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69" s="43">
        <f ca="1">NOW()-'LOS TIEMPOS'!$K$2</f>
        <v>42368.075526157409</v>
      </c>
    </row>
    <row r="370" spans="1:7" x14ac:dyDescent="0.2">
      <c r="A370" s="13">
        <f t="shared" si="5"/>
        <v>363</v>
      </c>
      <c r="B37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7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7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7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7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70" s="43">
        <f ca="1">NOW()-'LOS TIEMPOS'!$K$2</f>
        <v>42368.075526157409</v>
      </c>
    </row>
    <row r="371" spans="1:7" x14ac:dyDescent="0.2">
      <c r="A371" s="13">
        <f t="shared" si="5"/>
        <v>364</v>
      </c>
      <c r="B37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7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7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7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7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71" s="43">
        <f ca="1">NOW()-'LOS TIEMPOS'!$K$2</f>
        <v>42368.075526157409</v>
      </c>
    </row>
    <row r="372" spans="1:7" x14ac:dyDescent="0.2">
      <c r="A372" s="13">
        <f t="shared" si="5"/>
        <v>365</v>
      </c>
      <c r="B37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7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7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7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7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72" s="43">
        <f ca="1">NOW()-'LOS TIEMPOS'!$K$2</f>
        <v>42368.075526157409</v>
      </c>
    </row>
    <row r="373" spans="1:7" x14ac:dyDescent="0.2">
      <c r="A373" s="13">
        <f t="shared" si="5"/>
        <v>366</v>
      </c>
      <c r="B37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7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7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7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7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73" s="43">
        <f ca="1">NOW()-'LOS TIEMPOS'!$K$2</f>
        <v>42368.075526157409</v>
      </c>
    </row>
    <row r="374" spans="1:7" x14ac:dyDescent="0.2">
      <c r="A374" s="13">
        <f t="shared" si="5"/>
        <v>367</v>
      </c>
      <c r="B37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7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7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7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7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74" s="43">
        <f ca="1">NOW()-'LOS TIEMPOS'!$K$2</f>
        <v>42368.075526157409</v>
      </c>
    </row>
    <row r="375" spans="1:7" x14ac:dyDescent="0.2">
      <c r="A375" s="13">
        <f t="shared" si="5"/>
        <v>368</v>
      </c>
      <c r="B37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7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7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7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7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75" s="43">
        <f ca="1">NOW()-'LOS TIEMPOS'!$K$2</f>
        <v>42368.075526157409</v>
      </c>
    </row>
    <row r="376" spans="1:7" x14ac:dyDescent="0.2">
      <c r="A376" s="13">
        <f t="shared" si="5"/>
        <v>369</v>
      </c>
      <c r="B37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7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7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7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7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76" s="43">
        <f ca="1">NOW()-'LOS TIEMPOS'!$K$2</f>
        <v>42368.075526157409</v>
      </c>
    </row>
    <row r="377" spans="1:7" x14ac:dyDescent="0.2">
      <c r="A377" s="13">
        <f t="shared" si="5"/>
        <v>370</v>
      </c>
      <c r="B37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7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7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7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7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77" s="43">
        <f ca="1">NOW()-'LOS TIEMPOS'!$K$2</f>
        <v>42368.075526157409</v>
      </c>
    </row>
    <row r="378" spans="1:7" x14ac:dyDescent="0.2">
      <c r="A378" s="13">
        <f t="shared" si="5"/>
        <v>371</v>
      </c>
      <c r="B37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7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7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7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7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78" s="43">
        <f ca="1">NOW()-'LOS TIEMPOS'!$K$2</f>
        <v>42368.075526157409</v>
      </c>
    </row>
    <row r="379" spans="1:7" x14ac:dyDescent="0.2">
      <c r="A379" s="13">
        <f t="shared" si="5"/>
        <v>372</v>
      </c>
      <c r="B37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7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7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7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7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79" s="43">
        <f ca="1">NOW()-'LOS TIEMPOS'!$K$2</f>
        <v>42368.075526157409</v>
      </c>
    </row>
    <row r="380" spans="1:7" x14ac:dyDescent="0.2">
      <c r="A380" s="13">
        <f t="shared" si="5"/>
        <v>373</v>
      </c>
      <c r="B38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8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8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8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8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80" s="43">
        <f ca="1">NOW()-'LOS TIEMPOS'!$K$2</f>
        <v>42368.075526157409</v>
      </c>
    </row>
    <row r="381" spans="1:7" x14ac:dyDescent="0.2">
      <c r="A381" s="13">
        <f t="shared" si="5"/>
        <v>374</v>
      </c>
      <c r="B38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8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8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8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8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81" s="43">
        <f ca="1">NOW()-'LOS TIEMPOS'!$K$2</f>
        <v>42368.075526157409</v>
      </c>
    </row>
    <row r="382" spans="1:7" x14ac:dyDescent="0.2">
      <c r="A382" s="13">
        <f t="shared" si="5"/>
        <v>375</v>
      </c>
      <c r="B38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8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8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8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8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82" s="43">
        <f ca="1">NOW()-'LOS TIEMPOS'!$K$2</f>
        <v>42368.075526157409</v>
      </c>
    </row>
    <row r="383" spans="1:7" x14ac:dyDescent="0.2">
      <c r="A383" s="13">
        <f t="shared" si="5"/>
        <v>376</v>
      </c>
      <c r="B38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8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8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8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8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83" s="43">
        <f ca="1">NOW()-'LOS TIEMPOS'!$K$2</f>
        <v>42368.075526157409</v>
      </c>
    </row>
    <row r="384" spans="1:7" x14ac:dyDescent="0.2">
      <c r="A384" s="13">
        <f t="shared" si="5"/>
        <v>377</v>
      </c>
      <c r="B38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8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8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8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8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84" s="43">
        <f ca="1">NOW()-'LOS TIEMPOS'!$K$2</f>
        <v>42368.075526157409</v>
      </c>
    </row>
    <row r="385" spans="1:7" x14ac:dyDescent="0.2">
      <c r="A385" s="13">
        <f t="shared" si="5"/>
        <v>378</v>
      </c>
      <c r="B38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8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8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8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8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85" s="43">
        <f ca="1">NOW()-'LOS TIEMPOS'!$K$2</f>
        <v>42368.075526157409</v>
      </c>
    </row>
    <row r="386" spans="1:7" x14ac:dyDescent="0.2">
      <c r="A386" s="13">
        <f t="shared" si="5"/>
        <v>379</v>
      </c>
      <c r="B38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8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8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8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8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86" s="43">
        <f ca="1">NOW()-'LOS TIEMPOS'!$K$2</f>
        <v>42368.075526157409</v>
      </c>
    </row>
    <row r="387" spans="1:7" x14ac:dyDescent="0.2">
      <c r="A387" s="13">
        <f t="shared" si="5"/>
        <v>380</v>
      </c>
      <c r="B38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8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8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8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8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87" s="43">
        <f ca="1">NOW()-'LOS TIEMPOS'!$K$2</f>
        <v>42368.075526157409</v>
      </c>
    </row>
    <row r="388" spans="1:7" x14ac:dyDescent="0.2">
      <c r="A388" s="13">
        <f t="shared" si="5"/>
        <v>381</v>
      </c>
      <c r="B38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8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8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8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8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88" s="43">
        <f ca="1">NOW()-'LOS TIEMPOS'!$K$2</f>
        <v>42368.075526157409</v>
      </c>
    </row>
    <row r="389" spans="1:7" x14ac:dyDescent="0.2">
      <c r="A389" s="13">
        <f t="shared" si="5"/>
        <v>382</v>
      </c>
      <c r="B38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8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8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8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8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89" s="43">
        <f ca="1">NOW()-'LOS TIEMPOS'!$K$2</f>
        <v>42368.075526157409</v>
      </c>
    </row>
    <row r="390" spans="1:7" x14ac:dyDescent="0.2">
      <c r="A390" s="13">
        <f t="shared" si="5"/>
        <v>383</v>
      </c>
      <c r="B39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9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9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9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9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90" s="43">
        <f ca="1">NOW()-'LOS TIEMPOS'!$K$2</f>
        <v>42368.075526157409</v>
      </c>
    </row>
    <row r="391" spans="1:7" x14ac:dyDescent="0.2">
      <c r="A391" s="13">
        <f t="shared" si="5"/>
        <v>384</v>
      </c>
      <c r="B39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9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9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9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9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91" s="43">
        <f ca="1">NOW()-'LOS TIEMPOS'!$K$2</f>
        <v>42368.075526157409</v>
      </c>
    </row>
    <row r="392" spans="1:7" x14ac:dyDescent="0.2">
      <c r="A392" s="13">
        <f t="shared" ref="A392:A455" si="6">ROW()-7</f>
        <v>385</v>
      </c>
      <c r="B39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9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9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9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9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92" s="43">
        <f ca="1">NOW()-'LOS TIEMPOS'!$K$2</f>
        <v>42368.075526157409</v>
      </c>
    </row>
    <row r="393" spans="1:7" x14ac:dyDescent="0.2">
      <c r="A393" s="13">
        <f t="shared" si="6"/>
        <v>386</v>
      </c>
      <c r="B39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9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9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9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9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93" s="43">
        <f ca="1">NOW()-'LOS TIEMPOS'!$K$2</f>
        <v>42368.075526157409</v>
      </c>
    </row>
    <row r="394" spans="1:7" x14ac:dyDescent="0.2">
      <c r="A394" s="13">
        <f t="shared" si="6"/>
        <v>387</v>
      </c>
      <c r="B39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9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9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9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9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94" s="43">
        <f ca="1">NOW()-'LOS TIEMPOS'!$K$2</f>
        <v>42368.075526157409</v>
      </c>
    </row>
    <row r="395" spans="1:7" x14ac:dyDescent="0.2">
      <c r="A395" s="13">
        <f t="shared" si="6"/>
        <v>388</v>
      </c>
      <c r="B39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9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9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9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9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95" s="43">
        <f ca="1">NOW()-'LOS TIEMPOS'!$K$2</f>
        <v>42368.075526157409</v>
      </c>
    </row>
    <row r="396" spans="1:7" x14ac:dyDescent="0.2">
      <c r="A396" s="13">
        <f t="shared" si="6"/>
        <v>389</v>
      </c>
      <c r="B39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9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9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9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9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96" s="43">
        <f ca="1">NOW()-'LOS TIEMPOS'!$K$2</f>
        <v>42368.075526157409</v>
      </c>
    </row>
    <row r="397" spans="1:7" x14ac:dyDescent="0.2">
      <c r="A397" s="13">
        <f t="shared" si="6"/>
        <v>390</v>
      </c>
      <c r="B39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9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9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9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9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97" s="43">
        <f ca="1">NOW()-'LOS TIEMPOS'!$K$2</f>
        <v>42368.075526157409</v>
      </c>
    </row>
    <row r="398" spans="1:7" x14ac:dyDescent="0.2">
      <c r="A398" s="13">
        <f t="shared" si="6"/>
        <v>391</v>
      </c>
      <c r="B39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9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9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9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9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98" s="43">
        <f ca="1">NOW()-'LOS TIEMPOS'!$K$2</f>
        <v>42368.075526157409</v>
      </c>
    </row>
    <row r="399" spans="1:7" x14ac:dyDescent="0.2">
      <c r="A399" s="13">
        <f t="shared" si="6"/>
        <v>392</v>
      </c>
      <c r="B39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39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39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39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39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399" s="43">
        <f ca="1">NOW()-'LOS TIEMPOS'!$K$2</f>
        <v>42368.075526157409</v>
      </c>
    </row>
    <row r="400" spans="1:7" x14ac:dyDescent="0.2">
      <c r="A400" s="13">
        <f t="shared" si="6"/>
        <v>393</v>
      </c>
      <c r="B40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0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0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0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0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00" s="43">
        <f ca="1">NOW()-'LOS TIEMPOS'!$K$2</f>
        <v>42368.075526157409</v>
      </c>
    </row>
    <row r="401" spans="1:7" x14ac:dyDescent="0.2">
      <c r="A401" s="13">
        <f t="shared" si="6"/>
        <v>394</v>
      </c>
      <c r="B40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0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0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0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0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01" s="43">
        <f ca="1">NOW()-'LOS TIEMPOS'!$K$2</f>
        <v>42368.075526157409</v>
      </c>
    </row>
    <row r="402" spans="1:7" x14ac:dyDescent="0.2">
      <c r="A402" s="13">
        <f t="shared" si="6"/>
        <v>395</v>
      </c>
      <c r="B40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0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0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0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0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02" s="43">
        <f ca="1">NOW()-'LOS TIEMPOS'!$K$2</f>
        <v>42368.075526157409</v>
      </c>
    </row>
    <row r="403" spans="1:7" x14ac:dyDescent="0.2">
      <c r="A403" s="13">
        <f t="shared" si="6"/>
        <v>396</v>
      </c>
      <c r="B40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0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0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0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0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03" s="43">
        <f ca="1">NOW()-'LOS TIEMPOS'!$K$2</f>
        <v>42368.075526157409</v>
      </c>
    </row>
    <row r="404" spans="1:7" x14ac:dyDescent="0.2">
      <c r="A404" s="13">
        <f t="shared" si="6"/>
        <v>397</v>
      </c>
      <c r="B40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0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0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0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0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04" s="43">
        <f ca="1">NOW()-'LOS TIEMPOS'!$K$2</f>
        <v>42368.075526157409</v>
      </c>
    </row>
    <row r="405" spans="1:7" x14ac:dyDescent="0.2">
      <c r="A405" s="13">
        <f t="shared" si="6"/>
        <v>398</v>
      </c>
      <c r="B40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0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0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0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0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05" s="43">
        <f ca="1">NOW()-'LOS TIEMPOS'!$K$2</f>
        <v>42368.075526157409</v>
      </c>
    </row>
    <row r="406" spans="1:7" x14ac:dyDescent="0.2">
      <c r="A406" s="13">
        <f t="shared" si="6"/>
        <v>399</v>
      </c>
      <c r="B40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0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0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0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0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06" s="43">
        <f ca="1">NOW()-'LOS TIEMPOS'!$K$2</f>
        <v>42368.075526157409</v>
      </c>
    </row>
    <row r="407" spans="1:7" x14ac:dyDescent="0.2">
      <c r="A407" s="13">
        <f t="shared" si="6"/>
        <v>400</v>
      </c>
      <c r="B40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0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0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0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0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07" s="43">
        <f ca="1">NOW()-'LOS TIEMPOS'!$K$2</f>
        <v>42368.075526157409</v>
      </c>
    </row>
    <row r="408" spans="1:7" x14ac:dyDescent="0.2">
      <c r="A408" s="13">
        <f t="shared" si="6"/>
        <v>401</v>
      </c>
      <c r="B40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0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0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0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0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08" s="43">
        <f ca="1">NOW()-'LOS TIEMPOS'!$K$2</f>
        <v>42368.075526157409</v>
      </c>
    </row>
    <row r="409" spans="1:7" x14ac:dyDescent="0.2">
      <c r="A409" s="13">
        <f t="shared" si="6"/>
        <v>402</v>
      </c>
      <c r="B40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0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0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0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0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09" s="43">
        <f ca="1">NOW()-'LOS TIEMPOS'!$K$2</f>
        <v>42368.075526157409</v>
      </c>
    </row>
    <row r="410" spans="1:7" x14ac:dyDescent="0.2">
      <c r="A410" s="13">
        <f t="shared" si="6"/>
        <v>403</v>
      </c>
      <c r="B41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1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1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1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1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10" s="43">
        <f ca="1">NOW()-'LOS TIEMPOS'!$K$2</f>
        <v>42368.075526157409</v>
      </c>
    </row>
    <row r="411" spans="1:7" x14ac:dyDescent="0.2">
      <c r="A411" s="13">
        <f t="shared" si="6"/>
        <v>404</v>
      </c>
      <c r="B41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1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1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1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1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11" s="43">
        <f ca="1">NOW()-'LOS TIEMPOS'!$K$2</f>
        <v>42368.075526157409</v>
      </c>
    </row>
    <row r="412" spans="1:7" x14ac:dyDescent="0.2">
      <c r="A412" s="13">
        <f t="shared" si="6"/>
        <v>405</v>
      </c>
      <c r="B41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1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1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1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1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12" s="43">
        <f ca="1">NOW()-'LOS TIEMPOS'!$K$2</f>
        <v>42368.075526157409</v>
      </c>
    </row>
    <row r="413" spans="1:7" x14ac:dyDescent="0.2">
      <c r="A413" s="13">
        <f t="shared" si="6"/>
        <v>406</v>
      </c>
      <c r="B41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1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1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1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1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13" s="43">
        <f ca="1">NOW()-'LOS TIEMPOS'!$K$2</f>
        <v>42368.075526157409</v>
      </c>
    </row>
    <row r="414" spans="1:7" x14ac:dyDescent="0.2">
      <c r="A414" s="13">
        <f t="shared" si="6"/>
        <v>407</v>
      </c>
      <c r="B41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1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1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1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1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14" s="43">
        <f ca="1">NOW()-'LOS TIEMPOS'!$K$2</f>
        <v>42368.075526157409</v>
      </c>
    </row>
    <row r="415" spans="1:7" x14ac:dyDescent="0.2">
      <c r="A415" s="13">
        <f t="shared" si="6"/>
        <v>408</v>
      </c>
      <c r="B41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1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1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1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1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15" s="43">
        <f ca="1">NOW()-'LOS TIEMPOS'!$K$2</f>
        <v>42368.075526157409</v>
      </c>
    </row>
    <row r="416" spans="1:7" x14ac:dyDescent="0.2">
      <c r="A416" s="13">
        <f t="shared" si="6"/>
        <v>409</v>
      </c>
      <c r="B41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1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1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1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1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16" s="43">
        <f ca="1">NOW()-'LOS TIEMPOS'!$K$2</f>
        <v>42368.075526157409</v>
      </c>
    </row>
    <row r="417" spans="1:7" x14ac:dyDescent="0.2">
      <c r="A417" s="13">
        <f t="shared" si="6"/>
        <v>410</v>
      </c>
      <c r="B41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1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1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1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1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17" s="43">
        <f ca="1">NOW()-'LOS TIEMPOS'!$K$2</f>
        <v>42368.075526157409</v>
      </c>
    </row>
    <row r="418" spans="1:7" x14ac:dyDescent="0.2">
      <c r="A418" s="13">
        <f t="shared" si="6"/>
        <v>411</v>
      </c>
      <c r="B41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1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1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1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1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18" s="43">
        <f ca="1">NOW()-'LOS TIEMPOS'!$K$2</f>
        <v>42368.075526157409</v>
      </c>
    </row>
    <row r="419" spans="1:7" x14ac:dyDescent="0.2">
      <c r="A419" s="13">
        <f t="shared" si="6"/>
        <v>412</v>
      </c>
      <c r="B41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1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1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1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1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19" s="43">
        <f ca="1">NOW()-'LOS TIEMPOS'!$K$2</f>
        <v>42368.075526157409</v>
      </c>
    </row>
    <row r="420" spans="1:7" x14ac:dyDescent="0.2">
      <c r="A420" s="13">
        <f t="shared" si="6"/>
        <v>413</v>
      </c>
      <c r="B42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2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2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2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2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20" s="43">
        <f ca="1">NOW()-'LOS TIEMPOS'!$K$2</f>
        <v>42368.075526157409</v>
      </c>
    </row>
    <row r="421" spans="1:7" x14ac:dyDescent="0.2">
      <c r="A421" s="13">
        <f t="shared" si="6"/>
        <v>414</v>
      </c>
      <c r="B42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2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2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2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2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21" s="43">
        <f ca="1">NOW()-'LOS TIEMPOS'!$K$2</f>
        <v>42368.075526157409</v>
      </c>
    </row>
    <row r="422" spans="1:7" x14ac:dyDescent="0.2">
      <c r="A422" s="13">
        <f t="shared" si="6"/>
        <v>415</v>
      </c>
      <c r="B42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2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2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2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2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22" s="43">
        <f ca="1">NOW()-'LOS TIEMPOS'!$K$2</f>
        <v>42368.075526157409</v>
      </c>
    </row>
    <row r="423" spans="1:7" x14ac:dyDescent="0.2">
      <c r="A423" s="13">
        <f t="shared" si="6"/>
        <v>416</v>
      </c>
      <c r="B42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2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2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2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2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23" s="43">
        <f ca="1">NOW()-'LOS TIEMPOS'!$K$2</f>
        <v>42368.075526157409</v>
      </c>
    </row>
    <row r="424" spans="1:7" x14ac:dyDescent="0.2">
      <c r="A424" s="13">
        <f t="shared" si="6"/>
        <v>417</v>
      </c>
      <c r="B42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2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2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2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2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24" s="43">
        <f ca="1">NOW()-'LOS TIEMPOS'!$K$2</f>
        <v>42368.075526157409</v>
      </c>
    </row>
    <row r="425" spans="1:7" x14ac:dyDescent="0.2">
      <c r="A425" s="13">
        <f t="shared" si="6"/>
        <v>418</v>
      </c>
      <c r="B42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2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2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2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2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25" s="43">
        <f ca="1">NOW()-'LOS TIEMPOS'!$K$2</f>
        <v>42368.075526157409</v>
      </c>
    </row>
    <row r="426" spans="1:7" x14ac:dyDescent="0.2">
      <c r="A426" s="13">
        <f t="shared" si="6"/>
        <v>419</v>
      </c>
      <c r="B42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2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2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2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2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26" s="43">
        <f ca="1">NOW()-'LOS TIEMPOS'!$K$2</f>
        <v>42368.075526157409</v>
      </c>
    </row>
    <row r="427" spans="1:7" x14ac:dyDescent="0.2">
      <c r="A427" s="13">
        <f t="shared" si="6"/>
        <v>420</v>
      </c>
      <c r="B42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2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2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2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2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27" s="43">
        <f ca="1">NOW()-'LOS TIEMPOS'!$K$2</f>
        <v>42368.075526157409</v>
      </c>
    </row>
    <row r="428" spans="1:7" x14ac:dyDescent="0.2">
      <c r="A428" s="13">
        <f t="shared" si="6"/>
        <v>421</v>
      </c>
      <c r="B42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2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2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2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2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28" s="43">
        <f ca="1">NOW()-'LOS TIEMPOS'!$K$2</f>
        <v>42368.075526157409</v>
      </c>
    </row>
    <row r="429" spans="1:7" x14ac:dyDescent="0.2">
      <c r="A429" s="13">
        <f t="shared" si="6"/>
        <v>422</v>
      </c>
      <c r="B42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2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2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2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2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29" s="43">
        <f ca="1">NOW()-'LOS TIEMPOS'!$K$2</f>
        <v>42368.075526157409</v>
      </c>
    </row>
    <row r="430" spans="1:7" x14ac:dyDescent="0.2">
      <c r="A430" s="13">
        <f t="shared" si="6"/>
        <v>423</v>
      </c>
      <c r="B43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3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3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3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3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30" s="43">
        <f ca="1">NOW()-'LOS TIEMPOS'!$K$2</f>
        <v>42368.075526157409</v>
      </c>
    </row>
    <row r="431" spans="1:7" x14ac:dyDescent="0.2">
      <c r="A431" s="13">
        <f t="shared" si="6"/>
        <v>424</v>
      </c>
      <c r="B43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3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3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3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3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31" s="43">
        <f ca="1">NOW()-'LOS TIEMPOS'!$K$2</f>
        <v>42368.075526157409</v>
      </c>
    </row>
    <row r="432" spans="1:7" x14ac:dyDescent="0.2">
      <c r="A432" s="13">
        <f t="shared" si="6"/>
        <v>425</v>
      </c>
      <c r="B43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3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3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3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3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32" s="43">
        <f ca="1">NOW()-'LOS TIEMPOS'!$K$2</f>
        <v>42368.075526157409</v>
      </c>
    </row>
    <row r="433" spans="1:7" x14ac:dyDescent="0.2">
      <c r="A433" s="13">
        <f t="shared" si="6"/>
        <v>426</v>
      </c>
      <c r="B43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3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3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3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3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33" s="43">
        <f ca="1">NOW()-'LOS TIEMPOS'!$K$2</f>
        <v>42368.075526157409</v>
      </c>
    </row>
    <row r="434" spans="1:7" x14ac:dyDescent="0.2">
      <c r="A434" s="13">
        <f t="shared" si="6"/>
        <v>427</v>
      </c>
      <c r="B43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3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3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3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3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34" s="43">
        <f ca="1">NOW()-'LOS TIEMPOS'!$K$2</f>
        <v>42368.075526157409</v>
      </c>
    </row>
    <row r="435" spans="1:7" x14ac:dyDescent="0.2">
      <c r="A435" s="13">
        <f t="shared" si="6"/>
        <v>428</v>
      </c>
      <c r="B43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3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3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3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3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35" s="43">
        <f ca="1">NOW()-'LOS TIEMPOS'!$K$2</f>
        <v>42368.075526157409</v>
      </c>
    </row>
    <row r="436" spans="1:7" x14ac:dyDescent="0.2">
      <c r="A436" s="13">
        <f t="shared" si="6"/>
        <v>429</v>
      </c>
      <c r="B43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3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3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3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3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36" s="43">
        <f ca="1">NOW()-'LOS TIEMPOS'!$K$2</f>
        <v>42368.075526157409</v>
      </c>
    </row>
    <row r="437" spans="1:7" x14ac:dyDescent="0.2">
      <c r="A437" s="13">
        <f t="shared" si="6"/>
        <v>430</v>
      </c>
      <c r="B43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3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3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3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3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37" s="43">
        <f ca="1">NOW()-'LOS TIEMPOS'!$K$2</f>
        <v>42368.075526157409</v>
      </c>
    </row>
    <row r="438" spans="1:7" x14ac:dyDescent="0.2">
      <c r="A438" s="13">
        <f t="shared" si="6"/>
        <v>431</v>
      </c>
      <c r="B43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3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3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3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3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38" s="43">
        <f ca="1">NOW()-'LOS TIEMPOS'!$K$2</f>
        <v>42368.075526157409</v>
      </c>
    </row>
    <row r="439" spans="1:7" x14ac:dyDescent="0.2">
      <c r="A439" s="13">
        <f t="shared" si="6"/>
        <v>432</v>
      </c>
      <c r="B43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3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3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3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3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39" s="43">
        <f ca="1">NOW()-'LOS TIEMPOS'!$K$2</f>
        <v>42368.075526157409</v>
      </c>
    </row>
    <row r="440" spans="1:7" x14ac:dyDescent="0.2">
      <c r="A440" s="13">
        <f t="shared" si="6"/>
        <v>433</v>
      </c>
      <c r="B44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4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4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4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4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40" s="43">
        <f ca="1">NOW()-'LOS TIEMPOS'!$K$2</f>
        <v>42368.075526157409</v>
      </c>
    </row>
    <row r="441" spans="1:7" x14ac:dyDescent="0.2">
      <c r="A441" s="13">
        <f t="shared" si="6"/>
        <v>434</v>
      </c>
      <c r="B44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4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4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4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4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41" s="43">
        <f ca="1">NOW()-'LOS TIEMPOS'!$K$2</f>
        <v>42368.075526157409</v>
      </c>
    </row>
    <row r="442" spans="1:7" x14ac:dyDescent="0.2">
      <c r="A442" s="13">
        <f t="shared" si="6"/>
        <v>435</v>
      </c>
      <c r="B44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4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4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4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4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42" s="43">
        <f ca="1">NOW()-'LOS TIEMPOS'!$K$2</f>
        <v>42368.075526157409</v>
      </c>
    </row>
    <row r="443" spans="1:7" x14ac:dyDescent="0.2">
      <c r="A443" s="13">
        <f t="shared" si="6"/>
        <v>436</v>
      </c>
      <c r="B44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4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4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4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4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43" s="43">
        <f ca="1">NOW()-'LOS TIEMPOS'!$K$2</f>
        <v>42368.075526157409</v>
      </c>
    </row>
    <row r="444" spans="1:7" x14ac:dyDescent="0.2">
      <c r="A444" s="13">
        <f t="shared" si="6"/>
        <v>437</v>
      </c>
      <c r="B44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4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4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4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4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44" s="43">
        <f ca="1">NOW()-'LOS TIEMPOS'!$K$2</f>
        <v>42368.075526157409</v>
      </c>
    </row>
    <row r="445" spans="1:7" x14ac:dyDescent="0.2">
      <c r="A445" s="13">
        <f t="shared" si="6"/>
        <v>438</v>
      </c>
      <c r="B44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4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4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4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4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45" s="43">
        <f ca="1">NOW()-'LOS TIEMPOS'!$K$2</f>
        <v>42368.075526157409</v>
      </c>
    </row>
    <row r="446" spans="1:7" x14ac:dyDescent="0.2">
      <c r="A446" s="13">
        <f t="shared" si="6"/>
        <v>439</v>
      </c>
      <c r="B44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4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4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4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4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46" s="43">
        <f ca="1">NOW()-'LOS TIEMPOS'!$K$2</f>
        <v>42368.075526157409</v>
      </c>
    </row>
    <row r="447" spans="1:7" x14ac:dyDescent="0.2">
      <c r="A447" s="13">
        <f t="shared" si="6"/>
        <v>440</v>
      </c>
      <c r="B44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4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4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4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4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47" s="43">
        <f ca="1">NOW()-'LOS TIEMPOS'!$K$2</f>
        <v>42368.075526157409</v>
      </c>
    </row>
    <row r="448" spans="1:7" x14ac:dyDescent="0.2">
      <c r="A448" s="13">
        <f t="shared" si="6"/>
        <v>441</v>
      </c>
      <c r="B44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4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4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4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4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48" s="43">
        <f ca="1">NOW()-'LOS TIEMPOS'!$K$2</f>
        <v>42368.075526157409</v>
      </c>
    </row>
    <row r="449" spans="1:7" x14ac:dyDescent="0.2">
      <c r="A449" s="13">
        <f t="shared" si="6"/>
        <v>442</v>
      </c>
      <c r="B44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4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4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4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4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49" s="43">
        <f ca="1">NOW()-'LOS TIEMPOS'!$K$2</f>
        <v>42368.075526157409</v>
      </c>
    </row>
    <row r="450" spans="1:7" x14ac:dyDescent="0.2">
      <c r="A450" s="13">
        <f t="shared" si="6"/>
        <v>443</v>
      </c>
      <c r="B45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5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5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5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5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50" s="43">
        <f ca="1">NOW()-'LOS TIEMPOS'!$K$2</f>
        <v>42368.075526157409</v>
      </c>
    </row>
    <row r="451" spans="1:7" x14ac:dyDescent="0.2">
      <c r="A451" s="13">
        <f t="shared" si="6"/>
        <v>444</v>
      </c>
      <c r="B45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5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5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5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5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51" s="43">
        <f ca="1">NOW()-'LOS TIEMPOS'!$K$2</f>
        <v>42368.075526157409</v>
      </c>
    </row>
    <row r="452" spans="1:7" x14ac:dyDescent="0.2">
      <c r="A452" s="13">
        <f t="shared" si="6"/>
        <v>445</v>
      </c>
      <c r="B45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5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5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5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5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52" s="43">
        <f ca="1">NOW()-'LOS TIEMPOS'!$K$2</f>
        <v>42368.075526157409</v>
      </c>
    </row>
    <row r="453" spans="1:7" x14ac:dyDescent="0.2">
      <c r="A453" s="13">
        <f t="shared" si="6"/>
        <v>446</v>
      </c>
      <c r="B45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5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5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5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5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53" s="43">
        <f ca="1">NOW()-'LOS TIEMPOS'!$K$2</f>
        <v>42368.075526157409</v>
      </c>
    </row>
    <row r="454" spans="1:7" x14ac:dyDescent="0.2">
      <c r="A454" s="13">
        <f t="shared" si="6"/>
        <v>447</v>
      </c>
      <c r="B45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5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5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5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5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54" s="43">
        <f ca="1">NOW()-'LOS TIEMPOS'!$K$2</f>
        <v>42368.075526157409</v>
      </c>
    </row>
    <row r="455" spans="1:7" x14ac:dyDescent="0.2">
      <c r="A455" s="13">
        <f t="shared" si="6"/>
        <v>448</v>
      </c>
      <c r="B45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5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5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5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5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55" s="43">
        <f ca="1">NOW()-'LOS TIEMPOS'!$K$2</f>
        <v>42368.075526157409</v>
      </c>
    </row>
    <row r="456" spans="1:7" x14ac:dyDescent="0.2">
      <c r="A456" s="13">
        <f t="shared" ref="A456:A519" si="7">ROW()-7</f>
        <v>449</v>
      </c>
      <c r="B45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5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5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5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5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56" s="43">
        <f ca="1">NOW()-'LOS TIEMPOS'!$K$2</f>
        <v>42368.075526157409</v>
      </c>
    </row>
    <row r="457" spans="1:7" x14ac:dyDescent="0.2">
      <c r="A457" s="13">
        <f t="shared" si="7"/>
        <v>450</v>
      </c>
      <c r="B45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5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5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5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5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57" s="43">
        <f ca="1">NOW()-'LOS TIEMPOS'!$K$2</f>
        <v>42368.075526157409</v>
      </c>
    </row>
    <row r="458" spans="1:7" x14ac:dyDescent="0.2">
      <c r="A458" s="13">
        <f t="shared" si="7"/>
        <v>451</v>
      </c>
      <c r="B45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5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5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5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5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58" s="43">
        <f ca="1">NOW()-'LOS TIEMPOS'!$K$2</f>
        <v>42368.075526157409</v>
      </c>
    </row>
    <row r="459" spans="1:7" x14ac:dyDescent="0.2">
      <c r="A459" s="13">
        <f t="shared" si="7"/>
        <v>452</v>
      </c>
      <c r="B45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5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5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5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5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59" s="43">
        <f ca="1">NOW()-'LOS TIEMPOS'!$K$2</f>
        <v>42368.075526157409</v>
      </c>
    </row>
    <row r="460" spans="1:7" x14ac:dyDescent="0.2">
      <c r="A460" s="13">
        <f t="shared" si="7"/>
        <v>453</v>
      </c>
      <c r="B46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6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6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6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6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60" s="43">
        <f ca="1">NOW()-'LOS TIEMPOS'!$K$2</f>
        <v>42368.075526157409</v>
      </c>
    </row>
    <row r="461" spans="1:7" x14ac:dyDescent="0.2">
      <c r="A461" s="13">
        <f t="shared" si="7"/>
        <v>454</v>
      </c>
      <c r="B46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6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6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6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6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61" s="43">
        <f ca="1">NOW()-'LOS TIEMPOS'!$K$2</f>
        <v>42368.075526157409</v>
      </c>
    </row>
    <row r="462" spans="1:7" x14ac:dyDescent="0.2">
      <c r="A462" s="13">
        <f t="shared" si="7"/>
        <v>455</v>
      </c>
      <c r="B46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6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6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6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6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62" s="43">
        <f ca="1">NOW()-'LOS TIEMPOS'!$K$2</f>
        <v>42368.075526157409</v>
      </c>
    </row>
    <row r="463" spans="1:7" x14ac:dyDescent="0.2">
      <c r="A463" s="13">
        <f t="shared" si="7"/>
        <v>456</v>
      </c>
      <c r="B46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6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6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6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6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63" s="43">
        <f ca="1">NOW()-'LOS TIEMPOS'!$K$2</f>
        <v>42368.075526157409</v>
      </c>
    </row>
    <row r="464" spans="1:7" x14ac:dyDescent="0.2">
      <c r="A464" s="13">
        <f t="shared" si="7"/>
        <v>457</v>
      </c>
      <c r="B46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6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6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6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6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64" s="43">
        <f ca="1">NOW()-'LOS TIEMPOS'!$K$2</f>
        <v>42368.075526157409</v>
      </c>
    </row>
    <row r="465" spans="1:7" x14ac:dyDescent="0.2">
      <c r="A465" s="13">
        <f t="shared" si="7"/>
        <v>458</v>
      </c>
      <c r="B46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6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6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6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6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65" s="43">
        <f ca="1">NOW()-'LOS TIEMPOS'!$K$2</f>
        <v>42368.075526157409</v>
      </c>
    </row>
    <row r="466" spans="1:7" x14ac:dyDescent="0.2">
      <c r="A466" s="13">
        <f t="shared" si="7"/>
        <v>459</v>
      </c>
      <c r="B46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6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6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6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6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66" s="43">
        <f ca="1">NOW()-'LOS TIEMPOS'!$K$2</f>
        <v>42368.075526157409</v>
      </c>
    </row>
    <row r="467" spans="1:7" x14ac:dyDescent="0.2">
      <c r="A467" s="13">
        <f t="shared" si="7"/>
        <v>460</v>
      </c>
      <c r="B46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6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6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6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6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67" s="43">
        <f ca="1">NOW()-'LOS TIEMPOS'!$K$2</f>
        <v>42368.075526157409</v>
      </c>
    </row>
    <row r="468" spans="1:7" x14ac:dyDescent="0.2">
      <c r="A468" s="13">
        <f t="shared" si="7"/>
        <v>461</v>
      </c>
      <c r="B46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6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6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6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6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68" s="43">
        <f ca="1">NOW()-'LOS TIEMPOS'!$K$2</f>
        <v>42368.075526157409</v>
      </c>
    </row>
    <row r="469" spans="1:7" x14ac:dyDescent="0.2">
      <c r="A469" s="13">
        <f t="shared" si="7"/>
        <v>462</v>
      </c>
      <c r="B46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6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6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6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6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69" s="43">
        <f ca="1">NOW()-'LOS TIEMPOS'!$K$2</f>
        <v>42368.075526157409</v>
      </c>
    </row>
    <row r="470" spans="1:7" x14ac:dyDescent="0.2">
      <c r="A470" s="13">
        <f t="shared" si="7"/>
        <v>463</v>
      </c>
      <c r="B47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7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7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7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7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70" s="43">
        <f ca="1">NOW()-'LOS TIEMPOS'!$K$2</f>
        <v>42368.075526157409</v>
      </c>
    </row>
    <row r="471" spans="1:7" x14ac:dyDescent="0.2">
      <c r="A471" s="13">
        <f t="shared" si="7"/>
        <v>464</v>
      </c>
      <c r="B47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7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7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7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7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71" s="43">
        <f ca="1">NOW()-'LOS TIEMPOS'!$K$2</f>
        <v>42368.075526157409</v>
      </c>
    </row>
    <row r="472" spans="1:7" x14ac:dyDescent="0.2">
      <c r="A472" s="13">
        <f t="shared" si="7"/>
        <v>465</v>
      </c>
      <c r="B47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7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7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7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7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72" s="43">
        <f ca="1">NOW()-'LOS TIEMPOS'!$K$2</f>
        <v>42368.075526157409</v>
      </c>
    </row>
    <row r="473" spans="1:7" x14ac:dyDescent="0.2">
      <c r="A473" s="13">
        <f t="shared" si="7"/>
        <v>466</v>
      </c>
      <c r="B47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7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7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7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7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73" s="43">
        <f ca="1">NOW()-'LOS TIEMPOS'!$K$2</f>
        <v>42368.075526157409</v>
      </c>
    </row>
    <row r="474" spans="1:7" x14ac:dyDescent="0.2">
      <c r="A474" s="13">
        <f t="shared" si="7"/>
        <v>467</v>
      </c>
      <c r="B47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7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7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7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7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74" s="43">
        <f ca="1">NOW()-'LOS TIEMPOS'!$K$2</f>
        <v>42368.075526157409</v>
      </c>
    </row>
    <row r="475" spans="1:7" x14ac:dyDescent="0.2">
      <c r="A475" s="13">
        <f t="shared" si="7"/>
        <v>468</v>
      </c>
      <c r="B47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7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7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7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7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75" s="43">
        <f ca="1">NOW()-'LOS TIEMPOS'!$K$2</f>
        <v>42368.075526157409</v>
      </c>
    </row>
    <row r="476" spans="1:7" x14ac:dyDescent="0.2">
      <c r="A476" s="13">
        <f t="shared" si="7"/>
        <v>469</v>
      </c>
      <c r="B47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7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7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7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7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76" s="43">
        <f ca="1">NOW()-'LOS TIEMPOS'!$K$2</f>
        <v>42368.075526157409</v>
      </c>
    </row>
    <row r="477" spans="1:7" x14ac:dyDescent="0.2">
      <c r="A477" s="13">
        <f t="shared" si="7"/>
        <v>470</v>
      </c>
      <c r="B47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7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7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7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7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77" s="43">
        <f ca="1">NOW()-'LOS TIEMPOS'!$K$2</f>
        <v>42368.075526157409</v>
      </c>
    </row>
    <row r="478" spans="1:7" x14ac:dyDescent="0.2">
      <c r="A478" s="13">
        <f t="shared" si="7"/>
        <v>471</v>
      </c>
      <c r="B47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7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7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7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7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78" s="43">
        <f ca="1">NOW()-'LOS TIEMPOS'!$K$2</f>
        <v>42368.075526157409</v>
      </c>
    </row>
    <row r="479" spans="1:7" x14ac:dyDescent="0.2">
      <c r="A479" s="13">
        <f t="shared" si="7"/>
        <v>472</v>
      </c>
      <c r="B47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7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7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7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7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79" s="43">
        <f ca="1">NOW()-'LOS TIEMPOS'!$K$2</f>
        <v>42368.075526157409</v>
      </c>
    </row>
    <row r="480" spans="1:7" x14ac:dyDescent="0.2">
      <c r="A480" s="13">
        <f t="shared" si="7"/>
        <v>473</v>
      </c>
      <c r="B48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8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8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8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8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80" s="43">
        <f ca="1">NOW()-'LOS TIEMPOS'!$K$2</f>
        <v>42368.075526157409</v>
      </c>
    </row>
    <row r="481" spans="1:7" x14ac:dyDescent="0.2">
      <c r="A481" s="13">
        <f t="shared" si="7"/>
        <v>474</v>
      </c>
      <c r="B48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8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8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8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8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81" s="43">
        <f ca="1">NOW()-'LOS TIEMPOS'!$K$2</f>
        <v>42368.075526157409</v>
      </c>
    </row>
    <row r="482" spans="1:7" x14ac:dyDescent="0.2">
      <c r="A482" s="13">
        <f t="shared" si="7"/>
        <v>475</v>
      </c>
      <c r="B48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8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8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8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8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82" s="43">
        <f ca="1">NOW()-'LOS TIEMPOS'!$K$2</f>
        <v>42368.075526157409</v>
      </c>
    </row>
    <row r="483" spans="1:7" x14ac:dyDescent="0.2">
      <c r="A483" s="13">
        <f t="shared" si="7"/>
        <v>476</v>
      </c>
      <c r="B48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8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8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8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8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83" s="43">
        <f ca="1">NOW()-'LOS TIEMPOS'!$K$2</f>
        <v>42368.075526157409</v>
      </c>
    </row>
    <row r="484" spans="1:7" x14ac:dyDescent="0.2">
      <c r="A484" s="13">
        <f t="shared" si="7"/>
        <v>477</v>
      </c>
      <c r="B48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8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8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8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8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84" s="43">
        <f ca="1">NOW()-'LOS TIEMPOS'!$K$2</f>
        <v>42368.075526157409</v>
      </c>
    </row>
    <row r="485" spans="1:7" x14ac:dyDescent="0.2">
      <c r="A485" s="13">
        <f t="shared" si="7"/>
        <v>478</v>
      </c>
      <c r="B48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8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8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8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8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85" s="43">
        <f ca="1">NOW()-'LOS TIEMPOS'!$K$2</f>
        <v>42368.075526157409</v>
      </c>
    </row>
    <row r="486" spans="1:7" x14ac:dyDescent="0.2">
      <c r="A486" s="13">
        <f t="shared" si="7"/>
        <v>479</v>
      </c>
      <c r="B48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8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8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8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8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86" s="43">
        <f ca="1">NOW()-'LOS TIEMPOS'!$K$2</f>
        <v>42368.075526157409</v>
      </c>
    </row>
    <row r="487" spans="1:7" x14ac:dyDescent="0.2">
      <c r="A487" s="13">
        <f t="shared" si="7"/>
        <v>480</v>
      </c>
      <c r="B48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8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8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8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8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87" s="43">
        <f ca="1">NOW()-'LOS TIEMPOS'!$K$2</f>
        <v>42368.075526157409</v>
      </c>
    </row>
    <row r="488" spans="1:7" x14ac:dyDescent="0.2">
      <c r="A488" s="13">
        <f t="shared" si="7"/>
        <v>481</v>
      </c>
      <c r="B48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8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8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8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8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88" s="43">
        <f ca="1">NOW()-'LOS TIEMPOS'!$K$2</f>
        <v>42368.075526157409</v>
      </c>
    </row>
    <row r="489" spans="1:7" x14ac:dyDescent="0.2">
      <c r="A489" s="13">
        <f t="shared" si="7"/>
        <v>482</v>
      </c>
      <c r="B48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8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8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8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8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89" s="43">
        <f ca="1">NOW()-'LOS TIEMPOS'!$K$2</f>
        <v>42368.075526157409</v>
      </c>
    </row>
    <row r="490" spans="1:7" x14ac:dyDescent="0.2">
      <c r="A490" s="13">
        <f t="shared" si="7"/>
        <v>483</v>
      </c>
      <c r="B49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9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9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9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9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90" s="43">
        <f ca="1">NOW()-'LOS TIEMPOS'!$K$2</f>
        <v>42368.075526157409</v>
      </c>
    </row>
    <row r="491" spans="1:7" x14ac:dyDescent="0.2">
      <c r="A491" s="13">
        <f t="shared" si="7"/>
        <v>484</v>
      </c>
      <c r="B49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9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9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9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9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91" s="43">
        <f ca="1">NOW()-'LOS TIEMPOS'!$K$2</f>
        <v>42368.075526157409</v>
      </c>
    </row>
    <row r="492" spans="1:7" x14ac:dyDescent="0.2">
      <c r="A492" s="13">
        <f t="shared" si="7"/>
        <v>485</v>
      </c>
      <c r="B49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9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9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9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9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92" s="43">
        <f ca="1">NOW()-'LOS TIEMPOS'!$K$2</f>
        <v>42368.075526157409</v>
      </c>
    </row>
    <row r="493" spans="1:7" x14ac:dyDescent="0.2">
      <c r="A493" s="13">
        <f t="shared" si="7"/>
        <v>486</v>
      </c>
      <c r="B49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9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9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9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9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93" s="43">
        <f ca="1">NOW()-'LOS TIEMPOS'!$K$2</f>
        <v>42368.075526157409</v>
      </c>
    </row>
    <row r="494" spans="1:7" x14ac:dyDescent="0.2">
      <c r="A494" s="13">
        <f t="shared" si="7"/>
        <v>487</v>
      </c>
      <c r="B49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9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9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9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9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94" s="43">
        <f ca="1">NOW()-'LOS TIEMPOS'!$K$2</f>
        <v>42368.075526157409</v>
      </c>
    </row>
    <row r="495" spans="1:7" x14ac:dyDescent="0.2">
      <c r="A495" s="13">
        <f t="shared" si="7"/>
        <v>488</v>
      </c>
      <c r="B49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9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9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9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9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95" s="43">
        <f ca="1">NOW()-'LOS TIEMPOS'!$K$2</f>
        <v>42368.075526157409</v>
      </c>
    </row>
    <row r="496" spans="1:7" x14ac:dyDescent="0.2">
      <c r="A496" s="13">
        <f t="shared" si="7"/>
        <v>489</v>
      </c>
      <c r="B49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9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9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9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9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96" s="43">
        <f ca="1">NOW()-'LOS TIEMPOS'!$K$2</f>
        <v>42368.075526157409</v>
      </c>
    </row>
    <row r="497" spans="1:7" x14ac:dyDescent="0.2">
      <c r="A497" s="13">
        <f t="shared" si="7"/>
        <v>490</v>
      </c>
      <c r="B49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9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9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9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9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97" s="43">
        <f ca="1">NOW()-'LOS TIEMPOS'!$K$2</f>
        <v>42368.075526157409</v>
      </c>
    </row>
    <row r="498" spans="1:7" x14ac:dyDescent="0.2">
      <c r="A498" s="13">
        <f t="shared" si="7"/>
        <v>491</v>
      </c>
      <c r="B49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9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9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9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9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98" s="43">
        <f ca="1">NOW()-'LOS TIEMPOS'!$K$2</f>
        <v>42368.075526157409</v>
      </c>
    </row>
    <row r="499" spans="1:7" x14ac:dyDescent="0.2">
      <c r="A499" s="13">
        <f t="shared" si="7"/>
        <v>492</v>
      </c>
      <c r="B49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49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49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49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49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499" s="43">
        <f ca="1">NOW()-'LOS TIEMPOS'!$K$2</f>
        <v>42368.075526157409</v>
      </c>
    </row>
    <row r="500" spans="1:7" x14ac:dyDescent="0.2">
      <c r="A500" s="13">
        <f t="shared" si="7"/>
        <v>493</v>
      </c>
      <c r="B50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0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0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0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0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00" s="43">
        <f ca="1">NOW()-'LOS TIEMPOS'!$K$2</f>
        <v>42368.075526157409</v>
      </c>
    </row>
    <row r="501" spans="1:7" x14ac:dyDescent="0.2">
      <c r="A501" s="13">
        <f t="shared" si="7"/>
        <v>494</v>
      </c>
      <c r="B50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0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0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0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0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01" s="43">
        <f ca="1">NOW()-'LOS TIEMPOS'!$K$2</f>
        <v>42368.075526157409</v>
      </c>
    </row>
    <row r="502" spans="1:7" x14ac:dyDescent="0.2">
      <c r="A502" s="13">
        <f t="shared" si="7"/>
        <v>495</v>
      </c>
      <c r="B50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0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0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0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0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02" s="43">
        <f ca="1">NOW()-'LOS TIEMPOS'!$K$2</f>
        <v>42368.075526157409</v>
      </c>
    </row>
    <row r="503" spans="1:7" x14ac:dyDescent="0.2">
      <c r="A503" s="13">
        <f t="shared" si="7"/>
        <v>496</v>
      </c>
      <c r="B50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0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0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0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0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03" s="43">
        <f ca="1">NOW()-'LOS TIEMPOS'!$K$2</f>
        <v>42368.075526157409</v>
      </c>
    </row>
    <row r="504" spans="1:7" x14ac:dyDescent="0.2">
      <c r="A504" s="13">
        <f t="shared" si="7"/>
        <v>497</v>
      </c>
      <c r="B50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0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0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0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0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04" s="43">
        <f ca="1">NOW()-'LOS TIEMPOS'!$K$2</f>
        <v>42368.075526157409</v>
      </c>
    </row>
    <row r="505" spans="1:7" x14ac:dyDescent="0.2">
      <c r="A505" s="13">
        <f t="shared" si="7"/>
        <v>498</v>
      </c>
      <c r="B50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0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0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0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0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05" s="43">
        <f ca="1">NOW()-'LOS TIEMPOS'!$K$2</f>
        <v>42368.075526157409</v>
      </c>
    </row>
    <row r="506" spans="1:7" x14ac:dyDescent="0.2">
      <c r="A506" s="13">
        <f t="shared" si="7"/>
        <v>499</v>
      </c>
      <c r="B50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0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0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0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0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06" s="43">
        <f ca="1">NOW()-'LOS TIEMPOS'!$K$2</f>
        <v>42368.075526157409</v>
      </c>
    </row>
    <row r="507" spans="1:7" x14ac:dyDescent="0.2">
      <c r="A507" s="13">
        <f t="shared" si="7"/>
        <v>500</v>
      </c>
      <c r="B50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0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0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0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0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07" s="43">
        <f ca="1">NOW()-'LOS TIEMPOS'!$K$2</f>
        <v>42368.075526157409</v>
      </c>
    </row>
    <row r="508" spans="1:7" x14ac:dyDescent="0.2">
      <c r="A508" s="13">
        <f t="shared" si="7"/>
        <v>501</v>
      </c>
      <c r="B50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0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0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0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0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08" s="43">
        <f ca="1">NOW()-'LOS TIEMPOS'!$K$2</f>
        <v>42368.075526157409</v>
      </c>
    </row>
    <row r="509" spans="1:7" x14ac:dyDescent="0.2">
      <c r="A509" s="13">
        <f t="shared" si="7"/>
        <v>502</v>
      </c>
      <c r="B50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0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0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0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0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09" s="43">
        <f ca="1">NOW()-'LOS TIEMPOS'!$K$2</f>
        <v>42368.075526157409</v>
      </c>
    </row>
    <row r="510" spans="1:7" x14ac:dyDescent="0.2">
      <c r="A510" s="13">
        <f t="shared" si="7"/>
        <v>503</v>
      </c>
      <c r="B51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1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1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1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1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10" s="43">
        <f ca="1">NOW()-'LOS TIEMPOS'!$K$2</f>
        <v>42368.075526157409</v>
      </c>
    </row>
    <row r="511" spans="1:7" x14ac:dyDescent="0.2">
      <c r="A511" s="13">
        <f t="shared" si="7"/>
        <v>504</v>
      </c>
      <c r="B51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1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1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1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1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11" s="43">
        <f ca="1">NOW()-'LOS TIEMPOS'!$K$2</f>
        <v>42368.075526157409</v>
      </c>
    </row>
    <row r="512" spans="1:7" x14ac:dyDescent="0.2">
      <c r="A512" s="13">
        <f t="shared" si="7"/>
        <v>505</v>
      </c>
      <c r="B51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1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1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1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1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12" s="43">
        <f ca="1">NOW()-'LOS TIEMPOS'!$K$2</f>
        <v>42368.075526157409</v>
      </c>
    </row>
    <row r="513" spans="1:7" x14ac:dyDescent="0.2">
      <c r="A513" s="13">
        <f t="shared" si="7"/>
        <v>506</v>
      </c>
      <c r="B51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1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1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1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1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13" s="43">
        <f ca="1">NOW()-'LOS TIEMPOS'!$K$2</f>
        <v>42368.075526157409</v>
      </c>
    </row>
    <row r="514" spans="1:7" x14ac:dyDescent="0.2">
      <c r="A514" s="13">
        <f t="shared" si="7"/>
        <v>507</v>
      </c>
      <c r="B51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1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1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1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1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14" s="43">
        <f ca="1">NOW()-'LOS TIEMPOS'!$K$2</f>
        <v>42368.075526157409</v>
      </c>
    </row>
    <row r="515" spans="1:7" x14ac:dyDescent="0.2">
      <c r="A515" s="13">
        <f t="shared" si="7"/>
        <v>508</v>
      </c>
      <c r="B51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1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1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1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1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15" s="43">
        <f ca="1">NOW()-'LOS TIEMPOS'!$K$2</f>
        <v>42368.075526157409</v>
      </c>
    </row>
    <row r="516" spans="1:7" x14ac:dyDescent="0.2">
      <c r="A516" s="13">
        <f t="shared" si="7"/>
        <v>509</v>
      </c>
      <c r="B51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1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1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1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1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16" s="43">
        <f ca="1">NOW()-'LOS TIEMPOS'!$K$2</f>
        <v>42368.075526157409</v>
      </c>
    </row>
    <row r="517" spans="1:7" x14ac:dyDescent="0.2">
      <c r="A517" s="13">
        <f t="shared" si="7"/>
        <v>510</v>
      </c>
      <c r="B51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1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1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1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1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17" s="43">
        <f ca="1">NOW()-'LOS TIEMPOS'!$K$2</f>
        <v>42368.075526157409</v>
      </c>
    </row>
    <row r="518" spans="1:7" x14ac:dyDescent="0.2">
      <c r="A518" s="13">
        <f t="shared" si="7"/>
        <v>511</v>
      </c>
      <c r="B51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1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1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1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1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18" s="43">
        <f ca="1">NOW()-'LOS TIEMPOS'!$K$2</f>
        <v>42368.075526157409</v>
      </c>
    </row>
    <row r="519" spans="1:7" x14ac:dyDescent="0.2">
      <c r="A519" s="13">
        <f t="shared" si="7"/>
        <v>512</v>
      </c>
      <c r="B51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1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1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1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1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19" s="43">
        <f ca="1">NOW()-'LOS TIEMPOS'!$K$2</f>
        <v>42368.075526157409</v>
      </c>
    </row>
    <row r="520" spans="1:7" x14ac:dyDescent="0.2">
      <c r="A520" s="13">
        <f t="shared" ref="A520:A583" si="8">ROW()-7</f>
        <v>513</v>
      </c>
      <c r="B52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2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2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2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2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20" s="43">
        <f ca="1">NOW()-'LOS TIEMPOS'!$K$2</f>
        <v>42368.075526157409</v>
      </c>
    </row>
    <row r="521" spans="1:7" x14ac:dyDescent="0.2">
      <c r="A521" s="13">
        <f t="shared" si="8"/>
        <v>514</v>
      </c>
      <c r="B52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2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2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2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2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21" s="43">
        <f ca="1">NOW()-'LOS TIEMPOS'!$K$2</f>
        <v>42368.075526157409</v>
      </c>
    </row>
    <row r="522" spans="1:7" x14ac:dyDescent="0.2">
      <c r="A522" s="13">
        <f t="shared" si="8"/>
        <v>515</v>
      </c>
      <c r="B52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2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2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2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2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22" s="43">
        <f ca="1">NOW()-'LOS TIEMPOS'!$K$2</f>
        <v>42368.075526157409</v>
      </c>
    </row>
    <row r="523" spans="1:7" x14ac:dyDescent="0.2">
      <c r="A523" s="13">
        <f t="shared" si="8"/>
        <v>516</v>
      </c>
      <c r="B52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2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2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2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2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23" s="43">
        <f ca="1">NOW()-'LOS TIEMPOS'!$K$2</f>
        <v>42368.075526157409</v>
      </c>
    </row>
    <row r="524" spans="1:7" x14ac:dyDescent="0.2">
      <c r="A524" s="13">
        <f t="shared" si="8"/>
        <v>517</v>
      </c>
      <c r="B52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2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2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2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2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24" s="43">
        <f ca="1">NOW()-'LOS TIEMPOS'!$K$2</f>
        <v>42368.075526157409</v>
      </c>
    </row>
    <row r="525" spans="1:7" x14ac:dyDescent="0.2">
      <c r="A525" s="13">
        <f t="shared" si="8"/>
        <v>518</v>
      </c>
      <c r="B52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2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2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2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2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25" s="43">
        <f ca="1">NOW()-'LOS TIEMPOS'!$K$2</f>
        <v>42368.075526157409</v>
      </c>
    </row>
    <row r="526" spans="1:7" x14ac:dyDescent="0.2">
      <c r="A526" s="13">
        <f t="shared" si="8"/>
        <v>519</v>
      </c>
      <c r="B52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2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2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2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2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26" s="43">
        <f ca="1">NOW()-'LOS TIEMPOS'!$K$2</f>
        <v>42368.075526157409</v>
      </c>
    </row>
    <row r="527" spans="1:7" x14ac:dyDescent="0.2">
      <c r="A527" s="13">
        <f t="shared" si="8"/>
        <v>520</v>
      </c>
      <c r="B52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2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2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2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2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27" s="43">
        <f ca="1">NOW()-'LOS TIEMPOS'!$K$2</f>
        <v>42368.075526157409</v>
      </c>
    </row>
    <row r="528" spans="1:7" x14ac:dyDescent="0.2">
      <c r="A528" s="13">
        <f t="shared" si="8"/>
        <v>521</v>
      </c>
      <c r="B52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2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2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2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2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28" s="43">
        <f ca="1">NOW()-'LOS TIEMPOS'!$K$2</f>
        <v>42368.075526157409</v>
      </c>
    </row>
    <row r="529" spans="1:7" x14ac:dyDescent="0.2">
      <c r="A529" s="13">
        <f t="shared" si="8"/>
        <v>522</v>
      </c>
      <c r="B52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2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2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2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2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29" s="43">
        <f ca="1">NOW()-'LOS TIEMPOS'!$K$2</f>
        <v>42368.075526157409</v>
      </c>
    </row>
    <row r="530" spans="1:7" x14ac:dyDescent="0.2">
      <c r="A530" s="13">
        <f t="shared" si="8"/>
        <v>523</v>
      </c>
      <c r="B53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3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3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3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3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30" s="43">
        <f ca="1">NOW()-'LOS TIEMPOS'!$K$2</f>
        <v>42368.075526157409</v>
      </c>
    </row>
    <row r="531" spans="1:7" x14ac:dyDescent="0.2">
      <c r="A531" s="13">
        <f t="shared" si="8"/>
        <v>524</v>
      </c>
      <c r="B53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3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3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3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3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31" s="43">
        <f ca="1">NOW()-'LOS TIEMPOS'!$K$2</f>
        <v>42368.075526157409</v>
      </c>
    </row>
    <row r="532" spans="1:7" x14ac:dyDescent="0.2">
      <c r="A532" s="13">
        <f t="shared" si="8"/>
        <v>525</v>
      </c>
      <c r="B53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3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3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3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3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32" s="43">
        <f ca="1">NOW()-'LOS TIEMPOS'!$K$2</f>
        <v>42368.075526157409</v>
      </c>
    </row>
    <row r="533" spans="1:7" x14ac:dyDescent="0.2">
      <c r="A533" s="13">
        <f t="shared" si="8"/>
        <v>526</v>
      </c>
      <c r="B53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3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3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3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3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33" s="43">
        <f ca="1">NOW()-'LOS TIEMPOS'!$K$2</f>
        <v>42368.075526157409</v>
      </c>
    </row>
    <row r="534" spans="1:7" x14ac:dyDescent="0.2">
      <c r="A534" s="13">
        <f t="shared" si="8"/>
        <v>527</v>
      </c>
      <c r="B53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3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3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3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3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34" s="43">
        <f ca="1">NOW()-'LOS TIEMPOS'!$K$2</f>
        <v>42368.075526157409</v>
      </c>
    </row>
    <row r="535" spans="1:7" x14ac:dyDescent="0.2">
      <c r="A535" s="13">
        <f t="shared" si="8"/>
        <v>528</v>
      </c>
      <c r="B53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3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3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3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3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35" s="43">
        <f ca="1">NOW()-'LOS TIEMPOS'!$K$2</f>
        <v>42368.075526157409</v>
      </c>
    </row>
    <row r="536" spans="1:7" x14ac:dyDescent="0.2">
      <c r="A536" s="13">
        <f t="shared" si="8"/>
        <v>529</v>
      </c>
      <c r="B53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3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3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3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3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36" s="43">
        <f ca="1">NOW()-'LOS TIEMPOS'!$K$2</f>
        <v>42368.075526157409</v>
      </c>
    </row>
    <row r="537" spans="1:7" x14ac:dyDescent="0.2">
      <c r="A537" s="13">
        <f t="shared" si="8"/>
        <v>530</v>
      </c>
      <c r="B53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3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3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3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3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37" s="43">
        <f ca="1">NOW()-'LOS TIEMPOS'!$K$2</f>
        <v>42368.075526157409</v>
      </c>
    </row>
    <row r="538" spans="1:7" x14ac:dyDescent="0.2">
      <c r="A538" s="13">
        <f t="shared" si="8"/>
        <v>531</v>
      </c>
      <c r="B53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3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3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3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3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38" s="43">
        <f ca="1">NOW()-'LOS TIEMPOS'!$K$2</f>
        <v>42368.075526157409</v>
      </c>
    </row>
    <row r="539" spans="1:7" x14ac:dyDescent="0.2">
      <c r="A539" s="13">
        <f t="shared" si="8"/>
        <v>532</v>
      </c>
      <c r="B53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3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3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3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3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39" s="43">
        <f ca="1">NOW()-'LOS TIEMPOS'!$K$2</f>
        <v>42368.075526157409</v>
      </c>
    </row>
    <row r="540" spans="1:7" x14ac:dyDescent="0.2">
      <c r="A540" s="13">
        <f t="shared" si="8"/>
        <v>533</v>
      </c>
      <c r="B54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4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4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4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4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40" s="43">
        <f ca="1">NOW()-'LOS TIEMPOS'!$K$2</f>
        <v>42368.075526157409</v>
      </c>
    </row>
    <row r="541" spans="1:7" x14ac:dyDescent="0.2">
      <c r="A541" s="13">
        <f t="shared" si="8"/>
        <v>534</v>
      </c>
      <c r="B54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4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4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4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4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41" s="43">
        <f ca="1">NOW()-'LOS TIEMPOS'!$K$2</f>
        <v>42368.075526157409</v>
      </c>
    </row>
    <row r="542" spans="1:7" x14ac:dyDescent="0.2">
      <c r="A542" s="13">
        <f t="shared" si="8"/>
        <v>535</v>
      </c>
      <c r="B54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4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4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4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4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42" s="43">
        <f ca="1">NOW()-'LOS TIEMPOS'!$K$2</f>
        <v>42368.075526157409</v>
      </c>
    </row>
    <row r="543" spans="1:7" x14ac:dyDescent="0.2">
      <c r="A543" s="13">
        <f t="shared" si="8"/>
        <v>536</v>
      </c>
      <c r="B54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4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4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4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4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43" s="43">
        <f ca="1">NOW()-'LOS TIEMPOS'!$K$2</f>
        <v>42368.075526157409</v>
      </c>
    </row>
    <row r="544" spans="1:7" x14ac:dyDescent="0.2">
      <c r="A544" s="13">
        <f t="shared" si="8"/>
        <v>537</v>
      </c>
      <c r="B54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4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4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4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4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44" s="43">
        <f ca="1">NOW()-'LOS TIEMPOS'!$K$2</f>
        <v>42368.075526157409</v>
      </c>
    </row>
    <row r="545" spans="1:7" x14ac:dyDescent="0.2">
      <c r="A545" s="13">
        <f t="shared" si="8"/>
        <v>538</v>
      </c>
      <c r="B54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4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4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4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4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45" s="43">
        <f ca="1">NOW()-'LOS TIEMPOS'!$K$2</f>
        <v>42368.075526157409</v>
      </c>
    </row>
    <row r="546" spans="1:7" x14ac:dyDescent="0.2">
      <c r="A546" s="13">
        <f t="shared" si="8"/>
        <v>539</v>
      </c>
      <c r="B54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4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4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4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4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46" s="43">
        <f ca="1">NOW()-'LOS TIEMPOS'!$K$2</f>
        <v>42368.075526157409</v>
      </c>
    </row>
    <row r="547" spans="1:7" x14ac:dyDescent="0.2">
      <c r="A547" s="13">
        <f t="shared" si="8"/>
        <v>540</v>
      </c>
      <c r="B54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4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4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4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4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47" s="43">
        <f ca="1">NOW()-'LOS TIEMPOS'!$K$2</f>
        <v>42368.075526157409</v>
      </c>
    </row>
    <row r="548" spans="1:7" x14ac:dyDescent="0.2">
      <c r="A548" s="13">
        <f t="shared" si="8"/>
        <v>541</v>
      </c>
      <c r="B54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4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4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4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4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48" s="43">
        <f ca="1">NOW()-'LOS TIEMPOS'!$K$2</f>
        <v>42368.075526157409</v>
      </c>
    </row>
    <row r="549" spans="1:7" x14ac:dyDescent="0.2">
      <c r="A549" s="13">
        <f t="shared" si="8"/>
        <v>542</v>
      </c>
      <c r="B54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4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4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4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4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49" s="43">
        <f ca="1">NOW()-'LOS TIEMPOS'!$K$2</f>
        <v>42368.075526157409</v>
      </c>
    </row>
    <row r="550" spans="1:7" x14ac:dyDescent="0.2">
      <c r="A550" s="13">
        <f t="shared" si="8"/>
        <v>543</v>
      </c>
      <c r="B55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5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5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5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5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50" s="43">
        <f ca="1">NOW()-'LOS TIEMPOS'!$K$2</f>
        <v>42368.075526157409</v>
      </c>
    </row>
    <row r="551" spans="1:7" x14ac:dyDescent="0.2">
      <c r="A551" s="13">
        <f t="shared" si="8"/>
        <v>544</v>
      </c>
      <c r="B55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5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5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5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5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51" s="43">
        <f ca="1">NOW()-'LOS TIEMPOS'!$K$2</f>
        <v>42368.075526157409</v>
      </c>
    </row>
    <row r="552" spans="1:7" x14ac:dyDescent="0.2">
      <c r="A552" s="13">
        <f t="shared" si="8"/>
        <v>545</v>
      </c>
      <c r="B55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5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5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5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5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52" s="43">
        <f ca="1">NOW()-'LOS TIEMPOS'!$K$2</f>
        <v>42368.075526157409</v>
      </c>
    </row>
    <row r="553" spans="1:7" x14ac:dyDescent="0.2">
      <c r="A553" s="13">
        <f t="shared" si="8"/>
        <v>546</v>
      </c>
      <c r="B55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5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5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5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5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53" s="43">
        <f ca="1">NOW()-'LOS TIEMPOS'!$K$2</f>
        <v>42368.075526157409</v>
      </c>
    </row>
    <row r="554" spans="1:7" x14ac:dyDescent="0.2">
      <c r="A554" s="13">
        <f t="shared" si="8"/>
        <v>547</v>
      </c>
      <c r="B55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5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5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5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5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54" s="43">
        <f ca="1">NOW()-'LOS TIEMPOS'!$K$2</f>
        <v>42368.075526157409</v>
      </c>
    </row>
    <row r="555" spans="1:7" x14ac:dyDescent="0.2">
      <c r="A555" s="13">
        <f t="shared" si="8"/>
        <v>548</v>
      </c>
      <c r="B55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5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5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5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5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55" s="43">
        <f ca="1">NOW()-'LOS TIEMPOS'!$K$2</f>
        <v>42368.075526157409</v>
      </c>
    </row>
    <row r="556" spans="1:7" x14ac:dyDescent="0.2">
      <c r="A556" s="13">
        <f t="shared" si="8"/>
        <v>549</v>
      </c>
      <c r="B55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5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5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5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5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56" s="43">
        <f ca="1">NOW()-'LOS TIEMPOS'!$K$2</f>
        <v>42368.075526157409</v>
      </c>
    </row>
    <row r="557" spans="1:7" x14ac:dyDescent="0.2">
      <c r="A557" s="13">
        <f t="shared" si="8"/>
        <v>550</v>
      </c>
      <c r="B55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5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5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5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5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57" s="43">
        <f ca="1">NOW()-'LOS TIEMPOS'!$K$2</f>
        <v>42368.075526157409</v>
      </c>
    </row>
    <row r="558" spans="1:7" x14ac:dyDescent="0.2">
      <c r="A558" s="13">
        <f t="shared" si="8"/>
        <v>551</v>
      </c>
      <c r="B55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5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5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5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5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58" s="43">
        <f ca="1">NOW()-'LOS TIEMPOS'!$K$2</f>
        <v>42368.075526157409</v>
      </c>
    </row>
    <row r="559" spans="1:7" x14ac:dyDescent="0.2">
      <c r="A559" s="13">
        <f t="shared" si="8"/>
        <v>552</v>
      </c>
      <c r="B55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5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5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5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5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59" s="43">
        <f ca="1">NOW()-'LOS TIEMPOS'!$K$2</f>
        <v>42368.075526157409</v>
      </c>
    </row>
    <row r="560" spans="1:7" x14ac:dyDescent="0.2">
      <c r="A560" s="13">
        <f t="shared" si="8"/>
        <v>553</v>
      </c>
      <c r="B56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6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6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6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6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60" s="43">
        <f ca="1">NOW()-'LOS TIEMPOS'!$K$2</f>
        <v>42368.075526157409</v>
      </c>
    </row>
    <row r="561" spans="1:7" x14ac:dyDescent="0.2">
      <c r="A561" s="13">
        <f t="shared" si="8"/>
        <v>554</v>
      </c>
      <c r="B56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6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6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6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6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61" s="43">
        <f ca="1">NOW()-'LOS TIEMPOS'!$K$2</f>
        <v>42368.075526157409</v>
      </c>
    </row>
    <row r="562" spans="1:7" x14ac:dyDescent="0.2">
      <c r="A562" s="13">
        <f t="shared" si="8"/>
        <v>555</v>
      </c>
      <c r="B56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6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6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6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6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62" s="43">
        <f ca="1">NOW()-'LOS TIEMPOS'!$K$2</f>
        <v>42368.075526157409</v>
      </c>
    </row>
    <row r="563" spans="1:7" x14ac:dyDescent="0.2">
      <c r="A563" s="13">
        <f t="shared" si="8"/>
        <v>556</v>
      </c>
      <c r="B56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6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6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6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6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63" s="43">
        <f ca="1">NOW()-'LOS TIEMPOS'!$K$2</f>
        <v>42368.075526157409</v>
      </c>
    </row>
    <row r="564" spans="1:7" x14ac:dyDescent="0.2">
      <c r="A564" s="13">
        <f t="shared" si="8"/>
        <v>557</v>
      </c>
      <c r="B56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6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6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6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6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64" s="43">
        <f ca="1">NOW()-'LOS TIEMPOS'!$K$2</f>
        <v>42368.075526157409</v>
      </c>
    </row>
    <row r="565" spans="1:7" x14ac:dyDescent="0.2">
      <c r="A565" s="13">
        <f t="shared" si="8"/>
        <v>558</v>
      </c>
      <c r="B56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6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6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6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6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65" s="43">
        <f ca="1">NOW()-'LOS TIEMPOS'!$K$2</f>
        <v>42368.075526157409</v>
      </c>
    </row>
    <row r="566" spans="1:7" x14ac:dyDescent="0.2">
      <c r="A566" s="13">
        <f t="shared" si="8"/>
        <v>559</v>
      </c>
      <c r="B56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6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6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6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6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66" s="43">
        <f ca="1">NOW()-'LOS TIEMPOS'!$K$2</f>
        <v>42368.075526157409</v>
      </c>
    </row>
    <row r="567" spans="1:7" x14ac:dyDescent="0.2">
      <c r="A567" s="13">
        <f t="shared" si="8"/>
        <v>560</v>
      </c>
      <c r="B56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6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6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6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6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67" s="43">
        <f ca="1">NOW()-'LOS TIEMPOS'!$K$2</f>
        <v>42368.075526157409</v>
      </c>
    </row>
    <row r="568" spans="1:7" x14ac:dyDescent="0.2">
      <c r="A568" s="13">
        <f t="shared" si="8"/>
        <v>561</v>
      </c>
      <c r="B56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6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6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6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6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68" s="43">
        <f ca="1">NOW()-'LOS TIEMPOS'!$K$2</f>
        <v>42368.075526157409</v>
      </c>
    </row>
    <row r="569" spans="1:7" x14ac:dyDescent="0.2">
      <c r="A569" s="13">
        <f t="shared" si="8"/>
        <v>562</v>
      </c>
      <c r="B56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6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6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6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6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69" s="43">
        <f ca="1">NOW()-'LOS TIEMPOS'!$K$2</f>
        <v>42368.075526157409</v>
      </c>
    </row>
    <row r="570" spans="1:7" x14ac:dyDescent="0.2">
      <c r="A570" s="13">
        <f t="shared" si="8"/>
        <v>563</v>
      </c>
      <c r="B57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7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7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7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7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70" s="43">
        <f ca="1">NOW()-'LOS TIEMPOS'!$K$2</f>
        <v>42368.075526157409</v>
      </c>
    </row>
    <row r="571" spans="1:7" x14ac:dyDescent="0.2">
      <c r="A571" s="13">
        <f t="shared" si="8"/>
        <v>564</v>
      </c>
      <c r="B57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7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7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7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7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71" s="43">
        <f ca="1">NOW()-'LOS TIEMPOS'!$K$2</f>
        <v>42368.075526157409</v>
      </c>
    </row>
    <row r="572" spans="1:7" x14ac:dyDescent="0.2">
      <c r="A572" s="13">
        <f t="shared" si="8"/>
        <v>565</v>
      </c>
      <c r="B57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7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7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7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7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72" s="43">
        <f ca="1">NOW()-'LOS TIEMPOS'!$K$2</f>
        <v>42368.075526157409</v>
      </c>
    </row>
    <row r="573" spans="1:7" x14ac:dyDescent="0.2">
      <c r="A573" s="13">
        <f t="shared" si="8"/>
        <v>566</v>
      </c>
      <c r="B57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7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7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7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7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73" s="43">
        <f ca="1">NOW()-'LOS TIEMPOS'!$K$2</f>
        <v>42368.075526157409</v>
      </c>
    </row>
    <row r="574" spans="1:7" x14ac:dyDescent="0.2">
      <c r="A574" s="13">
        <f t="shared" si="8"/>
        <v>567</v>
      </c>
      <c r="B57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7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7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7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7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74" s="43">
        <f ca="1">NOW()-'LOS TIEMPOS'!$K$2</f>
        <v>42368.075526157409</v>
      </c>
    </row>
    <row r="575" spans="1:7" x14ac:dyDescent="0.2">
      <c r="A575" s="13">
        <f t="shared" si="8"/>
        <v>568</v>
      </c>
      <c r="B57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7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7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7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7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75" s="43">
        <f ca="1">NOW()-'LOS TIEMPOS'!$K$2</f>
        <v>42368.075526157409</v>
      </c>
    </row>
    <row r="576" spans="1:7" x14ac:dyDescent="0.2">
      <c r="A576" s="13">
        <f t="shared" si="8"/>
        <v>569</v>
      </c>
      <c r="B57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7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7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7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7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76" s="43">
        <f ca="1">NOW()-'LOS TIEMPOS'!$K$2</f>
        <v>42368.075526157409</v>
      </c>
    </row>
    <row r="577" spans="1:7" x14ac:dyDescent="0.2">
      <c r="A577" s="13">
        <f t="shared" si="8"/>
        <v>570</v>
      </c>
      <c r="B57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7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7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7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7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77" s="43">
        <f ca="1">NOW()-'LOS TIEMPOS'!$K$2</f>
        <v>42368.075526157409</v>
      </c>
    </row>
    <row r="578" spans="1:7" x14ac:dyDescent="0.2">
      <c r="A578" s="13">
        <f t="shared" si="8"/>
        <v>571</v>
      </c>
      <c r="B57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7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7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7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7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78" s="43">
        <f ca="1">NOW()-'LOS TIEMPOS'!$K$2</f>
        <v>42368.075526157409</v>
      </c>
    </row>
    <row r="579" spans="1:7" x14ac:dyDescent="0.2">
      <c r="A579" s="13">
        <f t="shared" si="8"/>
        <v>572</v>
      </c>
      <c r="B57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7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7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7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7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79" s="43">
        <f ca="1">NOW()-'LOS TIEMPOS'!$K$2</f>
        <v>42368.075526157409</v>
      </c>
    </row>
    <row r="580" spans="1:7" x14ac:dyDescent="0.2">
      <c r="A580" s="13">
        <f t="shared" si="8"/>
        <v>573</v>
      </c>
      <c r="B58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8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8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8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8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80" s="43">
        <f ca="1">NOW()-'LOS TIEMPOS'!$K$2</f>
        <v>42368.075526157409</v>
      </c>
    </row>
    <row r="581" spans="1:7" x14ac:dyDescent="0.2">
      <c r="A581" s="13">
        <f t="shared" si="8"/>
        <v>574</v>
      </c>
      <c r="B58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8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8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8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8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81" s="43">
        <f ca="1">NOW()-'LOS TIEMPOS'!$K$2</f>
        <v>42368.075526157409</v>
      </c>
    </row>
    <row r="582" spans="1:7" x14ac:dyDescent="0.2">
      <c r="A582" s="13">
        <f t="shared" si="8"/>
        <v>575</v>
      </c>
      <c r="B58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8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8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8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8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82" s="43">
        <f ca="1">NOW()-'LOS TIEMPOS'!$K$2</f>
        <v>42368.075526157409</v>
      </c>
    </row>
    <row r="583" spans="1:7" x14ac:dyDescent="0.2">
      <c r="A583" s="13">
        <f t="shared" si="8"/>
        <v>576</v>
      </c>
      <c r="B58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8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8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8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8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83" s="43">
        <f ca="1">NOW()-'LOS TIEMPOS'!$K$2</f>
        <v>42368.075526157409</v>
      </c>
    </row>
    <row r="584" spans="1:7" x14ac:dyDescent="0.2">
      <c r="A584" s="13">
        <f t="shared" ref="A584:A647" si="9">ROW()-7</f>
        <v>577</v>
      </c>
      <c r="B58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8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8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8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8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84" s="43">
        <f ca="1">NOW()-'LOS TIEMPOS'!$K$2</f>
        <v>42368.075526157409</v>
      </c>
    </row>
    <row r="585" spans="1:7" x14ac:dyDescent="0.2">
      <c r="A585" s="13">
        <f t="shared" si="9"/>
        <v>578</v>
      </c>
      <c r="B58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8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8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8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8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85" s="43">
        <f ca="1">NOW()-'LOS TIEMPOS'!$K$2</f>
        <v>42368.075526157409</v>
      </c>
    </row>
    <row r="586" spans="1:7" x14ac:dyDescent="0.2">
      <c r="A586" s="13">
        <f t="shared" si="9"/>
        <v>579</v>
      </c>
      <c r="B58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8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8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8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8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86" s="43">
        <f ca="1">NOW()-'LOS TIEMPOS'!$K$2</f>
        <v>42368.075526157409</v>
      </c>
    </row>
    <row r="587" spans="1:7" x14ac:dyDescent="0.2">
      <c r="A587" s="13">
        <f t="shared" si="9"/>
        <v>580</v>
      </c>
      <c r="B58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8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8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8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8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87" s="43">
        <f ca="1">NOW()-'LOS TIEMPOS'!$K$2</f>
        <v>42368.075526157409</v>
      </c>
    </row>
    <row r="588" spans="1:7" x14ac:dyDescent="0.2">
      <c r="A588" s="13">
        <f t="shared" si="9"/>
        <v>581</v>
      </c>
      <c r="B58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8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8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8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8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88" s="43">
        <f ca="1">NOW()-'LOS TIEMPOS'!$K$2</f>
        <v>42368.075526157409</v>
      </c>
    </row>
    <row r="589" spans="1:7" x14ac:dyDescent="0.2">
      <c r="A589" s="13">
        <f t="shared" si="9"/>
        <v>582</v>
      </c>
      <c r="B58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8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8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8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8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89" s="43">
        <f ca="1">NOW()-'LOS TIEMPOS'!$K$2</f>
        <v>42368.075526157409</v>
      </c>
    </row>
    <row r="590" spans="1:7" x14ac:dyDescent="0.2">
      <c r="A590" s="13">
        <f t="shared" si="9"/>
        <v>583</v>
      </c>
      <c r="B59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9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9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9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9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90" s="43">
        <f ca="1">NOW()-'LOS TIEMPOS'!$K$2</f>
        <v>42368.075526157409</v>
      </c>
    </row>
    <row r="591" spans="1:7" x14ac:dyDescent="0.2">
      <c r="A591" s="13">
        <f t="shared" si="9"/>
        <v>584</v>
      </c>
      <c r="B59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9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9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9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9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91" s="43">
        <f ca="1">NOW()-'LOS TIEMPOS'!$K$2</f>
        <v>42368.075526157409</v>
      </c>
    </row>
    <row r="592" spans="1:7" x14ac:dyDescent="0.2">
      <c r="A592" s="13">
        <f t="shared" si="9"/>
        <v>585</v>
      </c>
      <c r="B59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9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9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9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9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92" s="43">
        <f ca="1">NOW()-'LOS TIEMPOS'!$K$2</f>
        <v>42368.075526157409</v>
      </c>
    </row>
    <row r="593" spans="1:7" x14ac:dyDescent="0.2">
      <c r="A593" s="13">
        <f t="shared" si="9"/>
        <v>586</v>
      </c>
      <c r="B59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9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9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9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9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93" s="43">
        <f ca="1">NOW()-'LOS TIEMPOS'!$K$2</f>
        <v>42368.075526157409</v>
      </c>
    </row>
    <row r="594" spans="1:7" x14ac:dyDescent="0.2">
      <c r="A594" s="13">
        <f t="shared" si="9"/>
        <v>587</v>
      </c>
      <c r="B59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9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9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9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9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94" s="43">
        <f ca="1">NOW()-'LOS TIEMPOS'!$K$2</f>
        <v>42368.075526157409</v>
      </c>
    </row>
    <row r="595" spans="1:7" x14ac:dyDescent="0.2">
      <c r="A595" s="13">
        <f t="shared" si="9"/>
        <v>588</v>
      </c>
      <c r="B59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9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9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9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9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95" s="43">
        <f ca="1">NOW()-'LOS TIEMPOS'!$K$2</f>
        <v>42368.075526157409</v>
      </c>
    </row>
    <row r="596" spans="1:7" x14ac:dyDescent="0.2">
      <c r="A596" s="13">
        <f t="shared" si="9"/>
        <v>589</v>
      </c>
      <c r="B59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9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9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9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9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96" s="43">
        <f ca="1">NOW()-'LOS TIEMPOS'!$K$2</f>
        <v>42368.075526157409</v>
      </c>
    </row>
    <row r="597" spans="1:7" x14ac:dyDescent="0.2">
      <c r="A597" s="13">
        <f t="shared" si="9"/>
        <v>590</v>
      </c>
      <c r="B59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9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9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9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9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97" s="43">
        <f ca="1">NOW()-'LOS TIEMPOS'!$K$2</f>
        <v>42368.075526157409</v>
      </c>
    </row>
    <row r="598" spans="1:7" x14ac:dyDescent="0.2">
      <c r="A598" s="13">
        <f t="shared" si="9"/>
        <v>591</v>
      </c>
      <c r="B59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9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9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9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9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98" s="43">
        <f ca="1">NOW()-'LOS TIEMPOS'!$K$2</f>
        <v>42368.075526157409</v>
      </c>
    </row>
    <row r="599" spans="1:7" x14ac:dyDescent="0.2">
      <c r="A599" s="13">
        <f t="shared" si="9"/>
        <v>592</v>
      </c>
      <c r="B59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59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59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59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59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599" s="43">
        <f ca="1">NOW()-'LOS TIEMPOS'!$K$2</f>
        <v>42368.075526157409</v>
      </c>
    </row>
    <row r="600" spans="1:7" x14ac:dyDescent="0.2">
      <c r="A600" s="13">
        <f t="shared" si="9"/>
        <v>593</v>
      </c>
      <c r="B60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0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0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0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0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00" s="43">
        <f ca="1">NOW()-'LOS TIEMPOS'!$K$2</f>
        <v>42368.075526157409</v>
      </c>
    </row>
    <row r="601" spans="1:7" x14ac:dyDescent="0.2">
      <c r="A601" s="13">
        <f t="shared" si="9"/>
        <v>594</v>
      </c>
      <c r="B60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0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0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0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0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01" s="43">
        <f ca="1">NOW()-'LOS TIEMPOS'!$K$2</f>
        <v>42368.075526157409</v>
      </c>
    </row>
    <row r="602" spans="1:7" x14ac:dyDescent="0.2">
      <c r="A602" s="13">
        <f t="shared" si="9"/>
        <v>595</v>
      </c>
      <c r="B60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0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0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0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0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02" s="43">
        <f ca="1">NOW()-'LOS TIEMPOS'!$K$2</f>
        <v>42368.075526157409</v>
      </c>
    </row>
    <row r="603" spans="1:7" x14ac:dyDescent="0.2">
      <c r="A603" s="13">
        <f t="shared" si="9"/>
        <v>596</v>
      </c>
      <c r="B60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0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0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0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0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03" s="43">
        <f ca="1">NOW()-'LOS TIEMPOS'!$K$2</f>
        <v>42368.075526157409</v>
      </c>
    </row>
    <row r="604" spans="1:7" x14ac:dyDescent="0.2">
      <c r="A604" s="13">
        <f t="shared" si="9"/>
        <v>597</v>
      </c>
      <c r="B60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0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0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0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0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04" s="43">
        <f ca="1">NOW()-'LOS TIEMPOS'!$K$2</f>
        <v>42368.075526157409</v>
      </c>
    </row>
    <row r="605" spans="1:7" x14ac:dyDescent="0.2">
      <c r="A605" s="13">
        <f t="shared" si="9"/>
        <v>598</v>
      </c>
      <c r="B60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0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0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0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0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05" s="43">
        <f ca="1">NOW()-'LOS TIEMPOS'!$K$2</f>
        <v>42368.075526157409</v>
      </c>
    </row>
    <row r="606" spans="1:7" x14ac:dyDescent="0.2">
      <c r="A606" s="13">
        <f t="shared" si="9"/>
        <v>599</v>
      </c>
      <c r="B60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0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0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0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0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06" s="43">
        <f ca="1">NOW()-'LOS TIEMPOS'!$K$2</f>
        <v>42368.075526157409</v>
      </c>
    </row>
    <row r="607" spans="1:7" x14ac:dyDescent="0.2">
      <c r="A607" s="13">
        <f t="shared" si="9"/>
        <v>600</v>
      </c>
      <c r="B60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0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0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0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0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07" s="43">
        <f ca="1">NOW()-'LOS TIEMPOS'!$K$2</f>
        <v>42368.075526157409</v>
      </c>
    </row>
    <row r="608" spans="1:7" x14ac:dyDescent="0.2">
      <c r="A608" s="13">
        <f t="shared" si="9"/>
        <v>601</v>
      </c>
      <c r="B60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0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0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0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0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08" s="43">
        <f ca="1">NOW()-'LOS TIEMPOS'!$K$2</f>
        <v>42368.075526157409</v>
      </c>
    </row>
    <row r="609" spans="1:7" x14ac:dyDescent="0.2">
      <c r="A609" s="13">
        <f t="shared" si="9"/>
        <v>602</v>
      </c>
      <c r="B60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0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0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0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0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09" s="43">
        <f ca="1">NOW()-'LOS TIEMPOS'!$K$2</f>
        <v>42368.075526157409</v>
      </c>
    </row>
    <row r="610" spans="1:7" x14ac:dyDescent="0.2">
      <c r="A610" s="13">
        <f t="shared" si="9"/>
        <v>603</v>
      </c>
      <c r="B61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1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1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1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1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10" s="43">
        <f ca="1">NOW()-'LOS TIEMPOS'!$K$2</f>
        <v>42368.075526157409</v>
      </c>
    </row>
    <row r="611" spans="1:7" x14ac:dyDescent="0.2">
      <c r="A611" s="13">
        <f t="shared" si="9"/>
        <v>604</v>
      </c>
      <c r="B61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1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1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1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1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11" s="43">
        <f ca="1">NOW()-'LOS TIEMPOS'!$K$2</f>
        <v>42368.075526157409</v>
      </c>
    </row>
    <row r="612" spans="1:7" x14ac:dyDescent="0.2">
      <c r="A612" s="13">
        <f t="shared" si="9"/>
        <v>605</v>
      </c>
      <c r="B61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1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1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1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1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12" s="43">
        <f ca="1">NOW()-'LOS TIEMPOS'!$K$2</f>
        <v>42368.075526157409</v>
      </c>
    </row>
    <row r="613" spans="1:7" x14ac:dyDescent="0.2">
      <c r="A613" s="13">
        <f t="shared" si="9"/>
        <v>606</v>
      </c>
      <c r="B61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1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1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1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1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13" s="43">
        <f ca="1">NOW()-'LOS TIEMPOS'!$K$2</f>
        <v>42368.075526157409</v>
      </c>
    </row>
    <row r="614" spans="1:7" x14ac:dyDescent="0.2">
      <c r="A614" s="13">
        <f t="shared" si="9"/>
        <v>607</v>
      </c>
      <c r="B61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1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1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1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1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14" s="43">
        <f ca="1">NOW()-'LOS TIEMPOS'!$K$2</f>
        <v>42368.075526157409</v>
      </c>
    </row>
    <row r="615" spans="1:7" x14ac:dyDescent="0.2">
      <c r="A615" s="13">
        <f t="shared" si="9"/>
        <v>608</v>
      </c>
      <c r="B61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1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1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1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1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15" s="43">
        <f ca="1">NOW()-'LOS TIEMPOS'!$K$2</f>
        <v>42368.075526157409</v>
      </c>
    </row>
    <row r="616" spans="1:7" x14ac:dyDescent="0.2">
      <c r="A616" s="13">
        <f t="shared" si="9"/>
        <v>609</v>
      </c>
      <c r="B61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1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1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1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1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16" s="43">
        <f ca="1">NOW()-'LOS TIEMPOS'!$K$2</f>
        <v>42368.075526157409</v>
      </c>
    </row>
    <row r="617" spans="1:7" x14ac:dyDescent="0.2">
      <c r="A617" s="13">
        <f t="shared" si="9"/>
        <v>610</v>
      </c>
      <c r="B61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1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1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1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1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17" s="43">
        <f ca="1">NOW()-'LOS TIEMPOS'!$K$2</f>
        <v>42368.075526157409</v>
      </c>
    </row>
    <row r="618" spans="1:7" x14ac:dyDescent="0.2">
      <c r="A618" s="13">
        <f t="shared" si="9"/>
        <v>611</v>
      </c>
      <c r="B61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1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1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1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1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18" s="43">
        <f ca="1">NOW()-'LOS TIEMPOS'!$K$2</f>
        <v>42368.075526157409</v>
      </c>
    </row>
    <row r="619" spans="1:7" x14ac:dyDescent="0.2">
      <c r="A619" s="13">
        <f t="shared" si="9"/>
        <v>612</v>
      </c>
      <c r="B61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1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1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1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1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19" s="43">
        <f ca="1">NOW()-'LOS TIEMPOS'!$K$2</f>
        <v>42368.075526157409</v>
      </c>
    </row>
    <row r="620" spans="1:7" x14ac:dyDescent="0.2">
      <c r="A620" s="13">
        <f t="shared" si="9"/>
        <v>613</v>
      </c>
      <c r="B62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2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2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2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2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20" s="43">
        <f ca="1">NOW()-'LOS TIEMPOS'!$K$2</f>
        <v>42368.075526157409</v>
      </c>
    </row>
    <row r="621" spans="1:7" x14ac:dyDescent="0.2">
      <c r="A621" s="13">
        <f t="shared" si="9"/>
        <v>614</v>
      </c>
      <c r="B62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2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2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2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2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21" s="43">
        <f ca="1">NOW()-'LOS TIEMPOS'!$K$2</f>
        <v>42368.075526157409</v>
      </c>
    </row>
    <row r="622" spans="1:7" x14ac:dyDescent="0.2">
      <c r="A622" s="13">
        <f t="shared" si="9"/>
        <v>615</v>
      </c>
      <c r="B62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2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2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2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2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22" s="43">
        <f ca="1">NOW()-'LOS TIEMPOS'!$K$2</f>
        <v>42368.075526157409</v>
      </c>
    </row>
    <row r="623" spans="1:7" x14ac:dyDescent="0.2">
      <c r="A623" s="13">
        <f t="shared" si="9"/>
        <v>616</v>
      </c>
      <c r="B62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2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2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2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2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23" s="43">
        <f ca="1">NOW()-'LOS TIEMPOS'!$K$2</f>
        <v>42368.075526157409</v>
      </c>
    </row>
    <row r="624" spans="1:7" x14ac:dyDescent="0.2">
      <c r="A624" s="13">
        <f t="shared" si="9"/>
        <v>617</v>
      </c>
      <c r="B62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2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2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2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2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24" s="43">
        <f ca="1">NOW()-'LOS TIEMPOS'!$K$2</f>
        <v>42368.075526157409</v>
      </c>
    </row>
    <row r="625" spans="1:7" x14ac:dyDescent="0.2">
      <c r="A625" s="13">
        <f t="shared" si="9"/>
        <v>618</v>
      </c>
      <c r="B62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2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2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2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2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25" s="43">
        <f ca="1">NOW()-'LOS TIEMPOS'!$K$2</f>
        <v>42368.075526157409</v>
      </c>
    </row>
    <row r="626" spans="1:7" x14ac:dyDescent="0.2">
      <c r="A626" s="13">
        <f t="shared" si="9"/>
        <v>619</v>
      </c>
      <c r="B62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2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2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2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2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26" s="43">
        <f ca="1">NOW()-'LOS TIEMPOS'!$K$2</f>
        <v>42368.075526157409</v>
      </c>
    </row>
    <row r="627" spans="1:7" x14ac:dyDescent="0.2">
      <c r="A627" s="13">
        <f t="shared" si="9"/>
        <v>620</v>
      </c>
      <c r="B62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2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2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2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2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27" s="43">
        <f ca="1">NOW()-'LOS TIEMPOS'!$K$2</f>
        <v>42368.075526157409</v>
      </c>
    </row>
    <row r="628" spans="1:7" x14ac:dyDescent="0.2">
      <c r="A628" s="13">
        <f t="shared" si="9"/>
        <v>621</v>
      </c>
      <c r="B62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2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2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2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2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28" s="43">
        <f ca="1">NOW()-'LOS TIEMPOS'!$K$2</f>
        <v>42368.075526157409</v>
      </c>
    </row>
    <row r="629" spans="1:7" x14ac:dyDescent="0.2">
      <c r="A629" s="13">
        <f t="shared" si="9"/>
        <v>622</v>
      </c>
      <c r="B62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2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2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2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2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29" s="43">
        <f ca="1">NOW()-'LOS TIEMPOS'!$K$2</f>
        <v>42368.075526157409</v>
      </c>
    </row>
    <row r="630" spans="1:7" x14ac:dyDescent="0.2">
      <c r="A630" s="13">
        <f t="shared" si="9"/>
        <v>623</v>
      </c>
      <c r="B63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3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3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3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3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30" s="43">
        <f ca="1">NOW()-'LOS TIEMPOS'!$K$2</f>
        <v>42368.075526157409</v>
      </c>
    </row>
    <row r="631" spans="1:7" x14ac:dyDescent="0.2">
      <c r="A631" s="13">
        <f t="shared" si="9"/>
        <v>624</v>
      </c>
      <c r="B63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3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3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3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3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31" s="43">
        <f ca="1">NOW()-'LOS TIEMPOS'!$K$2</f>
        <v>42368.075526157409</v>
      </c>
    </row>
    <row r="632" spans="1:7" x14ac:dyDescent="0.2">
      <c r="A632" s="13">
        <f t="shared" si="9"/>
        <v>625</v>
      </c>
      <c r="B63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3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3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3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3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32" s="43">
        <f ca="1">NOW()-'LOS TIEMPOS'!$K$2</f>
        <v>42368.075526157409</v>
      </c>
    </row>
    <row r="633" spans="1:7" x14ac:dyDescent="0.2">
      <c r="A633" s="13">
        <f t="shared" si="9"/>
        <v>626</v>
      </c>
      <c r="B63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3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3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3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3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33" s="43">
        <f ca="1">NOW()-'LOS TIEMPOS'!$K$2</f>
        <v>42368.075526157409</v>
      </c>
    </row>
    <row r="634" spans="1:7" x14ac:dyDescent="0.2">
      <c r="A634" s="13">
        <f t="shared" si="9"/>
        <v>627</v>
      </c>
      <c r="B63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3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3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3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3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34" s="43">
        <f ca="1">NOW()-'LOS TIEMPOS'!$K$2</f>
        <v>42368.075526157409</v>
      </c>
    </row>
    <row r="635" spans="1:7" x14ac:dyDescent="0.2">
      <c r="A635" s="13">
        <f t="shared" si="9"/>
        <v>628</v>
      </c>
      <c r="B63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3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3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3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3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35" s="43">
        <f ca="1">NOW()-'LOS TIEMPOS'!$K$2</f>
        <v>42368.075526157409</v>
      </c>
    </row>
    <row r="636" spans="1:7" x14ac:dyDescent="0.2">
      <c r="A636" s="13">
        <f t="shared" si="9"/>
        <v>629</v>
      </c>
      <c r="B63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3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3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3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3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36" s="43">
        <f ca="1">NOW()-'LOS TIEMPOS'!$K$2</f>
        <v>42368.075526157409</v>
      </c>
    </row>
    <row r="637" spans="1:7" x14ac:dyDescent="0.2">
      <c r="A637" s="13">
        <f t="shared" si="9"/>
        <v>630</v>
      </c>
      <c r="B63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3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3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3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3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37" s="43">
        <f ca="1">NOW()-'LOS TIEMPOS'!$K$2</f>
        <v>42368.075526157409</v>
      </c>
    </row>
    <row r="638" spans="1:7" x14ac:dyDescent="0.2">
      <c r="A638" s="13">
        <f t="shared" si="9"/>
        <v>631</v>
      </c>
      <c r="B63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3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3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3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3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38" s="43">
        <f ca="1">NOW()-'LOS TIEMPOS'!$K$2</f>
        <v>42368.075526157409</v>
      </c>
    </row>
    <row r="639" spans="1:7" x14ac:dyDescent="0.2">
      <c r="A639" s="13">
        <f t="shared" si="9"/>
        <v>632</v>
      </c>
      <c r="B63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3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3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3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3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39" s="43">
        <f ca="1">NOW()-'LOS TIEMPOS'!$K$2</f>
        <v>42368.075526157409</v>
      </c>
    </row>
    <row r="640" spans="1:7" x14ac:dyDescent="0.2">
      <c r="A640" s="13">
        <f t="shared" si="9"/>
        <v>633</v>
      </c>
      <c r="B64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4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4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4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4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40" s="43">
        <f ca="1">NOW()-'LOS TIEMPOS'!$K$2</f>
        <v>42368.075526157409</v>
      </c>
    </row>
    <row r="641" spans="1:7" x14ac:dyDescent="0.2">
      <c r="A641" s="13">
        <f t="shared" si="9"/>
        <v>634</v>
      </c>
      <c r="B64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4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4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4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4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41" s="43">
        <f ca="1">NOW()-'LOS TIEMPOS'!$K$2</f>
        <v>42368.075526157409</v>
      </c>
    </row>
    <row r="642" spans="1:7" x14ac:dyDescent="0.2">
      <c r="A642" s="13">
        <f t="shared" si="9"/>
        <v>635</v>
      </c>
      <c r="B64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4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4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4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4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42" s="43">
        <f ca="1">NOW()-'LOS TIEMPOS'!$K$2</f>
        <v>42368.075526157409</v>
      </c>
    </row>
    <row r="643" spans="1:7" x14ac:dyDescent="0.2">
      <c r="A643" s="13">
        <f t="shared" si="9"/>
        <v>636</v>
      </c>
      <c r="B64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4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4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4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4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43" s="43">
        <f ca="1">NOW()-'LOS TIEMPOS'!$K$2</f>
        <v>42368.075526157409</v>
      </c>
    </row>
    <row r="644" spans="1:7" x14ac:dyDescent="0.2">
      <c r="A644" s="13">
        <f t="shared" si="9"/>
        <v>637</v>
      </c>
      <c r="B64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4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4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4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4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44" s="43">
        <f ca="1">NOW()-'LOS TIEMPOS'!$K$2</f>
        <v>42368.075526157409</v>
      </c>
    </row>
    <row r="645" spans="1:7" x14ac:dyDescent="0.2">
      <c r="A645" s="13">
        <f t="shared" si="9"/>
        <v>638</v>
      </c>
      <c r="B64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4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4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4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4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45" s="43">
        <f ca="1">NOW()-'LOS TIEMPOS'!$K$2</f>
        <v>42368.075526157409</v>
      </c>
    </row>
    <row r="646" spans="1:7" x14ac:dyDescent="0.2">
      <c r="A646" s="13">
        <f t="shared" si="9"/>
        <v>639</v>
      </c>
      <c r="B64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4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4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4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4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46" s="43">
        <f ca="1">NOW()-'LOS TIEMPOS'!$K$2</f>
        <v>42368.075526157409</v>
      </c>
    </row>
    <row r="647" spans="1:7" x14ac:dyDescent="0.2">
      <c r="A647" s="13">
        <f t="shared" si="9"/>
        <v>640</v>
      </c>
      <c r="B64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4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4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4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4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47" s="43">
        <f ca="1">NOW()-'LOS TIEMPOS'!$K$2</f>
        <v>42368.075526157409</v>
      </c>
    </row>
    <row r="648" spans="1:7" x14ac:dyDescent="0.2">
      <c r="A648" s="13">
        <f t="shared" ref="A648:A711" si="10">ROW()-7</f>
        <v>641</v>
      </c>
      <c r="B64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4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4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4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4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48" s="43">
        <f ca="1">NOW()-'LOS TIEMPOS'!$K$2</f>
        <v>42368.075526157409</v>
      </c>
    </row>
    <row r="649" spans="1:7" x14ac:dyDescent="0.2">
      <c r="A649" s="13">
        <f t="shared" si="10"/>
        <v>642</v>
      </c>
      <c r="B64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4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4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4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4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49" s="43">
        <f ca="1">NOW()-'LOS TIEMPOS'!$K$2</f>
        <v>42368.075526157409</v>
      </c>
    </row>
    <row r="650" spans="1:7" x14ac:dyDescent="0.2">
      <c r="A650" s="13">
        <f t="shared" si="10"/>
        <v>643</v>
      </c>
      <c r="B65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5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5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5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5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50" s="43">
        <f ca="1">NOW()-'LOS TIEMPOS'!$K$2</f>
        <v>42368.075526157409</v>
      </c>
    </row>
    <row r="651" spans="1:7" x14ac:dyDescent="0.2">
      <c r="A651" s="13">
        <f t="shared" si="10"/>
        <v>644</v>
      </c>
      <c r="B65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5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5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5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5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51" s="43">
        <f ca="1">NOW()-'LOS TIEMPOS'!$K$2</f>
        <v>42368.075526157409</v>
      </c>
    </row>
    <row r="652" spans="1:7" x14ac:dyDescent="0.2">
      <c r="A652" s="13">
        <f t="shared" si="10"/>
        <v>645</v>
      </c>
      <c r="B65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5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5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5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5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52" s="43">
        <f ca="1">NOW()-'LOS TIEMPOS'!$K$2</f>
        <v>42368.075526157409</v>
      </c>
    </row>
    <row r="653" spans="1:7" x14ac:dyDescent="0.2">
      <c r="A653" s="13">
        <f t="shared" si="10"/>
        <v>646</v>
      </c>
      <c r="B65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5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5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5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5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53" s="43">
        <f ca="1">NOW()-'LOS TIEMPOS'!$K$2</f>
        <v>42368.075526157409</v>
      </c>
    </row>
    <row r="654" spans="1:7" x14ac:dyDescent="0.2">
      <c r="A654" s="13">
        <f t="shared" si="10"/>
        <v>647</v>
      </c>
      <c r="B65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5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5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5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5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54" s="43">
        <f ca="1">NOW()-'LOS TIEMPOS'!$K$2</f>
        <v>42368.075526157409</v>
      </c>
    </row>
    <row r="655" spans="1:7" x14ac:dyDescent="0.2">
      <c r="A655" s="13">
        <f t="shared" si="10"/>
        <v>648</v>
      </c>
      <c r="B65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5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5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5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5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55" s="43">
        <f ca="1">NOW()-'LOS TIEMPOS'!$K$2</f>
        <v>42368.075526157409</v>
      </c>
    </row>
    <row r="656" spans="1:7" x14ac:dyDescent="0.2">
      <c r="A656" s="13">
        <f t="shared" si="10"/>
        <v>649</v>
      </c>
      <c r="B65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5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5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5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5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56" s="43">
        <f ca="1">NOW()-'LOS TIEMPOS'!$K$2</f>
        <v>42368.075526157409</v>
      </c>
    </row>
    <row r="657" spans="1:7" x14ac:dyDescent="0.2">
      <c r="A657" s="13">
        <f t="shared" si="10"/>
        <v>650</v>
      </c>
      <c r="B65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5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5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5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5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57" s="43">
        <f ca="1">NOW()-'LOS TIEMPOS'!$K$2</f>
        <v>42368.075526157409</v>
      </c>
    </row>
    <row r="658" spans="1:7" x14ac:dyDescent="0.2">
      <c r="A658" s="13">
        <f t="shared" si="10"/>
        <v>651</v>
      </c>
      <c r="B65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5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5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5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5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58" s="43">
        <f ca="1">NOW()-'LOS TIEMPOS'!$K$2</f>
        <v>42368.075526157409</v>
      </c>
    </row>
    <row r="659" spans="1:7" x14ac:dyDescent="0.2">
      <c r="A659" s="13">
        <f t="shared" si="10"/>
        <v>652</v>
      </c>
      <c r="B65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5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5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5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5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59" s="43">
        <f ca="1">NOW()-'LOS TIEMPOS'!$K$2</f>
        <v>42368.075526157409</v>
      </c>
    </row>
    <row r="660" spans="1:7" x14ac:dyDescent="0.2">
      <c r="A660" s="13">
        <f t="shared" si="10"/>
        <v>653</v>
      </c>
      <c r="B66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6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6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6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6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60" s="43">
        <f ca="1">NOW()-'LOS TIEMPOS'!$K$2</f>
        <v>42368.075526157409</v>
      </c>
    </row>
    <row r="661" spans="1:7" x14ac:dyDescent="0.2">
      <c r="A661" s="13">
        <f t="shared" si="10"/>
        <v>654</v>
      </c>
      <c r="B66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6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6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6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6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61" s="43">
        <f ca="1">NOW()-'LOS TIEMPOS'!$K$2</f>
        <v>42368.075526157409</v>
      </c>
    </row>
    <row r="662" spans="1:7" x14ac:dyDescent="0.2">
      <c r="A662" s="13">
        <f t="shared" si="10"/>
        <v>655</v>
      </c>
      <c r="B66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6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6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6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6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62" s="43">
        <f ca="1">NOW()-'LOS TIEMPOS'!$K$2</f>
        <v>42368.075526157409</v>
      </c>
    </row>
    <row r="663" spans="1:7" x14ac:dyDescent="0.2">
      <c r="A663" s="13">
        <f t="shared" si="10"/>
        <v>656</v>
      </c>
      <c r="B66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6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6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6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6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63" s="43">
        <f ca="1">NOW()-'LOS TIEMPOS'!$K$2</f>
        <v>42368.075526157409</v>
      </c>
    </row>
    <row r="664" spans="1:7" x14ac:dyDescent="0.2">
      <c r="A664" s="13">
        <f t="shared" si="10"/>
        <v>657</v>
      </c>
      <c r="B66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6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6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6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6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64" s="43">
        <f ca="1">NOW()-'LOS TIEMPOS'!$K$2</f>
        <v>42368.075526157409</v>
      </c>
    </row>
    <row r="665" spans="1:7" x14ac:dyDescent="0.2">
      <c r="A665" s="13">
        <f t="shared" si="10"/>
        <v>658</v>
      </c>
      <c r="B66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6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6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6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6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65" s="43">
        <f ca="1">NOW()-'LOS TIEMPOS'!$K$2</f>
        <v>42368.075526157409</v>
      </c>
    </row>
    <row r="666" spans="1:7" x14ac:dyDescent="0.2">
      <c r="A666" s="13">
        <f t="shared" si="10"/>
        <v>659</v>
      </c>
      <c r="B66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6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6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6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6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66" s="43">
        <f ca="1">NOW()-'LOS TIEMPOS'!$K$2</f>
        <v>42368.075526157409</v>
      </c>
    </row>
    <row r="667" spans="1:7" x14ac:dyDescent="0.2">
      <c r="A667" s="13">
        <f t="shared" si="10"/>
        <v>660</v>
      </c>
      <c r="B66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6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6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6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6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67" s="43">
        <f ca="1">NOW()-'LOS TIEMPOS'!$K$2</f>
        <v>42368.075526157409</v>
      </c>
    </row>
    <row r="668" spans="1:7" x14ac:dyDescent="0.2">
      <c r="A668" s="13">
        <f t="shared" si="10"/>
        <v>661</v>
      </c>
      <c r="B66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6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6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6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6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68" s="43">
        <f ca="1">NOW()-'LOS TIEMPOS'!$K$2</f>
        <v>42368.075526157409</v>
      </c>
    </row>
    <row r="669" spans="1:7" x14ac:dyDescent="0.2">
      <c r="A669" s="13">
        <f t="shared" si="10"/>
        <v>662</v>
      </c>
      <c r="B66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6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6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6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6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69" s="43">
        <f ca="1">NOW()-'LOS TIEMPOS'!$K$2</f>
        <v>42368.075526157409</v>
      </c>
    </row>
    <row r="670" spans="1:7" x14ac:dyDescent="0.2">
      <c r="A670" s="13">
        <f t="shared" si="10"/>
        <v>663</v>
      </c>
      <c r="B67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7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7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7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7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70" s="43">
        <f ca="1">NOW()-'LOS TIEMPOS'!$K$2</f>
        <v>42368.075526157409</v>
      </c>
    </row>
    <row r="671" spans="1:7" x14ac:dyDescent="0.2">
      <c r="A671" s="13">
        <f t="shared" si="10"/>
        <v>664</v>
      </c>
      <c r="B67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7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7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7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7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71" s="43">
        <f ca="1">NOW()-'LOS TIEMPOS'!$K$2</f>
        <v>42368.075526157409</v>
      </c>
    </row>
    <row r="672" spans="1:7" x14ac:dyDescent="0.2">
      <c r="A672" s="13">
        <f t="shared" si="10"/>
        <v>665</v>
      </c>
      <c r="B67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7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7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7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7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72" s="43">
        <f ca="1">NOW()-'LOS TIEMPOS'!$K$2</f>
        <v>42368.075526157409</v>
      </c>
    </row>
    <row r="673" spans="1:7" x14ac:dyDescent="0.2">
      <c r="A673" s="13">
        <f t="shared" si="10"/>
        <v>666</v>
      </c>
      <c r="B67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7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7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7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7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73" s="43">
        <f ca="1">NOW()-'LOS TIEMPOS'!$K$2</f>
        <v>42368.075526157409</v>
      </c>
    </row>
    <row r="674" spans="1:7" x14ac:dyDescent="0.2">
      <c r="A674" s="13">
        <f t="shared" si="10"/>
        <v>667</v>
      </c>
      <c r="B67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7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7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7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7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74" s="43">
        <f ca="1">NOW()-'LOS TIEMPOS'!$K$2</f>
        <v>42368.075526157409</v>
      </c>
    </row>
    <row r="675" spans="1:7" x14ac:dyDescent="0.2">
      <c r="A675" s="13">
        <f t="shared" si="10"/>
        <v>668</v>
      </c>
      <c r="B67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7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7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7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7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75" s="43">
        <f ca="1">NOW()-'LOS TIEMPOS'!$K$2</f>
        <v>42368.075526157409</v>
      </c>
    </row>
    <row r="676" spans="1:7" x14ac:dyDescent="0.2">
      <c r="A676" s="13">
        <f t="shared" si="10"/>
        <v>669</v>
      </c>
      <c r="B67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7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7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7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7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76" s="43">
        <f ca="1">NOW()-'LOS TIEMPOS'!$K$2</f>
        <v>42368.075526157409</v>
      </c>
    </row>
    <row r="677" spans="1:7" x14ac:dyDescent="0.2">
      <c r="A677" s="13">
        <f t="shared" si="10"/>
        <v>670</v>
      </c>
      <c r="B67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7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7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7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7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77" s="43">
        <f ca="1">NOW()-'LOS TIEMPOS'!$K$2</f>
        <v>42368.075526157409</v>
      </c>
    </row>
    <row r="678" spans="1:7" x14ac:dyDescent="0.2">
      <c r="A678" s="13">
        <f t="shared" si="10"/>
        <v>671</v>
      </c>
      <c r="B67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7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7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7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7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78" s="43">
        <f ca="1">NOW()-'LOS TIEMPOS'!$K$2</f>
        <v>42368.075526157409</v>
      </c>
    </row>
    <row r="679" spans="1:7" x14ac:dyDescent="0.2">
      <c r="A679" s="13">
        <f t="shared" si="10"/>
        <v>672</v>
      </c>
      <c r="B67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7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7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7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7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79" s="43">
        <f ca="1">NOW()-'LOS TIEMPOS'!$K$2</f>
        <v>42368.075526157409</v>
      </c>
    </row>
    <row r="680" spans="1:7" x14ac:dyDescent="0.2">
      <c r="A680" s="13">
        <f t="shared" si="10"/>
        <v>673</v>
      </c>
      <c r="B68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8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8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8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8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80" s="43">
        <f ca="1">NOW()-'LOS TIEMPOS'!$K$2</f>
        <v>42368.075526157409</v>
      </c>
    </row>
    <row r="681" spans="1:7" x14ac:dyDescent="0.2">
      <c r="A681" s="13">
        <f t="shared" si="10"/>
        <v>674</v>
      </c>
      <c r="B68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8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8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8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8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81" s="43">
        <f ca="1">NOW()-'LOS TIEMPOS'!$K$2</f>
        <v>42368.075526157409</v>
      </c>
    </row>
    <row r="682" spans="1:7" x14ac:dyDescent="0.2">
      <c r="A682" s="13">
        <f t="shared" si="10"/>
        <v>675</v>
      </c>
      <c r="B68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8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8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8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8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82" s="43">
        <f ca="1">NOW()-'LOS TIEMPOS'!$K$2</f>
        <v>42368.075526157409</v>
      </c>
    </row>
    <row r="683" spans="1:7" x14ac:dyDescent="0.2">
      <c r="A683" s="13">
        <f t="shared" si="10"/>
        <v>676</v>
      </c>
      <c r="B68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8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8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8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8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83" s="43">
        <f ca="1">NOW()-'LOS TIEMPOS'!$K$2</f>
        <v>42368.075526157409</v>
      </c>
    </row>
    <row r="684" spans="1:7" x14ac:dyDescent="0.2">
      <c r="A684" s="13">
        <f t="shared" si="10"/>
        <v>677</v>
      </c>
      <c r="B68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8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8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8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8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84" s="43">
        <f ca="1">NOW()-'LOS TIEMPOS'!$K$2</f>
        <v>42368.075526157409</v>
      </c>
    </row>
    <row r="685" spans="1:7" x14ac:dyDescent="0.2">
      <c r="A685" s="13">
        <f t="shared" si="10"/>
        <v>678</v>
      </c>
      <c r="B68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8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8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8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8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85" s="43">
        <f ca="1">NOW()-'LOS TIEMPOS'!$K$2</f>
        <v>42368.075526157409</v>
      </c>
    </row>
    <row r="686" spans="1:7" x14ac:dyDescent="0.2">
      <c r="A686" s="13">
        <f t="shared" si="10"/>
        <v>679</v>
      </c>
      <c r="B68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8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8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8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8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86" s="43">
        <f ca="1">NOW()-'LOS TIEMPOS'!$K$2</f>
        <v>42368.075526157409</v>
      </c>
    </row>
    <row r="687" spans="1:7" x14ac:dyDescent="0.2">
      <c r="A687" s="13">
        <f t="shared" si="10"/>
        <v>680</v>
      </c>
      <c r="B68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8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8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8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8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87" s="43">
        <f ca="1">NOW()-'LOS TIEMPOS'!$K$2</f>
        <v>42368.075526157409</v>
      </c>
    </row>
    <row r="688" spans="1:7" x14ac:dyDescent="0.2">
      <c r="A688" s="13">
        <f t="shared" si="10"/>
        <v>681</v>
      </c>
      <c r="B68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8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8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8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8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88" s="43">
        <f ca="1">NOW()-'LOS TIEMPOS'!$K$2</f>
        <v>42368.075526157409</v>
      </c>
    </row>
    <row r="689" spans="1:7" x14ac:dyDescent="0.2">
      <c r="A689" s="13">
        <f t="shared" si="10"/>
        <v>682</v>
      </c>
      <c r="B68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8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8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8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8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89" s="43">
        <f ca="1">NOW()-'LOS TIEMPOS'!$K$2</f>
        <v>42368.075526157409</v>
      </c>
    </row>
    <row r="690" spans="1:7" x14ac:dyDescent="0.2">
      <c r="A690" s="13">
        <f t="shared" si="10"/>
        <v>683</v>
      </c>
      <c r="B69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9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9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9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9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90" s="43">
        <f ca="1">NOW()-'LOS TIEMPOS'!$K$2</f>
        <v>42368.075526157409</v>
      </c>
    </row>
    <row r="691" spans="1:7" x14ac:dyDescent="0.2">
      <c r="A691" s="13">
        <f t="shared" si="10"/>
        <v>684</v>
      </c>
      <c r="B69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9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9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9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9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91" s="43">
        <f ca="1">NOW()-'LOS TIEMPOS'!$K$2</f>
        <v>42368.075526157409</v>
      </c>
    </row>
    <row r="692" spans="1:7" x14ac:dyDescent="0.2">
      <c r="A692" s="13">
        <f t="shared" si="10"/>
        <v>685</v>
      </c>
      <c r="B69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9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9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9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9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92" s="43">
        <f ca="1">NOW()-'LOS TIEMPOS'!$K$2</f>
        <v>42368.075526157409</v>
      </c>
    </row>
    <row r="693" spans="1:7" x14ac:dyDescent="0.2">
      <c r="A693" s="13">
        <f t="shared" si="10"/>
        <v>686</v>
      </c>
      <c r="B69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9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9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9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9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93" s="43">
        <f ca="1">NOW()-'LOS TIEMPOS'!$K$2</f>
        <v>42368.075526157409</v>
      </c>
    </row>
    <row r="694" spans="1:7" x14ac:dyDescent="0.2">
      <c r="A694" s="13">
        <f t="shared" si="10"/>
        <v>687</v>
      </c>
      <c r="B69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9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9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9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9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94" s="43">
        <f ca="1">NOW()-'LOS TIEMPOS'!$K$2</f>
        <v>42368.075526157409</v>
      </c>
    </row>
    <row r="695" spans="1:7" x14ac:dyDescent="0.2">
      <c r="A695" s="13">
        <f t="shared" si="10"/>
        <v>688</v>
      </c>
      <c r="B69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9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9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9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9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95" s="43">
        <f ca="1">NOW()-'LOS TIEMPOS'!$K$2</f>
        <v>42368.075526157409</v>
      </c>
    </row>
    <row r="696" spans="1:7" x14ac:dyDescent="0.2">
      <c r="A696" s="13">
        <f t="shared" si="10"/>
        <v>689</v>
      </c>
      <c r="B69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9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9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9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9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96" s="43">
        <f ca="1">NOW()-'LOS TIEMPOS'!$K$2</f>
        <v>42368.075526157409</v>
      </c>
    </row>
    <row r="697" spans="1:7" x14ac:dyDescent="0.2">
      <c r="A697" s="13">
        <f t="shared" si="10"/>
        <v>690</v>
      </c>
      <c r="B69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9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9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9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9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97" s="43">
        <f ca="1">NOW()-'LOS TIEMPOS'!$K$2</f>
        <v>42368.075526157409</v>
      </c>
    </row>
    <row r="698" spans="1:7" x14ac:dyDescent="0.2">
      <c r="A698" s="13">
        <f t="shared" si="10"/>
        <v>691</v>
      </c>
      <c r="B69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9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9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9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9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98" s="43">
        <f ca="1">NOW()-'LOS TIEMPOS'!$K$2</f>
        <v>42368.075526157409</v>
      </c>
    </row>
    <row r="699" spans="1:7" x14ac:dyDescent="0.2">
      <c r="A699" s="13">
        <f t="shared" si="10"/>
        <v>692</v>
      </c>
      <c r="B69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69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69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69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69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699" s="43">
        <f ca="1">NOW()-'LOS TIEMPOS'!$K$2</f>
        <v>42368.075526157409</v>
      </c>
    </row>
    <row r="700" spans="1:7" x14ac:dyDescent="0.2">
      <c r="A700" s="13">
        <f t="shared" si="10"/>
        <v>693</v>
      </c>
      <c r="B70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0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0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0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0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00" s="43">
        <f ca="1">NOW()-'LOS TIEMPOS'!$K$2</f>
        <v>42368.075526157409</v>
      </c>
    </row>
    <row r="701" spans="1:7" x14ac:dyDescent="0.2">
      <c r="A701" s="13">
        <f t="shared" si="10"/>
        <v>694</v>
      </c>
      <c r="B70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0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0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0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0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01" s="43">
        <f ca="1">NOW()-'LOS TIEMPOS'!$K$2</f>
        <v>42368.075526157409</v>
      </c>
    </row>
    <row r="702" spans="1:7" x14ac:dyDescent="0.2">
      <c r="A702" s="13">
        <f t="shared" si="10"/>
        <v>695</v>
      </c>
      <c r="B70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0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0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0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0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02" s="43">
        <f ca="1">NOW()-'LOS TIEMPOS'!$K$2</f>
        <v>42368.075526157409</v>
      </c>
    </row>
    <row r="703" spans="1:7" x14ac:dyDescent="0.2">
      <c r="A703" s="13">
        <f t="shared" si="10"/>
        <v>696</v>
      </c>
      <c r="B70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0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0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0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0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03" s="43">
        <f ca="1">NOW()-'LOS TIEMPOS'!$K$2</f>
        <v>42368.075526157409</v>
      </c>
    </row>
    <row r="704" spans="1:7" x14ac:dyDescent="0.2">
      <c r="A704" s="13">
        <f t="shared" si="10"/>
        <v>697</v>
      </c>
      <c r="B70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0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0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0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0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04" s="43">
        <f ca="1">NOW()-'LOS TIEMPOS'!$K$2</f>
        <v>42368.075526157409</v>
      </c>
    </row>
    <row r="705" spans="1:7" x14ac:dyDescent="0.2">
      <c r="A705" s="13">
        <f t="shared" si="10"/>
        <v>698</v>
      </c>
      <c r="B70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0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0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0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0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05" s="43">
        <f ca="1">NOW()-'LOS TIEMPOS'!$K$2</f>
        <v>42368.075526157409</v>
      </c>
    </row>
    <row r="706" spans="1:7" x14ac:dyDescent="0.2">
      <c r="A706" s="13">
        <f t="shared" si="10"/>
        <v>699</v>
      </c>
      <c r="B70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0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0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0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0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06" s="43">
        <f ca="1">NOW()-'LOS TIEMPOS'!$K$2</f>
        <v>42368.075526157409</v>
      </c>
    </row>
    <row r="707" spans="1:7" x14ac:dyDescent="0.2">
      <c r="A707" s="13">
        <f t="shared" si="10"/>
        <v>700</v>
      </c>
      <c r="B70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0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0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0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0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07" s="43">
        <f ca="1">NOW()-'LOS TIEMPOS'!$K$2</f>
        <v>42368.075526157409</v>
      </c>
    </row>
    <row r="708" spans="1:7" x14ac:dyDescent="0.2">
      <c r="A708" s="13">
        <f t="shared" si="10"/>
        <v>701</v>
      </c>
      <c r="B70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0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0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0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0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08" s="43">
        <f ca="1">NOW()-'LOS TIEMPOS'!$K$2</f>
        <v>42368.075526157409</v>
      </c>
    </row>
    <row r="709" spans="1:7" x14ac:dyDescent="0.2">
      <c r="A709" s="13">
        <f t="shared" si="10"/>
        <v>702</v>
      </c>
      <c r="B70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0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0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0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0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09" s="43">
        <f ca="1">NOW()-'LOS TIEMPOS'!$K$2</f>
        <v>42368.075526157409</v>
      </c>
    </row>
    <row r="710" spans="1:7" x14ac:dyDescent="0.2">
      <c r="A710" s="13">
        <f t="shared" si="10"/>
        <v>703</v>
      </c>
      <c r="B71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1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1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1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1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10" s="43">
        <f ca="1">NOW()-'LOS TIEMPOS'!$K$2</f>
        <v>42368.075526157409</v>
      </c>
    </row>
    <row r="711" spans="1:7" x14ac:dyDescent="0.2">
      <c r="A711" s="13">
        <f t="shared" si="10"/>
        <v>704</v>
      </c>
      <c r="B71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1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1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1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1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11" s="43">
        <f ca="1">NOW()-'LOS TIEMPOS'!$K$2</f>
        <v>42368.075526157409</v>
      </c>
    </row>
    <row r="712" spans="1:7" x14ac:dyDescent="0.2">
      <c r="A712" s="13">
        <f t="shared" ref="A712:A775" si="11">ROW()-7</f>
        <v>705</v>
      </c>
      <c r="B71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1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1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1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1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12" s="43">
        <f ca="1">NOW()-'LOS TIEMPOS'!$K$2</f>
        <v>42368.075526157409</v>
      </c>
    </row>
    <row r="713" spans="1:7" x14ac:dyDescent="0.2">
      <c r="A713" s="13">
        <f t="shared" si="11"/>
        <v>706</v>
      </c>
      <c r="B71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1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1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1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1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13" s="43">
        <f ca="1">NOW()-'LOS TIEMPOS'!$K$2</f>
        <v>42368.075526157409</v>
      </c>
    </row>
    <row r="714" spans="1:7" x14ac:dyDescent="0.2">
      <c r="A714" s="13">
        <f t="shared" si="11"/>
        <v>707</v>
      </c>
      <c r="B71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1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1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1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1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14" s="43">
        <f ca="1">NOW()-'LOS TIEMPOS'!$K$2</f>
        <v>42368.075526157409</v>
      </c>
    </row>
    <row r="715" spans="1:7" x14ac:dyDescent="0.2">
      <c r="A715" s="13">
        <f t="shared" si="11"/>
        <v>708</v>
      </c>
      <c r="B71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1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1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1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1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15" s="43">
        <f ca="1">NOW()-'LOS TIEMPOS'!$K$2</f>
        <v>42368.075526157409</v>
      </c>
    </row>
    <row r="716" spans="1:7" x14ac:dyDescent="0.2">
      <c r="A716" s="13">
        <f t="shared" si="11"/>
        <v>709</v>
      </c>
      <c r="B71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1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1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1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1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16" s="43">
        <f ca="1">NOW()-'LOS TIEMPOS'!$K$2</f>
        <v>42368.075526157409</v>
      </c>
    </row>
    <row r="717" spans="1:7" x14ac:dyDescent="0.2">
      <c r="A717" s="13">
        <f t="shared" si="11"/>
        <v>710</v>
      </c>
      <c r="B71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1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1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1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1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17" s="43">
        <f ca="1">NOW()-'LOS TIEMPOS'!$K$2</f>
        <v>42368.075526157409</v>
      </c>
    </row>
    <row r="718" spans="1:7" x14ac:dyDescent="0.2">
      <c r="A718" s="13">
        <f t="shared" si="11"/>
        <v>711</v>
      </c>
      <c r="B71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1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1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1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1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18" s="43">
        <f ca="1">NOW()-'LOS TIEMPOS'!$K$2</f>
        <v>42368.075526157409</v>
      </c>
    </row>
    <row r="719" spans="1:7" x14ac:dyDescent="0.2">
      <c r="A719" s="13">
        <f t="shared" si="11"/>
        <v>712</v>
      </c>
      <c r="B71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1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1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1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1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19" s="43">
        <f ca="1">NOW()-'LOS TIEMPOS'!$K$2</f>
        <v>42368.075526157409</v>
      </c>
    </row>
    <row r="720" spans="1:7" x14ac:dyDescent="0.2">
      <c r="A720" s="13">
        <f t="shared" si="11"/>
        <v>713</v>
      </c>
      <c r="B72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2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2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2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2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20" s="43">
        <f ca="1">NOW()-'LOS TIEMPOS'!$K$2</f>
        <v>42368.075526157409</v>
      </c>
    </row>
    <row r="721" spans="1:7" x14ac:dyDescent="0.2">
      <c r="A721" s="13">
        <f t="shared" si="11"/>
        <v>714</v>
      </c>
      <c r="B72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2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2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2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2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21" s="43">
        <f ca="1">NOW()-'LOS TIEMPOS'!$K$2</f>
        <v>42368.075526157409</v>
      </c>
    </row>
    <row r="722" spans="1:7" x14ac:dyDescent="0.2">
      <c r="A722" s="13">
        <f t="shared" si="11"/>
        <v>715</v>
      </c>
      <c r="B72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2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2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2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2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22" s="43">
        <f ca="1">NOW()-'LOS TIEMPOS'!$K$2</f>
        <v>42368.075526157409</v>
      </c>
    </row>
    <row r="723" spans="1:7" x14ac:dyDescent="0.2">
      <c r="A723" s="13">
        <f t="shared" si="11"/>
        <v>716</v>
      </c>
      <c r="B72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2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2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2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2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23" s="43">
        <f ca="1">NOW()-'LOS TIEMPOS'!$K$2</f>
        <v>42368.075526157409</v>
      </c>
    </row>
    <row r="724" spans="1:7" x14ac:dyDescent="0.2">
      <c r="A724" s="13">
        <f t="shared" si="11"/>
        <v>717</v>
      </c>
      <c r="B72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2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2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2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2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24" s="43">
        <f ca="1">NOW()-'LOS TIEMPOS'!$K$2</f>
        <v>42368.075526157409</v>
      </c>
    </row>
    <row r="725" spans="1:7" x14ac:dyDescent="0.2">
      <c r="A725" s="13">
        <f t="shared" si="11"/>
        <v>718</v>
      </c>
      <c r="B72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2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2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2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2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25" s="43">
        <f ca="1">NOW()-'LOS TIEMPOS'!$K$2</f>
        <v>42368.075526157409</v>
      </c>
    </row>
    <row r="726" spans="1:7" x14ac:dyDescent="0.2">
      <c r="A726" s="13">
        <f t="shared" si="11"/>
        <v>719</v>
      </c>
      <c r="B72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2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2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2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2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26" s="43">
        <f ca="1">NOW()-'LOS TIEMPOS'!$K$2</f>
        <v>42368.075526157409</v>
      </c>
    </row>
    <row r="727" spans="1:7" x14ac:dyDescent="0.2">
      <c r="A727" s="13">
        <f t="shared" si="11"/>
        <v>720</v>
      </c>
      <c r="B72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2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2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2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2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27" s="43">
        <f ca="1">NOW()-'LOS TIEMPOS'!$K$2</f>
        <v>42368.075526157409</v>
      </c>
    </row>
    <row r="728" spans="1:7" x14ac:dyDescent="0.2">
      <c r="A728" s="13">
        <f t="shared" si="11"/>
        <v>721</v>
      </c>
      <c r="B72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2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2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2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2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28" s="43">
        <f ca="1">NOW()-'LOS TIEMPOS'!$K$2</f>
        <v>42368.075526157409</v>
      </c>
    </row>
    <row r="729" spans="1:7" x14ac:dyDescent="0.2">
      <c r="A729" s="13">
        <f t="shared" si="11"/>
        <v>722</v>
      </c>
      <c r="B72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2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2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2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2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29" s="43">
        <f ca="1">NOW()-'LOS TIEMPOS'!$K$2</f>
        <v>42368.075526157409</v>
      </c>
    </row>
    <row r="730" spans="1:7" x14ac:dyDescent="0.2">
      <c r="A730" s="13">
        <f t="shared" si="11"/>
        <v>723</v>
      </c>
      <c r="B73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3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3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3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3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30" s="43">
        <f ca="1">NOW()-'LOS TIEMPOS'!$K$2</f>
        <v>42368.075526157409</v>
      </c>
    </row>
    <row r="731" spans="1:7" x14ac:dyDescent="0.2">
      <c r="A731" s="13">
        <f t="shared" si="11"/>
        <v>724</v>
      </c>
      <c r="B73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3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3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3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3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31" s="43">
        <f ca="1">NOW()-'LOS TIEMPOS'!$K$2</f>
        <v>42368.075526157409</v>
      </c>
    </row>
    <row r="732" spans="1:7" x14ac:dyDescent="0.2">
      <c r="A732" s="13">
        <f t="shared" si="11"/>
        <v>725</v>
      </c>
      <c r="B73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3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3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3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3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32" s="43">
        <f ca="1">NOW()-'LOS TIEMPOS'!$K$2</f>
        <v>42368.075526157409</v>
      </c>
    </row>
    <row r="733" spans="1:7" x14ac:dyDescent="0.2">
      <c r="A733" s="13">
        <f t="shared" si="11"/>
        <v>726</v>
      </c>
      <c r="B73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3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3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3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3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33" s="43">
        <f ca="1">NOW()-'LOS TIEMPOS'!$K$2</f>
        <v>42368.075526157409</v>
      </c>
    </row>
    <row r="734" spans="1:7" x14ac:dyDescent="0.2">
      <c r="A734" s="13">
        <f t="shared" si="11"/>
        <v>727</v>
      </c>
      <c r="B73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3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3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3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3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34" s="43">
        <f ca="1">NOW()-'LOS TIEMPOS'!$K$2</f>
        <v>42368.075526157409</v>
      </c>
    </row>
    <row r="735" spans="1:7" x14ac:dyDescent="0.2">
      <c r="A735" s="13">
        <f t="shared" si="11"/>
        <v>728</v>
      </c>
      <c r="B73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3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3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3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3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35" s="43">
        <f ca="1">NOW()-'LOS TIEMPOS'!$K$2</f>
        <v>42368.075526157409</v>
      </c>
    </row>
    <row r="736" spans="1:7" x14ac:dyDescent="0.2">
      <c r="A736" s="13">
        <f t="shared" si="11"/>
        <v>729</v>
      </c>
      <c r="B73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3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3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3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3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36" s="43">
        <f ca="1">NOW()-'LOS TIEMPOS'!$K$2</f>
        <v>42368.075526157409</v>
      </c>
    </row>
    <row r="737" spans="1:7" x14ac:dyDescent="0.2">
      <c r="A737" s="13">
        <f t="shared" si="11"/>
        <v>730</v>
      </c>
      <c r="B73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3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3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3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3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37" s="43">
        <f ca="1">NOW()-'LOS TIEMPOS'!$K$2</f>
        <v>42368.075526157409</v>
      </c>
    </row>
    <row r="738" spans="1:7" x14ac:dyDescent="0.2">
      <c r="A738" s="13">
        <f t="shared" si="11"/>
        <v>731</v>
      </c>
      <c r="B73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3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3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3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3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38" s="43">
        <f ca="1">NOW()-'LOS TIEMPOS'!$K$2</f>
        <v>42368.075526157409</v>
      </c>
    </row>
    <row r="739" spans="1:7" x14ac:dyDescent="0.2">
      <c r="A739" s="13">
        <f t="shared" si="11"/>
        <v>732</v>
      </c>
      <c r="B73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3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3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3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3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39" s="43">
        <f ca="1">NOW()-'LOS TIEMPOS'!$K$2</f>
        <v>42368.075526157409</v>
      </c>
    </row>
    <row r="740" spans="1:7" x14ac:dyDescent="0.2">
      <c r="A740" s="13">
        <f t="shared" si="11"/>
        <v>733</v>
      </c>
      <c r="B74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4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4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4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4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40" s="43">
        <f ca="1">NOW()-'LOS TIEMPOS'!$K$2</f>
        <v>42368.075526157409</v>
      </c>
    </row>
    <row r="741" spans="1:7" x14ac:dyDescent="0.2">
      <c r="A741" s="13">
        <f t="shared" si="11"/>
        <v>734</v>
      </c>
      <c r="B74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4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4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4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4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41" s="43">
        <f ca="1">NOW()-'LOS TIEMPOS'!$K$2</f>
        <v>42368.075526157409</v>
      </c>
    </row>
    <row r="742" spans="1:7" x14ac:dyDescent="0.2">
      <c r="A742" s="13">
        <f t="shared" si="11"/>
        <v>735</v>
      </c>
      <c r="B74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4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4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4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4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42" s="43">
        <f ca="1">NOW()-'LOS TIEMPOS'!$K$2</f>
        <v>42368.075526157409</v>
      </c>
    </row>
    <row r="743" spans="1:7" x14ac:dyDescent="0.2">
      <c r="A743" s="13">
        <f t="shared" si="11"/>
        <v>736</v>
      </c>
      <c r="B74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4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4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4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4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43" s="43">
        <f ca="1">NOW()-'LOS TIEMPOS'!$K$2</f>
        <v>42368.075526157409</v>
      </c>
    </row>
    <row r="744" spans="1:7" x14ac:dyDescent="0.2">
      <c r="A744" s="13">
        <f t="shared" si="11"/>
        <v>737</v>
      </c>
      <c r="B74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4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4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4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4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44" s="43">
        <f ca="1">NOW()-'LOS TIEMPOS'!$K$2</f>
        <v>42368.075526157409</v>
      </c>
    </row>
    <row r="745" spans="1:7" x14ac:dyDescent="0.2">
      <c r="A745" s="13">
        <f t="shared" si="11"/>
        <v>738</v>
      </c>
      <c r="B74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4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4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4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4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45" s="43">
        <f ca="1">NOW()-'LOS TIEMPOS'!$K$2</f>
        <v>42368.075526157409</v>
      </c>
    </row>
    <row r="746" spans="1:7" x14ac:dyDescent="0.2">
      <c r="A746" s="13">
        <f t="shared" si="11"/>
        <v>739</v>
      </c>
      <c r="B74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4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4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4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4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46" s="43">
        <f ca="1">NOW()-'LOS TIEMPOS'!$K$2</f>
        <v>42368.075526157409</v>
      </c>
    </row>
    <row r="747" spans="1:7" x14ac:dyDescent="0.2">
      <c r="A747" s="13">
        <f t="shared" si="11"/>
        <v>740</v>
      </c>
      <c r="B74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4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4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4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4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47" s="43">
        <f ca="1">NOW()-'LOS TIEMPOS'!$K$2</f>
        <v>42368.075526157409</v>
      </c>
    </row>
    <row r="748" spans="1:7" x14ac:dyDescent="0.2">
      <c r="A748" s="13">
        <f t="shared" si="11"/>
        <v>741</v>
      </c>
      <c r="B74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4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4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4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4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48" s="43">
        <f ca="1">NOW()-'LOS TIEMPOS'!$K$2</f>
        <v>42368.075526157409</v>
      </c>
    </row>
    <row r="749" spans="1:7" x14ac:dyDescent="0.2">
      <c r="A749" s="13">
        <f t="shared" si="11"/>
        <v>742</v>
      </c>
      <c r="B74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4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4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4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4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49" s="43">
        <f ca="1">NOW()-'LOS TIEMPOS'!$K$2</f>
        <v>42368.075526157409</v>
      </c>
    </row>
    <row r="750" spans="1:7" x14ac:dyDescent="0.2">
      <c r="A750" s="13">
        <f t="shared" si="11"/>
        <v>743</v>
      </c>
      <c r="B75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5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5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5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5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50" s="43">
        <f ca="1">NOW()-'LOS TIEMPOS'!$K$2</f>
        <v>42368.075526157409</v>
      </c>
    </row>
    <row r="751" spans="1:7" x14ac:dyDescent="0.2">
      <c r="A751" s="13">
        <f t="shared" si="11"/>
        <v>744</v>
      </c>
      <c r="B75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5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5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5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5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51" s="43">
        <f ca="1">NOW()-'LOS TIEMPOS'!$K$2</f>
        <v>42368.075526157409</v>
      </c>
    </row>
    <row r="752" spans="1:7" x14ac:dyDescent="0.2">
      <c r="A752" s="13">
        <f t="shared" si="11"/>
        <v>745</v>
      </c>
      <c r="B75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5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5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5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5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52" s="43">
        <f ca="1">NOW()-'LOS TIEMPOS'!$K$2</f>
        <v>42368.075526157409</v>
      </c>
    </row>
    <row r="753" spans="1:7" x14ac:dyDescent="0.2">
      <c r="A753" s="13">
        <f t="shared" si="11"/>
        <v>746</v>
      </c>
      <c r="B75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5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5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5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5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53" s="43">
        <f ca="1">NOW()-'LOS TIEMPOS'!$K$2</f>
        <v>42368.075526157409</v>
      </c>
    </row>
    <row r="754" spans="1:7" x14ac:dyDescent="0.2">
      <c r="A754" s="13">
        <f t="shared" si="11"/>
        <v>747</v>
      </c>
      <c r="B75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5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5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5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5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54" s="43">
        <f ca="1">NOW()-'LOS TIEMPOS'!$K$2</f>
        <v>42368.075526157409</v>
      </c>
    </row>
    <row r="755" spans="1:7" x14ac:dyDescent="0.2">
      <c r="A755" s="13">
        <f t="shared" si="11"/>
        <v>748</v>
      </c>
      <c r="B75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5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5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5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5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55" s="43">
        <f ca="1">NOW()-'LOS TIEMPOS'!$K$2</f>
        <v>42368.075526157409</v>
      </c>
    </row>
    <row r="756" spans="1:7" x14ac:dyDescent="0.2">
      <c r="A756" s="13">
        <f t="shared" si="11"/>
        <v>749</v>
      </c>
      <c r="B75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5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5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5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5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56" s="43">
        <f ca="1">NOW()-'LOS TIEMPOS'!$K$2</f>
        <v>42368.075526157409</v>
      </c>
    </row>
    <row r="757" spans="1:7" x14ac:dyDescent="0.2">
      <c r="A757" s="13">
        <f t="shared" si="11"/>
        <v>750</v>
      </c>
      <c r="B75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5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5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5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5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57" s="43">
        <f ca="1">NOW()-'LOS TIEMPOS'!$K$2</f>
        <v>42368.075526157409</v>
      </c>
    </row>
    <row r="758" spans="1:7" x14ac:dyDescent="0.2">
      <c r="A758" s="13">
        <f t="shared" si="11"/>
        <v>751</v>
      </c>
      <c r="B75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5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5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5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5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58" s="43">
        <f ca="1">NOW()-'LOS TIEMPOS'!$K$2</f>
        <v>42368.075526157409</v>
      </c>
    </row>
    <row r="759" spans="1:7" x14ac:dyDescent="0.2">
      <c r="A759" s="13">
        <f t="shared" si="11"/>
        <v>752</v>
      </c>
      <c r="B75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5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5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5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5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59" s="43">
        <f ca="1">NOW()-'LOS TIEMPOS'!$K$2</f>
        <v>42368.075526157409</v>
      </c>
    </row>
    <row r="760" spans="1:7" x14ac:dyDescent="0.2">
      <c r="A760" s="13">
        <f t="shared" si="11"/>
        <v>753</v>
      </c>
      <c r="B76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6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6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6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6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60" s="43">
        <f ca="1">NOW()-'LOS TIEMPOS'!$K$2</f>
        <v>42368.075526157409</v>
      </c>
    </row>
    <row r="761" spans="1:7" x14ac:dyDescent="0.2">
      <c r="A761" s="13">
        <f t="shared" si="11"/>
        <v>754</v>
      </c>
      <c r="B76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6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6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6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6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61" s="43">
        <f ca="1">NOW()-'LOS TIEMPOS'!$K$2</f>
        <v>42368.075526157409</v>
      </c>
    </row>
    <row r="762" spans="1:7" x14ac:dyDescent="0.2">
      <c r="A762" s="13">
        <f t="shared" si="11"/>
        <v>755</v>
      </c>
      <c r="B76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6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6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6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6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62" s="43">
        <f ca="1">NOW()-'LOS TIEMPOS'!$K$2</f>
        <v>42368.075526157409</v>
      </c>
    </row>
    <row r="763" spans="1:7" x14ac:dyDescent="0.2">
      <c r="A763" s="13">
        <f t="shared" si="11"/>
        <v>756</v>
      </c>
      <c r="B76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6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6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6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6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63" s="43">
        <f ca="1">NOW()-'LOS TIEMPOS'!$K$2</f>
        <v>42368.075526157409</v>
      </c>
    </row>
    <row r="764" spans="1:7" x14ac:dyDescent="0.2">
      <c r="A764" s="13">
        <f t="shared" si="11"/>
        <v>757</v>
      </c>
      <c r="B76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6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6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6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6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64" s="43">
        <f ca="1">NOW()-'LOS TIEMPOS'!$K$2</f>
        <v>42368.075526157409</v>
      </c>
    </row>
    <row r="765" spans="1:7" x14ac:dyDescent="0.2">
      <c r="A765" s="13">
        <f t="shared" si="11"/>
        <v>758</v>
      </c>
      <c r="B76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6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6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6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6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65" s="43">
        <f ca="1">NOW()-'LOS TIEMPOS'!$K$2</f>
        <v>42368.075526157409</v>
      </c>
    </row>
    <row r="766" spans="1:7" x14ac:dyDescent="0.2">
      <c r="A766" s="13">
        <f t="shared" si="11"/>
        <v>759</v>
      </c>
      <c r="B76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6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6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6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6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66" s="43">
        <f ca="1">NOW()-'LOS TIEMPOS'!$K$2</f>
        <v>42368.075526157409</v>
      </c>
    </row>
    <row r="767" spans="1:7" x14ac:dyDescent="0.2">
      <c r="A767" s="13">
        <f t="shared" si="11"/>
        <v>760</v>
      </c>
      <c r="B76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6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6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6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6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67" s="43">
        <f ca="1">NOW()-'LOS TIEMPOS'!$K$2</f>
        <v>42368.075526157409</v>
      </c>
    </row>
    <row r="768" spans="1:7" x14ac:dyDescent="0.2">
      <c r="A768" s="13">
        <f t="shared" si="11"/>
        <v>761</v>
      </c>
      <c r="B76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6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6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6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6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68" s="43">
        <f ca="1">NOW()-'LOS TIEMPOS'!$K$2</f>
        <v>42368.075526157409</v>
      </c>
    </row>
    <row r="769" spans="1:7" x14ac:dyDescent="0.2">
      <c r="A769" s="13">
        <f t="shared" si="11"/>
        <v>762</v>
      </c>
      <c r="B76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6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6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6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6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69" s="43">
        <f ca="1">NOW()-'LOS TIEMPOS'!$K$2</f>
        <v>42368.075526157409</v>
      </c>
    </row>
    <row r="770" spans="1:7" x14ac:dyDescent="0.2">
      <c r="A770" s="13">
        <f t="shared" si="11"/>
        <v>763</v>
      </c>
      <c r="B77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7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7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7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7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70" s="43">
        <f ca="1">NOW()-'LOS TIEMPOS'!$K$2</f>
        <v>42368.075526157409</v>
      </c>
    </row>
    <row r="771" spans="1:7" x14ac:dyDescent="0.2">
      <c r="A771" s="13">
        <f t="shared" si="11"/>
        <v>764</v>
      </c>
      <c r="B77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7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7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7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7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71" s="43">
        <f ca="1">NOW()-'LOS TIEMPOS'!$K$2</f>
        <v>42368.075526157409</v>
      </c>
    </row>
    <row r="772" spans="1:7" x14ac:dyDescent="0.2">
      <c r="A772" s="13">
        <f t="shared" si="11"/>
        <v>765</v>
      </c>
      <c r="B77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7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7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7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7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72" s="43">
        <f ca="1">NOW()-'LOS TIEMPOS'!$K$2</f>
        <v>42368.075526157409</v>
      </c>
    </row>
    <row r="773" spans="1:7" x14ac:dyDescent="0.2">
      <c r="A773" s="13">
        <f t="shared" si="11"/>
        <v>766</v>
      </c>
      <c r="B77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7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7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7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7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73" s="43">
        <f ca="1">NOW()-'LOS TIEMPOS'!$K$2</f>
        <v>42368.075526157409</v>
      </c>
    </row>
    <row r="774" spans="1:7" x14ac:dyDescent="0.2">
      <c r="A774" s="13">
        <f t="shared" si="11"/>
        <v>767</v>
      </c>
      <c r="B77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7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7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7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7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74" s="43">
        <f ca="1">NOW()-'LOS TIEMPOS'!$K$2</f>
        <v>42368.075526157409</v>
      </c>
    </row>
    <row r="775" spans="1:7" x14ac:dyDescent="0.2">
      <c r="A775" s="13">
        <f t="shared" si="11"/>
        <v>768</v>
      </c>
      <c r="B77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7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7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7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7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75" s="43">
        <f ca="1">NOW()-'LOS TIEMPOS'!$K$2</f>
        <v>42368.075526157409</v>
      </c>
    </row>
    <row r="776" spans="1:7" x14ac:dyDescent="0.2">
      <c r="A776" s="13">
        <f t="shared" ref="A776:A839" si="12">ROW()-7</f>
        <v>769</v>
      </c>
      <c r="B77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7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7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7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7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76" s="43">
        <f ca="1">NOW()-'LOS TIEMPOS'!$K$2</f>
        <v>42368.075526157409</v>
      </c>
    </row>
    <row r="777" spans="1:7" x14ac:dyDescent="0.2">
      <c r="A777" s="13">
        <f t="shared" si="12"/>
        <v>770</v>
      </c>
      <c r="B77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7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7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7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7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77" s="43">
        <f ca="1">NOW()-'LOS TIEMPOS'!$K$2</f>
        <v>42368.075526157409</v>
      </c>
    </row>
    <row r="778" spans="1:7" x14ac:dyDescent="0.2">
      <c r="A778" s="13">
        <f t="shared" si="12"/>
        <v>771</v>
      </c>
      <c r="B77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7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7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7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7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78" s="43">
        <f ca="1">NOW()-'LOS TIEMPOS'!$K$2</f>
        <v>42368.075526157409</v>
      </c>
    </row>
    <row r="779" spans="1:7" x14ac:dyDescent="0.2">
      <c r="A779" s="13">
        <f t="shared" si="12"/>
        <v>772</v>
      </c>
      <c r="B77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7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7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7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7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79" s="43">
        <f ca="1">NOW()-'LOS TIEMPOS'!$K$2</f>
        <v>42368.075526157409</v>
      </c>
    </row>
    <row r="780" spans="1:7" x14ac:dyDescent="0.2">
      <c r="A780" s="13">
        <f t="shared" si="12"/>
        <v>773</v>
      </c>
      <c r="B78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8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8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8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8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80" s="43">
        <f ca="1">NOW()-'LOS TIEMPOS'!$K$2</f>
        <v>42368.075526157409</v>
      </c>
    </row>
    <row r="781" spans="1:7" x14ac:dyDescent="0.2">
      <c r="A781" s="13">
        <f t="shared" si="12"/>
        <v>774</v>
      </c>
      <c r="B78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8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8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8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8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81" s="43">
        <f ca="1">NOW()-'LOS TIEMPOS'!$K$2</f>
        <v>42368.075526157409</v>
      </c>
    </row>
    <row r="782" spans="1:7" x14ac:dyDescent="0.2">
      <c r="A782" s="13">
        <f t="shared" si="12"/>
        <v>775</v>
      </c>
      <c r="B78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8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8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8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8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82" s="43">
        <f ca="1">NOW()-'LOS TIEMPOS'!$K$2</f>
        <v>42368.075526157409</v>
      </c>
    </row>
    <row r="783" spans="1:7" x14ac:dyDescent="0.2">
      <c r="A783" s="13">
        <f t="shared" si="12"/>
        <v>776</v>
      </c>
      <c r="B78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8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8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8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8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83" s="43">
        <f ca="1">NOW()-'LOS TIEMPOS'!$K$2</f>
        <v>42368.075526157409</v>
      </c>
    </row>
    <row r="784" spans="1:7" x14ac:dyDescent="0.2">
      <c r="A784" s="13">
        <f t="shared" si="12"/>
        <v>777</v>
      </c>
      <c r="B78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8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8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8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8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84" s="43">
        <f ca="1">NOW()-'LOS TIEMPOS'!$K$2</f>
        <v>42368.075526157409</v>
      </c>
    </row>
    <row r="785" spans="1:7" x14ac:dyDescent="0.2">
      <c r="A785" s="13">
        <f t="shared" si="12"/>
        <v>778</v>
      </c>
      <c r="B78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8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8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8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8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85" s="43">
        <f ca="1">NOW()-'LOS TIEMPOS'!$K$2</f>
        <v>42368.075526157409</v>
      </c>
    </row>
    <row r="786" spans="1:7" x14ac:dyDescent="0.2">
      <c r="A786" s="13">
        <f t="shared" si="12"/>
        <v>779</v>
      </c>
      <c r="B78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8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8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8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8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86" s="43">
        <f ca="1">NOW()-'LOS TIEMPOS'!$K$2</f>
        <v>42368.075526157409</v>
      </c>
    </row>
    <row r="787" spans="1:7" x14ac:dyDescent="0.2">
      <c r="A787" s="13">
        <f t="shared" si="12"/>
        <v>780</v>
      </c>
      <c r="B78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8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8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8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8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87" s="43">
        <f ca="1">NOW()-'LOS TIEMPOS'!$K$2</f>
        <v>42368.075526157409</v>
      </c>
    </row>
    <row r="788" spans="1:7" x14ac:dyDescent="0.2">
      <c r="A788" s="13">
        <f t="shared" si="12"/>
        <v>781</v>
      </c>
      <c r="B78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8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8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8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8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88" s="43">
        <f ca="1">NOW()-'LOS TIEMPOS'!$K$2</f>
        <v>42368.075526157409</v>
      </c>
    </row>
    <row r="789" spans="1:7" x14ac:dyDescent="0.2">
      <c r="A789" s="13">
        <f t="shared" si="12"/>
        <v>782</v>
      </c>
      <c r="B78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8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8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8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8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89" s="43">
        <f ca="1">NOW()-'LOS TIEMPOS'!$K$2</f>
        <v>42368.075526157409</v>
      </c>
    </row>
    <row r="790" spans="1:7" x14ac:dyDescent="0.2">
      <c r="A790" s="13">
        <f t="shared" si="12"/>
        <v>783</v>
      </c>
      <c r="B79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9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9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9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9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90" s="43">
        <f ca="1">NOW()-'LOS TIEMPOS'!$K$2</f>
        <v>42368.075526157409</v>
      </c>
    </row>
    <row r="791" spans="1:7" x14ac:dyDescent="0.2">
      <c r="A791" s="13">
        <f t="shared" si="12"/>
        <v>784</v>
      </c>
      <c r="B79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9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9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9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9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91" s="43">
        <f ca="1">NOW()-'LOS TIEMPOS'!$K$2</f>
        <v>42368.075526157409</v>
      </c>
    </row>
    <row r="792" spans="1:7" x14ac:dyDescent="0.2">
      <c r="A792" s="13">
        <f t="shared" si="12"/>
        <v>785</v>
      </c>
      <c r="B79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9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9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9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9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92" s="43">
        <f ca="1">NOW()-'LOS TIEMPOS'!$K$2</f>
        <v>42368.075526157409</v>
      </c>
    </row>
    <row r="793" spans="1:7" x14ac:dyDescent="0.2">
      <c r="A793" s="13">
        <f t="shared" si="12"/>
        <v>786</v>
      </c>
      <c r="B79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9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9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9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9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93" s="43">
        <f ca="1">NOW()-'LOS TIEMPOS'!$K$2</f>
        <v>42368.075526157409</v>
      </c>
    </row>
    <row r="794" spans="1:7" x14ac:dyDescent="0.2">
      <c r="A794" s="13">
        <f t="shared" si="12"/>
        <v>787</v>
      </c>
      <c r="B79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9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9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9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9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94" s="43">
        <f ca="1">NOW()-'LOS TIEMPOS'!$K$2</f>
        <v>42368.075526157409</v>
      </c>
    </row>
    <row r="795" spans="1:7" x14ac:dyDescent="0.2">
      <c r="A795" s="13">
        <f t="shared" si="12"/>
        <v>788</v>
      </c>
      <c r="B79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9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9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9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9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95" s="43">
        <f ca="1">NOW()-'LOS TIEMPOS'!$K$2</f>
        <v>42368.075526157409</v>
      </c>
    </row>
    <row r="796" spans="1:7" x14ac:dyDescent="0.2">
      <c r="A796" s="13">
        <f t="shared" si="12"/>
        <v>789</v>
      </c>
      <c r="B79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9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9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9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9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96" s="43">
        <f ca="1">NOW()-'LOS TIEMPOS'!$K$2</f>
        <v>42368.075526157409</v>
      </c>
    </row>
    <row r="797" spans="1:7" x14ac:dyDescent="0.2">
      <c r="A797" s="13">
        <f t="shared" si="12"/>
        <v>790</v>
      </c>
      <c r="B79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9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9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9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9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97" s="43">
        <f ca="1">NOW()-'LOS TIEMPOS'!$K$2</f>
        <v>42368.075526157409</v>
      </c>
    </row>
    <row r="798" spans="1:7" x14ac:dyDescent="0.2">
      <c r="A798" s="13">
        <f t="shared" si="12"/>
        <v>791</v>
      </c>
      <c r="B79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9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9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9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9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98" s="43">
        <f ca="1">NOW()-'LOS TIEMPOS'!$K$2</f>
        <v>42368.075526157409</v>
      </c>
    </row>
    <row r="799" spans="1:7" x14ac:dyDescent="0.2">
      <c r="A799" s="13">
        <f t="shared" si="12"/>
        <v>792</v>
      </c>
      <c r="B79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79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79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79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79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799" s="43">
        <f ca="1">NOW()-'LOS TIEMPOS'!$K$2</f>
        <v>42368.075526157409</v>
      </c>
    </row>
    <row r="800" spans="1:7" x14ac:dyDescent="0.2">
      <c r="A800" s="13">
        <f t="shared" si="12"/>
        <v>793</v>
      </c>
      <c r="B80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0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0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0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0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00" s="43">
        <f ca="1">NOW()-'LOS TIEMPOS'!$K$2</f>
        <v>42368.075526157409</v>
      </c>
    </row>
    <row r="801" spans="1:7" x14ac:dyDescent="0.2">
      <c r="A801" s="13">
        <f t="shared" si="12"/>
        <v>794</v>
      </c>
      <c r="B80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0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0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0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0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01" s="43">
        <f ca="1">NOW()-'LOS TIEMPOS'!$K$2</f>
        <v>42368.075526157409</v>
      </c>
    </row>
    <row r="802" spans="1:7" x14ac:dyDescent="0.2">
      <c r="A802" s="13">
        <f t="shared" si="12"/>
        <v>795</v>
      </c>
      <c r="B80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0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0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0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0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02" s="43">
        <f ca="1">NOW()-'LOS TIEMPOS'!$K$2</f>
        <v>42368.075526157409</v>
      </c>
    </row>
    <row r="803" spans="1:7" x14ac:dyDescent="0.2">
      <c r="A803" s="13">
        <f t="shared" si="12"/>
        <v>796</v>
      </c>
      <c r="B80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0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0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0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0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03" s="43">
        <f ca="1">NOW()-'LOS TIEMPOS'!$K$2</f>
        <v>42368.075526157409</v>
      </c>
    </row>
    <row r="804" spans="1:7" x14ac:dyDescent="0.2">
      <c r="A804" s="13">
        <f t="shared" si="12"/>
        <v>797</v>
      </c>
      <c r="B80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0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0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0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0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04" s="43">
        <f ca="1">NOW()-'LOS TIEMPOS'!$K$2</f>
        <v>42368.075526157409</v>
      </c>
    </row>
    <row r="805" spans="1:7" x14ac:dyDescent="0.2">
      <c r="A805" s="13">
        <f t="shared" si="12"/>
        <v>798</v>
      </c>
      <c r="B80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0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0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0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0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05" s="43">
        <f ca="1">NOW()-'LOS TIEMPOS'!$K$2</f>
        <v>42368.075526157409</v>
      </c>
    </row>
    <row r="806" spans="1:7" x14ac:dyDescent="0.2">
      <c r="A806" s="13">
        <f t="shared" si="12"/>
        <v>799</v>
      </c>
      <c r="B80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0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0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0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0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06" s="43">
        <f ca="1">NOW()-'LOS TIEMPOS'!$K$2</f>
        <v>42368.075526157409</v>
      </c>
    </row>
    <row r="807" spans="1:7" x14ac:dyDescent="0.2">
      <c r="A807" s="13">
        <f t="shared" si="12"/>
        <v>800</v>
      </c>
      <c r="B80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0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0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0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0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07" s="43">
        <f ca="1">NOW()-'LOS TIEMPOS'!$K$2</f>
        <v>42368.075526157409</v>
      </c>
    </row>
    <row r="808" spans="1:7" x14ac:dyDescent="0.2">
      <c r="A808" s="13">
        <f t="shared" si="12"/>
        <v>801</v>
      </c>
      <c r="B80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0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0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0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0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08" s="43">
        <f ca="1">NOW()-'LOS TIEMPOS'!$K$2</f>
        <v>42368.075526157409</v>
      </c>
    </row>
    <row r="809" spans="1:7" x14ac:dyDescent="0.2">
      <c r="A809" s="13">
        <f t="shared" si="12"/>
        <v>802</v>
      </c>
      <c r="B80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0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0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0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0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09" s="43">
        <f ca="1">NOW()-'LOS TIEMPOS'!$K$2</f>
        <v>42368.075526157409</v>
      </c>
    </row>
    <row r="810" spans="1:7" x14ac:dyDescent="0.2">
      <c r="A810" s="13">
        <f t="shared" si="12"/>
        <v>803</v>
      </c>
      <c r="B81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1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1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1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1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10" s="43">
        <f ca="1">NOW()-'LOS TIEMPOS'!$K$2</f>
        <v>42368.075526157409</v>
      </c>
    </row>
    <row r="811" spans="1:7" x14ac:dyDescent="0.2">
      <c r="A811" s="13">
        <f t="shared" si="12"/>
        <v>804</v>
      </c>
      <c r="B81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1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1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1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1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11" s="43">
        <f ca="1">NOW()-'LOS TIEMPOS'!$K$2</f>
        <v>42368.075526157409</v>
      </c>
    </row>
    <row r="812" spans="1:7" x14ac:dyDescent="0.2">
      <c r="A812" s="13">
        <f t="shared" si="12"/>
        <v>805</v>
      </c>
      <c r="B81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1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1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1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1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12" s="43">
        <f ca="1">NOW()-'LOS TIEMPOS'!$K$2</f>
        <v>42368.075526157409</v>
      </c>
    </row>
    <row r="813" spans="1:7" x14ac:dyDescent="0.2">
      <c r="A813" s="13">
        <f t="shared" si="12"/>
        <v>806</v>
      </c>
      <c r="B81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1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1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1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1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13" s="43">
        <f ca="1">NOW()-'LOS TIEMPOS'!$K$2</f>
        <v>42368.075526157409</v>
      </c>
    </row>
    <row r="814" spans="1:7" x14ac:dyDescent="0.2">
      <c r="A814" s="13">
        <f t="shared" si="12"/>
        <v>807</v>
      </c>
      <c r="B81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1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1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1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1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14" s="43">
        <f ca="1">NOW()-'LOS TIEMPOS'!$K$2</f>
        <v>42368.075526157409</v>
      </c>
    </row>
    <row r="815" spans="1:7" x14ac:dyDescent="0.2">
      <c r="A815" s="13">
        <f t="shared" si="12"/>
        <v>808</v>
      </c>
      <c r="B81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1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1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1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1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15" s="43">
        <f ca="1">NOW()-'LOS TIEMPOS'!$K$2</f>
        <v>42368.075526157409</v>
      </c>
    </row>
    <row r="816" spans="1:7" x14ac:dyDescent="0.2">
      <c r="A816" s="13">
        <f t="shared" si="12"/>
        <v>809</v>
      </c>
      <c r="B81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1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1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1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1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16" s="43">
        <f ca="1">NOW()-'LOS TIEMPOS'!$K$2</f>
        <v>42368.075526157409</v>
      </c>
    </row>
    <row r="817" spans="1:7" x14ac:dyDescent="0.2">
      <c r="A817" s="13">
        <f t="shared" si="12"/>
        <v>810</v>
      </c>
      <c r="B81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1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1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1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1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17" s="43">
        <f ca="1">NOW()-'LOS TIEMPOS'!$K$2</f>
        <v>42368.075526157409</v>
      </c>
    </row>
    <row r="818" spans="1:7" x14ac:dyDescent="0.2">
      <c r="A818" s="13">
        <f t="shared" si="12"/>
        <v>811</v>
      </c>
      <c r="B81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1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1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1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1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18" s="43">
        <f ca="1">NOW()-'LOS TIEMPOS'!$K$2</f>
        <v>42368.075526157409</v>
      </c>
    </row>
    <row r="819" spans="1:7" x14ac:dyDescent="0.2">
      <c r="A819" s="13">
        <f t="shared" si="12"/>
        <v>812</v>
      </c>
      <c r="B81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1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1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1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1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19" s="43">
        <f ca="1">NOW()-'LOS TIEMPOS'!$K$2</f>
        <v>42368.075526157409</v>
      </c>
    </row>
    <row r="820" spans="1:7" x14ac:dyDescent="0.2">
      <c r="A820" s="13">
        <f t="shared" si="12"/>
        <v>813</v>
      </c>
      <c r="B82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2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2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2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2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20" s="43">
        <f ca="1">NOW()-'LOS TIEMPOS'!$K$2</f>
        <v>42368.075526157409</v>
      </c>
    </row>
    <row r="821" spans="1:7" x14ac:dyDescent="0.2">
      <c r="A821" s="13">
        <f t="shared" si="12"/>
        <v>814</v>
      </c>
      <c r="B82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2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2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2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2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21" s="43">
        <f ca="1">NOW()-'LOS TIEMPOS'!$K$2</f>
        <v>42368.075526157409</v>
      </c>
    </row>
    <row r="822" spans="1:7" x14ac:dyDescent="0.2">
      <c r="A822" s="13">
        <f t="shared" si="12"/>
        <v>815</v>
      </c>
      <c r="B82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2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2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2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2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22" s="43">
        <f ca="1">NOW()-'LOS TIEMPOS'!$K$2</f>
        <v>42368.075526157409</v>
      </c>
    </row>
    <row r="823" spans="1:7" x14ac:dyDescent="0.2">
      <c r="A823" s="13">
        <f t="shared" si="12"/>
        <v>816</v>
      </c>
      <c r="B82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2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2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2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2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23" s="43">
        <f ca="1">NOW()-'LOS TIEMPOS'!$K$2</f>
        <v>42368.075526157409</v>
      </c>
    </row>
    <row r="824" spans="1:7" x14ac:dyDescent="0.2">
      <c r="A824" s="13">
        <f t="shared" si="12"/>
        <v>817</v>
      </c>
      <c r="B82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2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2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2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2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24" s="43">
        <f ca="1">NOW()-'LOS TIEMPOS'!$K$2</f>
        <v>42368.075526157409</v>
      </c>
    </row>
    <row r="825" spans="1:7" x14ac:dyDescent="0.2">
      <c r="A825" s="13">
        <f t="shared" si="12"/>
        <v>818</v>
      </c>
      <c r="B82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2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2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2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2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25" s="43">
        <f ca="1">NOW()-'LOS TIEMPOS'!$K$2</f>
        <v>42368.075526157409</v>
      </c>
    </row>
    <row r="826" spans="1:7" x14ac:dyDescent="0.2">
      <c r="A826" s="13">
        <f t="shared" si="12"/>
        <v>819</v>
      </c>
      <c r="B82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2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2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2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2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26" s="43">
        <f ca="1">NOW()-'LOS TIEMPOS'!$K$2</f>
        <v>42368.075526157409</v>
      </c>
    </row>
    <row r="827" spans="1:7" x14ac:dyDescent="0.2">
      <c r="A827" s="13">
        <f t="shared" si="12"/>
        <v>820</v>
      </c>
      <c r="B82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2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2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2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2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27" s="43">
        <f ca="1">NOW()-'LOS TIEMPOS'!$K$2</f>
        <v>42368.075526157409</v>
      </c>
    </row>
    <row r="828" spans="1:7" x14ac:dyDescent="0.2">
      <c r="A828" s="13">
        <f t="shared" si="12"/>
        <v>821</v>
      </c>
      <c r="B82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2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2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2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2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28" s="43">
        <f ca="1">NOW()-'LOS TIEMPOS'!$K$2</f>
        <v>42368.075526157409</v>
      </c>
    </row>
    <row r="829" spans="1:7" x14ac:dyDescent="0.2">
      <c r="A829" s="13">
        <f t="shared" si="12"/>
        <v>822</v>
      </c>
      <c r="B82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2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2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2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2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29" s="43">
        <f ca="1">NOW()-'LOS TIEMPOS'!$K$2</f>
        <v>42368.075526157409</v>
      </c>
    </row>
    <row r="830" spans="1:7" x14ac:dyDescent="0.2">
      <c r="A830" s="13">
        <f t="shared" si="12"/>
        <v>823</v>
      </c>
      <c r="B83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3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3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3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3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30" s="43">
        <f ca="1">NOW()-'LOS TIEMPOS'!$K$2</f>
        <v>42368.075526157409</v>
      </c>
    </row>
    <row r="831" spans="1:7" x14ac:dyDescent="0.2">
      <c r="A831" s="13">
        <f t="shared" si="12"/>
        <v>824</v>
      </c>
      <c r="B83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3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3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3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3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31" s="43">
        <f ca="1">NOW()-'LOS TIEMPOS'!$K$2</f>
        <v>42368.075526157409</v>
      </c>
    </row>
    <row r="832" spans="1:7" x14ac:dyDescent="0.2">
      <c r="A832" s="13">
        <f t="shared" si="12"/>
        <v>825</v>
      </c>
      <c r="B83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3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3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3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3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32" s="43">
        <f ca="1">NOW()-'LOS TIEMPOS'!$K$2</f>
        <v>42368.075526157409</v>
      </c>
    </row>
    <row r="833" spans="1:7" x14ac:dyDescent="0.2">
      <c r="A833" s="13">
        <f t="shared" si="12"/>
        <v>826</v>
      </c>
      <c r="B83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3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3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3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3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33" s="43">
        <f ca="1">NOW()-'LOS TIEMPOS'!$K$2</f>
        <v>42368.075526157409</v>
      </c>
    </row>
    <row r="834" spans="1:7" x14ac:dyDescent="0.2">
      <c r="A834" s="13">
        <f t="shared" si="12"/>
        <v>827</v>
      </c>
      <c r="B83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3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3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3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3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34" s="43">
        <f ca="1">NOW()-'LOS TIEMPOS'!$K$2</f>
        <v>42368.075526157409</v>
      </c>
    </row>
    <row r="835" spans="1:7" x14ac:dyDescent="0.2">
      <c r="A835" s="13">
        <f t="shared" si="12"/>
        <v>828</v>
      </c>
      <c r="B83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3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3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3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3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35" s="43">
        <f ca="1">NOW()-'LOS TIEMPOS'!$K$2</f>
        <v>42368.075526157409</v>
      </c>
    </row>
    <row r="836" spans="1:7" x14ac:dyDescent="0.2">
      <c r="A836" s="13">
        <f t="shared" si="12"/>
        <v>829</v>
      </c>
      <c r="B83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3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3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3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3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36" s="43">
        <f ca="1">NOW()-'LOS TIEMPOS'!$K$2</f>
        <v>42368.075526157409</v>
      </c>
    </row>
    <row r="837" spans="1:7" x14ac:dyDescent="0.2">
      <c r="A837" s="13">
        <f t="shared" si="12"/>
        <v>830</v>
      </c>
      <c r="B83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3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3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3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3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37" s="43">
        <f ca="1">NOW()-'LOS TIEMPOS'!$K$2</f>
        <v>42368.075526157409</v>
      </c>
    </row>
    <row r="838" spans="1:7" x14ac:dyDescent="0.2">
      <c r="A838" s="13">
        <f t="shared" si="12"/>
        <v>831</v>
      </c>
      <c r="B83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3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3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3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3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38" s="43">
        <f ca="1">NOW()-'LOS TIEMPOS'!$K$2</f>
        <v>42368.075526157409</v>
      </c>
    </row>
    <row r="839" spans="1:7" x14ac:dyDescent="0.2">
      <c r="A839" s="13">
        <f t="shared" si="12"/>
        <v>832</v>
      </c>
      <c r="B83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3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3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3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3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39" s="43">
        <f ca="1">NOW()-'LOS TIEMPOS'!$K$2</f>
        <v>42368.075526157409</v>
      </c>
    </row>
    <row r="840" spans="1:7" x14ac:dyDescent="0.2">
      <c r="A840" s="13">
        <f t="shared" ref="A840:A903" si="13">ROW()-7</f>
        <v>833</v>
      </c>
      <c r="B84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4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4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4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4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40" s="43">
        <f ca="1">NOW()-'LOS TIEMPOS'!$K$2</f>
        <v>42368.075526157409</v>
      </c>
    </row>
    <row r="841" spans="1:7" x14ac:dyDescent="0.2">
      <c r="A841" s="13">
        <f t="shared" si="13"/>
        <v>834</v>
      </c>
      <c r="B84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4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4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4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4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41" s="43">
        <f ca="1">NOW()-'LOS TIEMPOS'!$K$2</f>
        <v>42368.075526157409</v>
      </c>
    </row>
    <row r="842" spans="1:7" x14ac:dyDescent="0.2">
      <c r="A842" s="13">
        <f t="shared" si="13"/>
        <v>835</v>
      </c>
      <c r="B84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4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4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4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4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42" s="43">
        <f ca="1">NOW()-'LOS TIEMPOS'!$K$2</f>
        <v>42368.075526157409</v>
      </c>
    </row>
    <row r="843" spans="1:7" x14ac:dyDescent="0.2">
      <c r="A843" s="13">
        <f t="shared" si="13"/>
        <v>836</v>
      </c>
      <c r="B84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4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4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4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4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43" s="43">
        <f ca="1">NOW()-'LOS TIEMPOS'!$K$2</f>
        <v>42368.075526157409</v>
      </c>
    </row>
    <row r="844" spans="1:7" x14ac:dyDescent="0.2">
      <c r="A844" s="13">
        <f t="shared" si="13"/>
        <v>837</v>
      </c>
      <c r="B84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4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4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4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4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44" s="43">
        <f ca="1">NOW()-'LOS TIEMPOS'!$K$2</f>
        <v>42368.075526157409</v>
      </c>
    </row>
    <row r="845" spans="1:7" x14ac:dyDescent="0.2">
      <c r="A845" s="13">
        <f t="shared" si="13"/>
        <v>838</v>
      </c>
      <c r="B84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4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4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4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4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45" s="43">
        <f ca="1">NOW()-'LOS TIEMPOS'!$K$2</f>
        <v>42368.075526157409</v>
      </c>
    </row>
    <row r="846" spans="1:7" x14ac:dyDescent="0.2">
      <c r="A846" s="13">
        <f t="shared" si="13"/>
        <v>839</v>
      </c>
      <c r="B84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4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4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4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4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46" s="43">
        <f ca="1">NOW()-'LOS TIEMPOS'!$K$2</f>
        <v>42368.075526157409</v>
      </c>
    </row>
    <row r="847" spans="1:7" x14ac:dyDescent="0.2">
      <c r="A847" s="13">
        <f t="shared" si="13"/>
        <v>840</v>
      </c>
      <c r="B84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4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4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4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4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47" s="43">
        <f ca="1">NOW()-'LOS TIEMPOS'!$K$2</f>
        <v>42368.075526157409</v>
      </c>
    </row>
    <row r="848" spans="1:7" x14ac:dyDescent="0.2">
      <c r="A848" s="13">
        <f t="shared" si="13"/>
        <v>841</v>
      </c>
      <c r="B84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4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4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4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4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48" s="43">
        <f ca="1">NOW()-'LOS TIEMPOS'!$K$2</f>
        <v>42368.075526157409</v>
      </c>
    </row>
    <row r="849" spans="1:7" x14ac:dyDescent="0.2">
      <c r="A849" s="13">
        <f t="shared" si="13"/>
        <v>842</v>
      </c>
      <c r="B84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4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4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4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4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49" s="43">
        <f ca="1">NOW()-'LOS TIEMPOS'!$K$2</f>
        <v>42368.075526157409</v>
      </c>
    </row>
    <row r="850" spans="1:7" x14ac:dyDescent="0.2">
      <c r="A850" s="13">
        <f t="shared" si="13"/>
        <v>843</v>
      </c>
      <c r="B85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5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5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5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5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50" s="43">
        <f ca="1">NOW()-'LOS TIEMPOS'!$K$2</f>
        <v>42368.075526157409</v>
      </c>
    </row>
    <row r="851" spans="1:7" x14ac:dyDescent="0.2">
      <c r="A851" s="13">
        <f t="shared" si="13"/>
        <v>844</v>
      </c>
      <c r="B85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5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5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5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5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51" s="43">
        <f ca="1">NOW()-'LOS TIEMPOS'!$K$2</f>
        <v>42368.075526157409</v>
      </c>
    </row>
    <row r="852" spans="1:7" x14ac:dyDescent="0.2">
      <c r="A852" s="13">
        <f t="shared" si="13"/>
        <v>845</v>
      </c>
      <c r="B85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5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5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5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5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52" s="43">
        <f ca="1">NOW()-'LOS TIEMPOS'!$K$2</f>
        <v>42368.075526157409</v>
      </c>
    </row>
    <row r="853" spans="1:7" x14ac:dyDescent="0.2">
      <c r="A853" s="13">
        <f t="shared" si="13"/>
        <v>846</v>
      </c>
      <c r="B85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5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5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5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5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53" s="43">
        <f ca="1">NOW()-'LOS TIEMPOS'!$K$2</f>
        <v>42368.075526157409</v>
      </c>
    </row>
    <row r="854" spans="1:7" x14ac:dyDescent="0.2">
      <c r="A854" s="13">
        <f t="shared" si="13"/>
        <v>847</v>
      </c>
      <c r="B85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5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5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5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5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54" s="43">
        <f ca="1">NOW()-'LOS TIEMPOS'!$K$2</f>
        <v>42368.075526157409</v>
      </c>
    </row>
    <row r="855" spans="1:7" x14ac:dyDescent="0.2">
      <c r="A855" s="13">
        <f t="shared" si="13"/>
        <v>848</v>
      </c>
      <c r="B85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5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5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5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5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55" s="43">
        <f ca="1">NOW()-'LOS TIEMPOS'!$K$2</f>
        <v>42368.075526157409</v>
      </c>
    </row>
    <row r="856" spans="1:7" x14ac:dyDescent="0.2">
      <c r="A856" s="13">
        <f t="shared" si="13"/>
        <v>849</v>
      </c>
      <c r="B85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5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5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5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5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56" s="43">
        <f ca="1">NOW()-'LOS TIEMPOS'!$K$2</f>
        <v>42368.075526157409</v>
      </c>
    </row>
    <row r="857" spans="1:7" x14ac:dyDescent="0.2">
      <c r="A857" s="13">
        <f t="shared" si="13"/>
        <v>850</v>
      </c>
      <c r="B85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5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5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5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5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57" s="43">
        <f ca="1">NOW()-'LOS TIEMPOS'!$K$2</f>
        <v>42368.075526157409</v>
      </c>
    </row>
    <row r="858" spans="1:7" x14ac:dyDescent="0.2">
      <c r="A858" s="13">
        <f t="shared" si="13"/>
        <v>851</v>
      </c>
      <c r="B85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5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5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5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5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58" s="43">
        <f ca="1">NOW()-'LOS TIEMPOS'!$K$2</f>
        <v>42368.075526157409</v>
      </c>
    </row>
    <row r="859" spans="1:7" x14ac:dyDescent="0.2">
      <c r="A859" s="13">
        <f t="shared" si="13"/>
        <v>852</v>
      </c>
      <c r="B85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5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5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5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5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59" s="43">
        <f ca="1">NOW()-'LOS TIEMPOS'!$K$2</f>
        <v>42368.075526157409</v>
      </c>
    </row>
    <row r="860" spans="1:7" x14ac:dyDescent="0.2">
      <c r="A860" s="13">
        <f t="shared" si="13"/>
        <v>853</v>
      </c>
      <c r="B86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6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6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6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6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60" s="43">
        <f ca="1">NOW()-'LOS TIEMPOS'!$K$2</f>
        <v>42368.075526157409</v>
      </c>
    </row>
    <row r="861" spans="1:7" x14ac:dyDescent="0.2">
      <c r="A861" s="13">
        <f t="shared" si="13"/>
        <v>854</v>
      </c>
      <c r="B86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6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6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6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6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61" s="43">
        <f ca="1">NOW()-'LOS TIEMPOS'!$K$2</f>
        <v>42368.075526157409</v>
      </c>
    </row>
    <row r="862" spans="1:7" x14ac:dyDescent="0.2">
      <c r="A862" s="13">
        <f t="shared" si="13"/>
        <v>855</v>
      </c>
      <c r="B86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6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6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6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6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62" s="43">
        <f ca="1">NOW()-'LOS TIEMPOS'!$K$2</f>
        <v>42368.075526157409</v>
      </c>
    </row>
    <row r="863" spans="1:7" x14ac:dyDescent="0.2">
      <c r="A863" s="13">
        <f t="shared" si="13"/>
        <v>856</v>
      </c>
      <c r="B86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6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6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6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6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63" s="43">
        <f ca="1">NOW()-'LOS TIEMPOS'!$K$2</f>
        <v>42368.075526157409</v>
      </c>
    </row>
    <row r="864" spans="1:7" x14ac:dyDescent="0.2">
      <c r="A864" s="13">
        <f t="shared" si="13"/>
        <v>857</v>
      </c>
      <c r="B86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6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6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6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6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64" s="43">
        <f ca="1">NOW()-'LOS TIEMPOS'!$K$2</f>
        <v>42368.075526157409</v>
      </c>
    </row>
    <row r="865" spans="1:7" x14ac:dyDescent="0.2">
      <c r="A865" s="13">
        <f t="shared" si="13"/>
        <v>858</v>
      </c>
      <c r="B86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6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6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6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6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65" s="43">
        <f ca="1">NOW()-'LOS TIEMPOS'!$K$2</f>
        <v>42368.075526157409</v>
      </c>
    </row>
    <row r="866" spans="1:7" x14ac:dyDescent="0.2">
      <c r="A866" s="13">
        <f t="shared" si="13"/>
        <v>859</v>
      </c>
      <c r="B86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6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6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6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6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66" s="43">
        <f ca="1">NOW()-'LOS TIEMPOS'!$K$2</f>
        <v>42368.075526157409</v>
      </c>
    </row>
    <row r="867" spans="1:7" x14ac:dyDescent="0.2">
      <c r="A867" s="13">
        <f t="shared" si="13"/>
        <v>860</v>
      </c>
      <c r="B86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6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6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6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6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67" s="43">
        <f ca="1">NOW()-'LOS TIEMPOS'!$K$2</f>
        <v>42368.075526157409</v>
      </c>
    </row>
    <row r="868" spans="1:7" x14ac:dyDescent="0.2">
      <c r="A868" s="13">
        <f t="shared" si="13"/>
        <v>861</v>
      </c>
      <c r="B86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6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6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6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6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68" s="43">
        <f ca="1">NOW()-'LOS TIEMPOS'!$K$2</f>
        <v>42368.075526157409</v>
      </c>
    </row>
    <row r="869" spans="1:7" x14ac:dyDescent="0.2">
      <c r="A869" s="13">
        <f t="shared" si="13"/>
        <v>862</v>
      </c>
      <c r="B86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6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6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6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6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69" s="43">
        <f ca="1">NOW()-'LOS TIEMPOS'!$K$2</f>
        <v>42368.075526157409</v>
      </c>
    </row>
    <row r="870" spans="1:7" x14ac:dyDescent="0.2">
      <c r="A870" s="13">
        <f t="shared" si="13"/>
        <v>863</v>
      </c>
      <c r="B87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7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7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7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7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70" s="43">
        <f ca="1">NOW()-'LOS TIEMPOS'!$K$2</f>
        <v>42368.075526157409</v>
      </c>
    </row>
    <row r="871" spans="1:7" x14ac:dyDescent="0.2">
      <c r="A871" s="13">
        <f t="shared" si="13"/>
        <v>864</v>
      </c>
      <c r="B87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7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7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7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7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71" s="43">
        <f ca="1">NOW()-'LOS TIEMPOS'!$K$2</f>
        <v>42368.075526157409</v>
      </c>
    </row>
    <row r="872" spans="1:7" x14ac:dyDescent="0.2">
      <c r="A872" s="13">
        <f t="shared" si="13"/>
        <v>865</v>
      </c>
      <c r="B87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7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7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7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7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72" s="43">
        <f ca="1">NOW()-'LOS TIEMPOS'!$K$2</f>
        <v>42368.075526157409</v>
      </c>
    </row>
    <row r="873" spans="1:7" x14ac:dyDescent="0.2">
      <c r="A873" s="13">
        <f t="shared" si="13"/>
        <v>866</v>
      </c>
      <c r="B87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7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7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7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7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73" s="43">
        <f ca="1">NOW()-'LOS TIEMPOS'!$K$2</f>
        <v>42368.075526157409</v>
      </c>
    </row>
    <row r="874" spans="1:7" x14ac:dyDescent="0.2">
      <c r="A874" s="13">
        <f t="shared" si="13"/>
        <v>867</v>
      </c>
      <c r="B87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7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7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7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7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74" s="43">
        <f ca="1">NOW()-'LOS TIEMPOS'!$K$2</f>
        <v>42368.075526157409</v>
      </c>
    </row>
    <row r="875" spans="1:7" x14ac:dyDescent="0.2">
      <c r="A875" s="13">
        <f t="shared" si="13"/>
        <v>868</v>
      </c>
      <c r="B87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7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7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7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7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75" s="43">
        <f ca="1">NOW()-'LOS TIEMPOS'!$K$2</f>
        <v>42368.075526157409</v>
      </c>
    </row>
    <row r="876" spans="1:7" x14ac:dyDescent="0.2">
      <c r="A876" s="13">
        <f t="shared" si="13"/>
        <v>869</v>
      </c>
      <c r="B87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7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7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7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7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76" s="43">
        <f ca="1">NOW()-'LOS TIEMPOS'!$K$2</f>
        <v>42368.075526157409</v>
      </c>
    </row>
    <row r="877" spans="1:7" x14ac:dyDescent="0.2">
      <c r="A877" s="13">
        <f t="shared" si="13"/>
        <v>870</v>
      </c>
      <c r="B87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7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7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7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7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77" s="43">
        <f ca="1">NOW()-'LOS TIEMPOS'!$K$2</f>
        <v>42368.075526157409</v>
      </c>
    </row>
    <row r="878" spans="1:7" x14ac:dyDescent="0.2">
      <c r="A878" s="13">
        <f t="shared" si="13"/>
        <v>871</v>
      </c>
      <c r="B87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7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7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7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7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78" s="43">
        <f ca="1">NOW()-'LOS TIEMPOS'!$K$2</f>
        <v>42368.075526157409</v>
      </c>
    </row>
    <row r="879" spans="1:7" x14ac:dyDescent="0.2">
      <c r="A879" s="13">
        <f t="shared" si="13"/>
        <v>872</v>
      </c>
      <c r="B87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7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7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7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7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79" s="43">
        <f ca="1">NOW()-'LOS TIEMPOS'!$K$2</f>
        <v>42368.075526157409</v>
      </c>
    </row>
    <row r="880" spans="1:7" x14ac:dyDescent="0.2">
      <c r="A880" s="13">
        <f t="shared" si="13"/>
        <v>873</v>
      </c>
      <c r="B88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8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8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8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8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80" s="43">
        <f ca="1">NOW()-'LOS TIEMPOS'!$K$2</f>
        <v>42368.075526157409</v>
      </c>
    </row>
    <row r="881" spans="1:7" x14ac:dyDescent="0.2">
      <c r="A881" s="13">
        <f t="shared" si="13"/>
        <v>874</v>
      </c>
      <c r="B88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8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8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8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8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81" s="43">
        <f ca="1">NOW()-'LOS TIEMPOS'!$K$2</f>
        <v>42368.075526157409</v>
      </c>
    </row>
    <row r="882" spans="1:7" x14ac:dyDescent="0.2">
      <c r="A882" s="13">
        <f t="shared" si="13"/>
        <v>875</v>
      </c>
      <c r="B88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8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8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8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8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82" s="43">
        <f ca="1">NOW()-'LOS TIEMPOS'!$K$2</f>
        <v>42368.075526157409</v>
      </c>
    </row>
    <row r="883" spans="1:7" x14ac:dyDescent="0.2">
      <c r="A883" s="13">
        <f t="shared" si="13"/>
        <v>876</v>
      </c>
      <c r="B88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8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8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8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8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83" s="43">
        <f ca="1">NOW()-'LOS TIEMPOS'!$K$2</f>
        <v>42368.075526157409</v>
      </c>
    </row>
    <row r="884" spans="1:7" x14ac:dyDescent="0.2">
      <c r="A884" s="13">
        <f t="shared" si="13"/>
        <v>877</v>
      </c>
      <c r="B88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8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8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8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8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84" s="43">
        <f ca="1">NOW()-'LOS TIEMPOS'!$K$2</f>
        <v>42368.075526157409</v>
      </c>
    </row>
    <row r="885" spans="1:7" x14ac:dyDescent="0.2">
      <c r="A885" s="13">
        <f t="shared" si="13"/>
        <v>878</v>
      </c>
      <c r="B88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8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8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8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8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85" s="43">
        <f ca="1">NOW()-'LOS TIEMPOS'!$K$2</f>
        <v>42368.075526157409</v>
      </c>
    </row>
    <row r="886" spans="1:7" x14ac:dyDescent="0.2">
      <c r="A886" s="13">
        <f t="shared" si="13"/>
        <v>879</v>
      </c>
      <c r="B88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8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8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8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8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86" s="43">
        <f ca="1">NOW()-'LOS TIEMPOS'!$K$2</f>
        <v>42368.075526157409</v>
      </c>
    </row>
    <row r="887" spans="1:7" x14ac:dyDescent="0.2">
      <c r="A887" s="13">
        <f t="shared" si="13"/>
        <v>880</v>
      </c>
      <c r="B88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8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8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8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8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87" s="43">
        <f ca="1">NOW()-'LOS TIEMPOS'!$K$2</f>
        <v>42368.075526157409</v>
      </c>
    </row>
    <row r="888" spans="1:7" x14ac:dyDescent="0.2">
      <c r="A888" s="13">
        <f t="shared" si="13"/>
        <v>881</v>
      </c>
      <c r="B88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8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8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8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8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88" s="43">
        <f ca="1">NOW()-'LOS TIEMPOS'!$K$2</f>
        <v>42368.075526157409</v>
      </c>
    </row>
    <row r="889" spans="1:7" x14ac:dyDescent="0.2">
      <c r="A889" s="13">
        <f t="shared" si="13"/>
        <v>882</v>
      </c>
      <c r="B88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8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8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8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8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89" s="43">
        <f ca="1">NOW()-'LOS TIEMPOS'!$K$2</f>
        <v>42368.075526157409</v>
      </c>
    </row>
    <row r="890" spans="1:7" x14ac:dyDescent="0.2">
      <c r="A890" s="13">
        <f t="shared" si="13"/>
        <v>883</v>
      </c>
      <c r="B89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9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9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9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9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90" s="43">
        <f ca="1">NOW()-'LOS TIEMPOS'!$K$2</f>
        <v>42368.075526157409</v>
      </c>
    </row>
    <row r="891" spans="1:7" x14ac:dyDescent="0.2">
      <c r="A891" s="13">
        <f t="shared" si="13"/>
        <v>884</v>
      </c>
      <c r="B89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9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9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9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9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91" s="43">
        <f ca="1">NOW()-'LOS TIEMPOS'!$K$2</f>
        <v>42368.075526157409</v>
      </c>
    </row>
    <row r="892" spans="1:7" x14ac:dyDescent="0.2">
      <c r="A892" s="13">
        <f t="shared" si="13"/>
        <v>885</v>
      </c>
      <c r="B89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9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9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9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9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92" s="43">
        <f ca="1">NOW()-'LOS TIEMPOS'!$K$2</f>
        <v>42368.075526157409</v>
      </c>
    </row>
    <row r="893" spans="1:7" x14ac:dyDescent="0.2">
      <c r="A893" s="13">
        <f t="shared" si="13"/>
        <v>886</v>
      </c>
      <c r="B89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9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9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9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9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93" s="43">
        <f ca="1">NOW()-'LOS TIEMPOS'!$K$2</f>
        <v>42368.075526157409</v>
      </c>
    </row>
    <row r="894" spans="1:7" x14ac:dyDescent="0.2">
      <c r="A894" s="13">
        <f t="shared" si="13"/>
        <v>887</v>
      </c>
      <c r="B89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9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9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9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9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94" s="43">
        <f ca="1">NOW()-'LOS TIEMPOS'!$K$2</f>
        <v>42368.075526157409</v>
      </c>
    </row>
    <row r="895" spans="1:7" x14ac:dyDescent="0.2">
      <c r="A895" s="13">
        <f t="shared" si="13"/>
        <v>888</v>
      </c>
      <c r="B89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9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9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9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9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95" s="43">
        <f ca="1">NOW()-'LOS TIEMPOS'!$K$2</f>
        <v>42368.075526157409</v>
      </c>
    </row>
    <row r="896" spans="1:7" x14ac:dyDescent="0.2">
      <c r="A896" s="13">
        <f t="shared" si="13"/>
        <v>889</v>
      </c>
      <c r="B89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9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9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9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9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96" s="43">
        <f ca="1">NOW()-'LOS TIEMPOS'!$K$2</f>
        <v>42368.075526157409</v>
      </c>
    </row>
    <row r="897" spans="1:7" x14ac:dyDescent="0.2">
      <c r="A897" s="13">
        <f t="shared" si="13"/>
        <v>890</v>
      </c>
      <c r="B89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9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9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9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9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97" s="43">
        <f ca="1">NOW()-'LOS TIEMPOS'!$K$2</f>
        <v>42368.075526157409</v>
      </c>
    </row>
    <row r="898" spans="1:7" x14ac:dyDescent="0.2">
      <c r="A898" s="13">
        <f t="shared" si="13"/>
        <v>891</v>
      </c>
      <c r="B89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9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9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9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9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98" s="43">
        <f ca="1">NOW()-'LOS TIEMPOS'!$K$2</f>
        <v>42368.075526157409</v>
      </c>
    </row>
    <row r="899" spans="1:7" x14ac:dyDescent="0.2">
      <c r="A899" s="13">
        <f t="shared" si="13"/>
        <v>892</v>
      </c>
      <c r="B89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89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89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89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89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899" s="43">
        <f ca="1">NOW()-'LOS TIEMPOS'!$K$2</f>
        <v>42368.075526157409</v>
      </c>
    </row>
    <row r="900" spans="1:7" x14ac:dyDescent="0.2">
      <c r="A900" s="13">
        <f t="shared" si="13"/>
        <v>893</v>
      </c>
      <c r="B90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0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0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0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0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00" s="43">
        <f ca="1">NOW()-'LOS TIEMPOS'!$K$2</f>
        <v>42368.075526157409</v>
      </c>
    </row>
    <row r="901" spans="1:7" x14ac:dyDescent="0.2">
      <c r="A901" s="13">
        <f t="shared" si="13"/>
        <v>894</v>
      </c>
      <c r="B90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0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0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0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0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01" s="43">
        <f ca="1">NOW()-'LOS TIEMPOS'!$K$2</f>
        <v>42368.075526157409</v>
      </c>
    </row>
    <row r="902" spans="1:7" x14ac:dyDescent="0.2">
      <c r="A902" s="13">
        <f t="shared" si="13"/>
        <v>895</v>
      </c>
      <c r="B90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0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0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0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0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02" s="43">
        <f ca="1">NOW()-'LOS TIEMPOS'!$K$2</f>
        <v>42368.075526157409</v>
      </c>
    </row>
    <row r="903" spans="1:7" x14ac:dyDescent="0.2">
      <c r="A903" s="13">
        <f t="shared" si="13"/>
        <v>896</v>
      </c>
      <c r="B90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0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0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0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0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03" s="43">
        <f ca="1">NOW()-'LOS TIEMPOS'!$K$2</f>
        <v>42368.075526157409</v>
      </c>
    </row>
    <row r="904" spans="1:7" x14ac:dyDescent="0.2">
      <c r="A904" s="13">
        <f t="shared" ref="A904:A967" si="14">ROW()-7</f>
        <v>897</v>
      </c>
      <c r="B90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0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0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0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0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04" s="43">
        <f ca="1">NOW()-'LOS TIEMPOS'!$K$2</f>
        <v>42368.075526157409</v>
      </c>
    </row>
    <row r="905" spans="1:7" x14ac:dyDescent="0.2">
      <c r="A905" s="13">
        <f t="shared" si="14"/>
        <v>898</v>
      </c>
      <c r="B90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0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0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0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0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05" s="43">
        <f ca="1">NOW()-'LOS TIEMPOS'!$K$2</f>
        <v>42368.075526157409</v>
      </c>
    </row>
    <row r="906" spans="1:7" x14ac:dyDescent="0.2">
      <c r="A906" s="13">
        <f t="shared" si="14"/>
        <v>899</v>
      </c>
      <c r="B90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0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0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0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0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06" s="43">
        <f ca="1">NOW()-'LOS TIEMPOS'!$K$2</f>
        <v>42368.075526157409</v>
      </c>
    </row>
    <row r="907" spans="1:7" x14ac:dyDescent="0.2">
      <c r="A907" s="13">
        <f t="shared" si="14"/>
        <v>900</v>
      </c>
      <c r="B90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0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0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0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0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07" s="43">
        <f ca="1">NOW()-'LOS TIEMPOS'!$K$2</f>
        <v>42368.075526157409</v>
      </c>
    </row>
    <row r="908" spans="1:7" x14ac:dyDescent="0.2">
      <c r="A908" s="13">
        <f t="shared" si="14"/>
        <v>901</v>
      </c>
      <c r="B90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0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0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0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0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08" s="43">
        <f ca="1">NOW()-'LOS TIEMPOS'!$K$2</f>
        <v>42368.075526157409</v>
      </c>
    </row>
    <row r="909" spans="1:7" x14ac:dyDescent="0.2">
      <c r="A909" s="13">
        <f t="shared" si="14"/>
        <v>902</v>
      </c>
      <c r="B90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0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0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0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0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09" s="43">
        <f ca="1">NOW()-'LOS TIEMPOS'!$K$2</f>
        <v>42368.075526157409</v>
      </c>
    </row>
    <row r="910" spans="1:7" x14ac:dyDescent="0.2">
      <c r="A910" s="13">
        <f t="shared" si="14"/>
        <v>903</v>
      </c>
      <c r="B91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1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1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1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1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10" s="43">
        <f ca="1">NOW()-'LOS TIEMPOS'!$K$2</f>
        <v>42368.075526157409</v>
      </c>
    </row>
    <row r="911" spans="1:7" x14ac:dyDescent="0.2">
      <c r="A911" s="13">
        <f t="shared" si="14"/>
        <v>904</v>
      </c>
      <c r="B91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1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1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1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1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11" s="43">
        <f ca="1">NOW()-'LOS TIEMPOS'!$K$2</f>
        <v>42368.075526157409</v>
      </c>
    </row>
    <row r="912" spans="1:7" x14ac:dyDescent="0.2">
      <c r="A912" s="13">
        <f t="shared" si="14"/>
        <v>905</v>
      </c>
      <c r="B91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1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1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1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1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12" s="43">
        <f ca="1">NOW()-'LOS TIEMPOS'!$K$2</f>
        <v>42368.075526157409</v>
      </c>
    </row>
    <row r="913" spans="1:7" x14ac:dyDescent="0.2">
      <c r="A913" s="13">
        <f t="shared" si="14"/>
        <v>906</v>
      </c>
      <c r="B91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1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1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1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1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13" s="43">
        <f ca="1">NOW()-'LOS TIEMPOS'!$K$2</f>
        <v>42368.075526157409</v>
      </c>
    </row>
    <row r="914" spans="1:7" x14ac:dyDescent="0.2">
      <c r="A914" s="13">
        <f t="shared" si="14"/>
        <v>907</v>
      </c>
      <c r="B91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1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1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1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1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14" s="43">
        <f ca="1">NOW()-'LOS TIEMPOS'!$K$2</f>
        <v>42368.075526157409</v>
      </c>
    </row>
    <row r="915" spans="1:7" x14ac:dyDescent="0.2">
      <c r="A915" s="13">
        <f t="shared" si="14"/>
        <v>908</v>
      </c>
      <c r="B91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1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1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1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1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15" s="43">
        <f ca="1">NOW()-'LOS TIEMPOS'!$K$2</f>
        <v>42368.075526157409</v>
      </c>
    </row>
    <row r="916" spans="1:7" x14ac:dyDescent="0.2">
      <c r="A916" s="13">
        <f t="shared" si="14"/>
        <v>909</v>
      </c>
      <c r="B91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1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1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1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1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16" s="43">
        <f ca="1">NOW()-'LOS TIEMPOS'!$K$2</f>
        <v>42368.075526157409</v>
      </c>
    </row>
    <row r="917" spans="1:7" x14ac:dyDescent="0.2">
      <c r="A917" s="13">
        <f t="shared" si="14"/>
        <v>910</v>
      </c>
      <c r="B91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1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1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1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1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17" s="43">
        <f ca="1">NOW()-'LOS TIEMPOS'!$K$2</f>
        <v>42368.075526157409</v>
      </c>
    </row>
    <row r="918" spans="1:7" x14ac:dyDescent="0.2">
      <c r="A918" s="13">
        <f t="shared" si="14"/>
        <v>911</v>
      </c>
      <c r="B91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1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1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1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1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18" s="43">
        <f ca="1">NOW()-'LOS TIEMPOS'!$K$2</f>
        <v>42368.075526157409</v>
      </c>
    </row>
    <row r="919" spans="1:7" x14ac:dyDescent="0.2">
      <c r="A919" s="13">
        <f t="shared" si="14"/>
        <v>912</v>
      </c>
      <c r="B91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1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1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1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1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19" s="43">
        <f ca="1">NOW()-'LOS TIEMPOS'!$K$2</f>
        <v>42368.075526157409</v>
      </c>
    </row>
    <row r="920" spans="1:7" x14ac:dyDescent="0.2">
      <c r="A920" s="13">
        <f t="shared" si="14"/>
        <v>913</v>
      </c>
      <c r="B92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2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2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2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2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20" s="43">
        <f ca="1">NOW()-'LOS TIEMPOS'!$K$2</f>
        <v>42368.075526157409</v>
      </c>
    </row>
    <row r="921" spans="1:7" x14ac:dyDescent="0.2">
      <c r="A921" s="13">
        <f t="shared" si="14"/>
        <v>914</v>
      </c>
      <c r="B92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2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2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2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2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21" s="43">
        <f ca="1">NOW()-'LOS TIEMPOS'!$K$2</f>
        <v>42368.075526157409</v>
      </c>
    </row>
    <row r="922" spans="1:7" x14ac:dyDescent="0.2">
      <c r="A922" s="13">
        <f t="shared" si="14"/>
        <v>915</v>
      </c>
      <c r="B92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2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2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2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2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22" s="43">
        <f ca="1">NOW()-'LOS TIEMPOS'!$K$2</f>
        <v>42368.075526157409</v>
      </c>
    </row>
    <row r="923" spans="1:7" x14ac:dyDescent="0.2">
      <c r="A923" s="13">
        <f t="shared" si="14"/>
        <v>916</v>
      </c>
      <c r="B92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2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2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2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2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23" s="43">
        <f ca="1">NOW()-'LOS TIEMPOS'!$K$2</f>
        <v>42368.075526157409</v>
      </c>
    </row>
    <row r="924" spans="1:7" x14ac:dyDescent="0.2">
      <c r="A924" s="13">
        <f t="shared" si="14"/>
        <v>917</v>
      </c>
      <c r="B92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2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2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2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2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24" s="43">
        <f ca="1">NOW()-'LOS TIEMPOS'!$K$2</f>
        <v>42368.075526157409</v>
      </c>
    </row>
    <row r="925" spans="1:7" x14ac:dyDescent="0.2">
      <c r="A925" s="13">
        <f t="shared" si="14"/>
        <v>918</v>
      </c>
      <c r="B92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2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2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2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2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25" s="43">
        <f ca="1">NOW()-'LOS TIEMPOS'!$K$2</f>
        <v>42368.075526157409</v>
      </c>
    </row>
    <row r="926" spans="1:7" x14ac:dyDescent="0.2">
      <c r="A926" s="13">
        <f t="shared" si="14"/>
        <v>919</v>
      </c>
      <c r="B92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2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2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2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2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26" s="43">
        <f ca="1">NOW()-'LOS TIEMPOS'!$K$2</f>
        <v>42368.075526157409</v>
      </c>
    </row>
    <row r="927" spans="1:7" x14ac:dyDescent="0.2">
      <c r="A927" s="13">
        <f t="shared" si="14"/>
        <v>920</v>
      </c>
      <c r="B92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2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2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2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2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27" s="43">
        <f ca="1">NOW()-'LOS TIEMPOS'!$K$2</f>
        <v>42368.075526157409</v>
      </c>
    </row>
    <row r="928" spans="1:7" x14ac:dyDescent="0.2">
      <c r="A928" s="13">
        <f t="shared" si="14"/>
        <v>921</v>
      </c>
      <c r="B92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2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2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2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2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28" s="43">
        <f ca="1">NOW()-'LOS TIEMPOS'!$K$2</f>
        <v>42368.075526157409</v>
      </c>
    </row>
    <row r="929" spans="1:7" x14ac:dyDescent="0.2">
      <c r="A929" s="13">
        <f t="shared" si="14"/>
        <v>922</v>
      </c>
      <c r="B92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2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2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2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2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29" s="43">
        <f ca="1">NOW()-'LOS TIEMPOS'!$K$2</f>
        <v>42368.075526157409</v>
      </c>
    </row>
    <row r="930" spans="1:7" x14ac:dyDescent="0.2">
      <c r="A930" s="13">
        <f t="shared" si="14"/>
        <v>923</v>
      </c>
      <c r="B93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3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3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3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3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30" s="43">
        <f ca="1">NOW()-'LOS TIEMPOS'!$K$2</f>
        <v>42368.075526157409</v>
      </c>
    </row>
    <row r="931" spans="1:7" x14ac:dyDescent="0.2">
      <c r="A931" s="13">
        <f t="shared" si="14"/>
        <v>924</v>
      </c>
      <c r="B93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3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3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3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3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31" s="43">
        <f ca="1">NOW()-'LOS TIEMPOS'!$K$2</f>
        <v>42368.075526157409</v>
      </c>
    </row>
    <row r="932" spans="1:7" x14ac:dyDescent="0.2">
      <c r="A932" s="13">
        <f t="shared" si="14"/>
        <v>925</v>
      </c>
      <c r="B93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3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3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3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3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32" s="43">
        <f ca="1">NOW()-'LOS TIEMPOS'!$K$2</f>
        <v>42368.075526157409</v>
      </c>
    </row>
    <row r="933" spans="1:7" x14ac:dyDescent="0.2">
      <c r="A933" s="13">
        <f t="shared" si="14"/>
        <v>926</v>
      </c>
      <c r="B93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3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3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3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3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33" s="43">
        <f ca="1">NOW()-'LOS TIEMPOS'!$K$2</f>
        <v>42368.075526157409</v>
      </c>
    </row>
    <row r="934" spans="1:7" x14ac:dyDescent="0.2">
      <c r="A934" s="13">
        <f t="shared" si="14"/>
        <v>927</v>
      </c>
      <c r="B93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3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3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3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3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34" s="43">
        <f ca="1">NOW()-'LOS TIEMPOS'!$K$2</f>
        <v>42368.075526157409</v>
      </c>
    </row>
    <row r="935" spans="1:7" x14ac:dyDescent="0.2">
      <c r="A935" s="13">
        <f t="shared" si="14"/>
        <v>928</v>
      </c>
      <c r="B93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3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3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3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3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35" s="43">
        <f ca="1">NOW()-'LOS TIEMPOS'!$K$2</f>
        <v>42368.075526157409</v>
      </c>
    </row>
    <row r="936" spans="1:7" x14ac:dyDescent="0.2">
      <c r="A936" s="13">
        <f t="shared" si="14"/>
        <v>929</v>
      </c>
      <c r="B93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3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3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3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3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36" s="43">
        <f ca="1">NOW()-'LOS TIEMPOS'!$K$2</f>
        <v>42368.075526157409</v>
      </c>
    </row>
    <row r="937" spans="1:7" x14ac:dyDescent="0.2">
      <c r="A937" s="13">
        <f t="shared" si="14"/>
        <v>930</v>
      </c>
      <c r="B93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3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3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3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3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37" s="43">
        <f ca="1">NOW()-'LOS TIEMPOS'!$K$2</f>
        <v>42368.075526157409</v>
      </c>
    </row>
    <row r="938" spans="1:7" x14ac:dyDescent="0.2">
      <c r="A938" s="13">
        <f t="shared" si="14"/>
        <v>931</v>
      </c>
      <c r="B93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3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3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3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3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38" s="43">
        <f ca="1">NOW()-'LOS TIEMPOS'!$K$2</f>
        <v>42368.075526157409</v>
      </c>
    </row>
    <row r="939" spans="1:7" x14ac:dyDescent="0.2">
      <c r="A939" s="13">
        <f t="shared" si="14"/>
        <v>932</v>
      </c>
      <c r="B93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3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3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3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3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39" s="43">
        <f ca="1">NOW()-'LOS TIEMPOS'!$K$2</f>
        <v>42368.075526157409</v>
      </c>
    </row>
    <row r="940" spans="1:7" x14ac:dyDescent="0.2">
      <c r="A940" s="13">
        <f t="shared" si="14"/>
        <v>933</v>
      </c>
      <c r="B94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4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4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4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4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40" s="43">
        <f ca="1">NOW()-'LOS TIEMPOS'!$K$2</f>
        <v>42368.075526157409</v>
      </c>
    </row>
    <row r="941" spans="1:7" x14ac:dyDescent="0.2">
      <c r="A941" s="13">
        <f t="shared" si="14"/>
        <v>934</v>
      </c>
      <c r="B94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4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4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4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4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41" s="43">
        <f ca="1">NOW()-'LOS TIEMPOS'!$K$2</f>
        <v>42368.075526157409</v>
      </c>
    </row>
    <row r="942" spans="1:7" x14ac:dyDescent="0.2">
      <c r="A942" s="13">
        <f t="shared" si="14"/>
        <v>935</v>
      </c>
      <c r="B94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4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4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4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4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42" s="43">
        <f ca="1">NOW()-'LOS TIEMPOS'!$K$2</f>
        <v>42368.075526157409</v>
      </c>
    </row>
    <row r="943" spans="1:7" x14ac:dyDescent="0.2">
      <c r="A943" s="13">
        <f t="shared" si="14"/>
        <v>936</v>
      </c>
      <c r="B94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4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4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4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4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43" s="43">
        <f ca="1">NOW()-'LOS TIEMPOS'!$K$2</f>
        <v>42368.075526157409</v>
      </c>
    </row>
    <row r="944" spans="1:7" x14ac:dyDescent="0.2">
      <c r="A944" s="13">
        <f t="shared" si="14"/>
        <v>937</v>
      </c>
      <c r="B94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4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4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4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4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44" s="43">
        <f ca="1">NOW()-'LOS TIEMPOS'!$K$2</f>
        <v>42368.075526157409</v>
      </c>
    </row>
    <row r="945" spans="1:7" x14ac:dyDescent="0.2">
      <c r="A945" s="13">
        <f t="shared" si="14"/>
        <v>938</v>
      </c>
      <c r="B94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4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4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4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4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45" s="43">
        <f ca="1">NOW()-'LOS TIEMPOS'!$K$2</f>
        <v>42368.075526157409</v>
      </c>
    </row>
    <row r="946" spans="1:7" x14ac:dyDescent="0.2">
      <c r="A946" s="13">
        <f t="shared" si="14"/>
        <v>939</v>
      </c>
      <c r="B94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4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4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4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4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46" s="43">
        <f ca="1">NOW()-'LOS TIEMPOS'!$K$2</f>
        <v>42368.075526157409</v>
      </c>
    </row>
    <row r="947" spans="1:7" x14ac:dyDescent="0.2">
      <c r="A947" s="13">
        <f t="shared" si="14"/>
        <v>940</v>
      </c>
      <c r="B94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4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4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4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4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47" s="43">
        <f ca="1">NOW()-'LOS TIEMPOS'!$K$2</f>
        <v>42368.075526157409</v>
      </c>
    </row>
    <row r="948" spans="1:7" x14ac:dyDescent="0.2">
      <c r="A948" s="13">
        <f t="shared" si="14"/>
        <v>941</v>
      </c>
      <c r="B94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4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4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4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4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48" s="43">
        <f ca="1">NOW()-'LOS TIEMPOS'!$K$2</f>
        <v>42368.075526157409</v>
      </c>
    </row>
    <row r="949" spans="1:7" x14ac:dyDescent="0.2">
      <c r="A949" s="13">
        <f t="shared" si="14"/>
        <v>942</v>
      </c>
      <c r="B94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4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4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4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4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49" s="43">
        <f ca="1">NOW()-'LOS TIEMPOS'!$K$2</f>
        <v>42368.075526157409</v>
      </c>
    </row>
    <row r="950" spans="1:7" x14ac:dyDescent="0.2">
      <c r="A950" s="13">
        <f t="shared" si="14"/>
        <v>943</v>
      </c>
      <c r="B95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5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5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5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5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50" s="43">
        <f ca="1">NOW()-'LOS TIEMPOS'!$K$2</f>
        <v>42368.075526157409</v>
      </c>
    </row>
    <row r="951" spans="1:7" x14ac:dyDescent="0.2">
      <c r="A951" s="13">
        <f t="shared" si="14"/>
        <v>944</v>
      </c>
      <c r="B95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5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5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5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5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51" s="43">
        <f ca="1">NOW()-'LOS TIEMPOS'!$K$2</f>
        <v>42368.075526157409</v>
      </c>
    </row>
    <row r="952" spans="1:7" x14ac:dyDescent="0.2">
      <c r="A952" s="13">
        <f t="shared" si="14"/>
        <v>945</v>
      </c>
      <c r="B95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5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5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5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5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52" s="43">
        <f ca="1">NOW()-'LOS TIEMPOS'!$K$2</f>
        <v>42368.075526157409</v>
      </c>
    </row>
    <row r="953" spans="1:7" x14ac:dyDescent="0.2">
      <c r="A953" s="13">
        <f t="shared" si="14"/>
        <v>946</v>
      </c>
      <c r="B95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5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5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5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5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53" s="43">
        <f ca="1">NOW()-'LOS TIEMPOS'!$K$2</f>
        <v>42368.075526157409</v>
      </c>
    </row>
    <row r="954" spans="1:7" x14ac:dyDescent="0.2">
      <c r="A954" s="13">
        <f t="shared" si="14"/>
        <v>947</v>
      </c>
      <c r="B95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5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5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5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5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54" s="43">
        <f ca="1">NOW()-'LOS TIEMPOS'!$K$2</f>
        <v>42368.075526157409</v>
      </c>
    </row>
    <row r="955" spans="1:7" x14ac:dyDescent="0.2">
      <c r="A955" s="13">
        <f t="shared" si="14"/>
        <v>948</v>
      </c>
      <c r="B95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5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5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5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5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55" s="43">
        <f ca="1">NOW()-'LOS TIEMPOS'!$K$2</f>
        <v>42368.075526157409</v>
      </c>
    </row>
    <row r="956" spans="1:7" x14ac:dyDescent="0.2">
      <c r="A956" s="13">
        <f t="shared" si="14"/>
        <v>949</v>
      </c>
      <c r="B95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5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5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5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5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56" s="43">
        <f ca="1">NOW()-'LOS TIEMPOS'!$K$2</f>
        <v>42368.075526157409</v>
      </c>
    </row>
    <row r="957" spans="1:7" x14ac:dyDescent="0.2">
      <c r="A957" s="13">
        <f t="shared" si="14"/>
        <v>950</v>
      </c>
      <c r="B95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5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5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5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5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57" s="43">
        <f ca="1">NOW()-'LOS TIEMPOS'!$K$2</f>
        <v>42368.075526157409</v>
      </c>
    </row>
    <row r="958" spans="1:7" x14ac:dyDescent="0.2">
      <c r="A958" s="13">
        <f t="shared" si="14"/>
        <v>951</v>
      </c>
      <c r="B95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5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5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5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5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58" s="43">
        <f ca="1">NOW()-'LOS TIEMPOS'!$K$2</f>
        <v>42368.075526157409</v>
      </c>
    </row>
    <row r="959" spans="1:7" x14ac:dyDescent="0.2">
      <c r="A959" s="13">
        <f t="shared" si="14"/>
        <v>952</v>
      </c>
      <c r="B95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5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5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5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5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59" s="43">
        <f ca="1">NOW()-'LOS TIEMPOS'!$K$2</f>
        <v>42368.075526157409</v>
      </c>
    </row>
    <row r="960" spans="1:7" x14ac:dyDescent="0.2">
      <c r="A960" s="13">
        <f t="shared" si="14"/>
        <v>953</v>
      </c>
      <c r="B96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6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6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6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6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60" s="43">
        <f ca="1">NOW()-'LOS TIEMPOS'!$K$2</f>
        <v>42368.075526157409</v>
      </c>
    </row>
    <row r="961" spans="1:7" x14ac:dyDescent="0.2">
      <c r="A961" s="13">
        <f t="shared" si="14"/>
        <v>954</v>
      </c>
      <c r="B96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6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6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6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6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61" s="43">
        <f ca="1">NOW()-'LOS TIEMPOS'!$K$2</f>
        <v>42368.075526157409</v>
      </c>
    </row>
    <row r="962" spans="1:7" x14ac:dyDescent="0.2">
      <c r="A962" s="13">
        <f t="shared" si="14"/>
        <v>955</v>
      </c>
      <c r="B96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6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6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6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6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62" s="43">
        <f ca="1">NOW()-'LOS TIEMPOS'!$K$2</f>
        <v>42368.075526157409</v>
      </c>
    </row>
    <row r="963" spans="1:7" x14ac:dyDescent="0.2">
      <c r="A963" s="13">
        <f t="shared" si="14"/>
        <v>956</v>
      </c>
      <c r="B96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6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6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6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6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63" s="43">
        <f ca="1">NOW()-'LOS TIEMPOS'!$K$2</f>
        <v>42368.075526157409</v>
      </c>
    </row>
    <row r="964" spans="1:7" x14ac:dyDescent="0.2">
      <c r="A964" s="13">
        <f t="shared" si="14"/>
        <v>957</v>
      </c>
      <c r="B96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6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6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6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6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64" s="43">
        <f ca="1">NOW()-'LOS TIEMPOS'!$K$2</f>
        <v>42368.075526157409</v>
      </c>
    </row>
    <row r="965" spans="1:7" x14ac:dyDescent="0.2">
      <c r="A965" s="13">
        <f t="shared" si="14"/>
        <v>958</v>
      </c>
      <c r="B96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6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6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6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6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65" s="43">
        <f ca="1">NOW()-'LOS TIEMPOS'!$K$2</f>
        <v>42368.075526157409</v>
      </c>
    </row>
    <row r="966" spans="1:7" x14ac:dyDescent="0.2">
      <c r="A966" s="13">
        <f t="shared" si="14"/>
        <v>959</v>
      </c>
      <c r="B96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6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6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6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6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66" s="43">
        <f ca="1">NOW()-'LOS TIEMPOS'!$K$2</f>
        <v>42368.075526157409</v>
      </c>
    </row>
    <row r="967" spans="1:7" x14ac:dyDescent="0.2">
      <c r="A967" s="13">
        <f t="shared" si="14"/>
        <v>960</v>
      </c>
      <c r="B96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6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6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6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6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67" s="43">
        <f ca="1">NOW()-'LOS TIEMPOS'!$K$2</f>
        <v>42368.075526157409</v>
      </c>
    </row>
    <row r="968" spans="1:7" x14ac:dyDescent="0.2">
      <c r="A968" s="13">
        <f t="shared" ref="A968:A1007" si="15">ROW()-7</f>
        <v>961</v>
      </c>
      <c r="B96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6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6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6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6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68" s="43">
        <f ca="1">NOW()-'LOS TIEMPOS'!$K$2</f>
        <v>42368.075526157409</v>
      </c>
    </row>
    <row r="969" spans="1:7" x14ac:dyDescent="0.2">
      <c r="A969" s="13">
        <f t="shared" si="15"/>
        <v>962</v>
      </c>
      <c r="B96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6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6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6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6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69" s="43">
        <f ca="1">NOW()-'LOS TIEMPOS'!$K$2</f>
        <v>42368.075526157409</v>
      </c>
    </row>
    <row r="970" spans="1:7" x14ac:dyDescent="0.2">
      <c r="A970" s="13">
        <f t="shared" si="15"/>
        <v>963</v>
      </c>
      <c r="B97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7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7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7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7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70" s="43">
        <f ca="1">NOW()-'LOS TIEMPOS'!$K$2</f>
        <v>42368.075526157409</v>
      </c>
    </row>
    <row r="971" spans="1:7" x14ac:dyDescent="0.2">
      <c r="A971" s="13">
        <f t="shared" si="15"/>
        <v>964</v>
      </c>
      <c r="B97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7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7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7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7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71" s="43">
        <f ca="1">NOW()-'LOS TIEMPOS'!$K$2</f>
        <v>42368.075526157409</v>
      </c>
    </row>
    <row r="972" spans="1:7" x14ac:dyDescent="0.2">
      <c r="A972" s="13">
        <f t="shared" si="15"/>
        <v>965</v>
      </c>
      <c r="B97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7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7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7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7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72" s="43">
        <f ca="1">NOW()-'LOS TIEMPOS'!$K$2</f>
        <v>42368.075526157409</v>
      </c>
    </row>
    <row r="973" spans="1:7" x14ac:dyDescent="0.2">
      <c r="A973" s="13">
        <f t="shared" si="15"/>
        <v>966</v>
      </c>
      <c r="B97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7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7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7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7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73" s="43">
        <f ca="1">NOW()-'LOS TIEMPOS'!$K$2</f>
        <v>42368.075526157409</v>
      </c>
    </row>
    <row r="974" spans="1:7" x14ac:dyDescent="0.2">
      <c r="A974" s="13">
        <f t="shared" si="15"/>
        <v>967</v>
      </c>
      <c r="B97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7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7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7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7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74" s="43">
        <f ca="1">NOW()-'LOS TIEMPOS'!$K$2</f>
        <v>42368.075526157409</v>
      </c>
    </row>
    <row r="975" spans="1:7" x14ac:dyDescent="0.2">
      <c r="A975" s="13">
        <f t="shared" si="15"/>
        <v>968</v>
      </c>
      <c r="B97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7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7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7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7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75" s="43">
        <f ca="1">NOW()-'LOS TIEMPOS'!$K$2</f>
        <v>42368.075526157409</v>
      </c>
    </row>
    <row r="976" spans="1:7" x14ac:dyDescent="0.2">
      <c r="A976" s="13">
        <f t="shared" si="15"/>
        <v>969</v>
      </c>
      <c r="B97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7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7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7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7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76" s="43">
        <f ca="1">NOW()-'LOS TIEMPOS'!$K$2</f>
        <v>42368.075526157409</v>
      </c>
    </row>
    <row r="977" spans="1:7" x14ac:dyDescent="0.2">
      <c r="A977" s="13">
        <f t="shared" si="15"/>
        <v>970</v>
      </c>
      <c r="B97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7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7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7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7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77" s="43">
        <f ca="1">NOW()-'LOS TIEMPOS'!$K$2</f>
        <v>42368.075526157409</v>
      </c>
    </row>
    <row r="978" spans="1:7" x14ac:dyDescent="0.2">
      <c r="A978" s="13">
        <f t="shared" si="15"/>
        <v>971</v>
      </c>
      <c r="B97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7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7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7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7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78" s="43">
        <f ca="1">NOW()-'LOS TIEMPOS'!$K$2</f>
        <v>42368.075526157409</v>
      </c>
    </row>
    <row r="979" spans="1:7" x14ac:dyDescent="0.2">
      <c r="A979" s="13">
        <f t="shared" si="15"/>
        <v>972</v>
      </c>
      <c r="B97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7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7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7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7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79" s="43">
        <f ca="1">NOW()-'LOS TIEMPOS'!$K$2</f>
        <v>42368.075526157409</v>
      </c>
    </row>
    <row r="980" spans="1:7" x14ac:dyDescent="0.2">
      <c r="A980" s="13">
        <f t="shared" si="15"/>
        <v>973</v>
      </c>
      <c r="B98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8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8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8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8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80" s="43">
        <f ca="1">NOW()-'LOS TIEMPOS'!$K$2</f>
        <v>42368.075526157409</v>
      </c>
    </row>
    <row r="981" spans="1:7" x14ac:dyDescent="0.2">
      <c r="A981" s="13">
        <f t="shared" si="15"/>
        <v>974</v>
      </c>
      <c r="B98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8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8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8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8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81" s="43">
        <f ca="1">NOW()-'LOS TIEMPOS'!$K$2</f>
        <v>42368.075526157409</v>
      </c>
    </row>
    <row r="982" spans="1:7" x14ac:dyDescent="0.2">
      <c r="A982" s="13">
        <f t="shared" si="15"/>
        <v>975</v>
      </c>
      <c r="B98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8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8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8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8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82" s="43">
        <f ca="1">NOW()-'LOS TIEMPOS'!$K$2</f>
        <v>42368.075526157409</v>
      </c>
    </row>
    <row r="983" spans="1:7" x14ac:dyDescent="0.2">
      <c r="A983" s="13">
        <f t="shared" si="15"/>
        <v>976</v>
      </c>
      <c r="B98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8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8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8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8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83" s="43">
        <f ca="1">NOW()-'LOS TIEMPOS'!$K$2</f>
        <v>42368.075526157409</v>
      </c>
    </row>
    <row r="984" spans="1:7" x14ac:dyDescent="0.2">
      <c r="A984" s="13">
        <f t="shared" si="15"/>
        <v>977</v>
      </c>
      <c r="B98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8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8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8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8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84" s="43">
        <f ca="1">NOW()-'LOS TIEMPOS'!$K$2</f>
        <v>42368.075526157409</v>
      </c>
    </row>
    <row r="985" spans="1:7" x14ac:dyDescent="0.2">
      <c r="A985" s="13">
        <f t="shared" si="15"/>
        <v>978</v>
      </c>
      <c r="B98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8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8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8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8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85" s="43">
        <f ca="1">NOW()-'LOS TIEMPOS'!$K$2</f>
        <v>42368.075526157409</v>
      </c>
    </row>
    <row r="986" spans="1:7" x14ac:dyDescent="0.2">
      <c r="A986" s="13">
        <f t="shared" si="15"/>
        <v>979</v>
      </c>
      <c r="B98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8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8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8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8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86" s="43">
        <f ca="1">NOW()-'LOS TIEMPOS'!$K$2</f>
        <v>42368.075526157409</v>
      </c>
    </row>
    <row r="987" spans="1:7" x14ac:dyDescent="0.2">
      <c r="A987" s="13">
        <f t="shared" si="15"/>
        <v>980</v>
      </c>
      <c r="B98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8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8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8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8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87" s="43">
        <f ca="1">NOW()-'LOS TIEMPOS'!$K$2</f>
        <v>42368.075526157409</v>
      </c>
    </row>
    <row r="988" spans="1:7" x14ac:dyDescent="0.2">
      <c r="A988" s="13">
        <f t="shared" si="15"/>
        <v>981</v>
      </c>
      <c r="B98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8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8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8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8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88" s="43">
        <f ca="1">NOW()-'LOS TIEMPOS'!$K$2</f>
        <v>42368.075526157409</v>
      </c>
    </row>
    <row r="989" spans="1:7" x14ac:dyDescent="0.2">
      <c r="A989" s="13">
        <f t="shared" si="15"/>
        <v>982</v>
      </c>
      <c r="B98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8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8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8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8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89" s="43">
        <f ca="1">NOW()-'LOS TIEMPOS'!$K$2</f>
        <v>42368.075526157409</v>
      </c>
    </row>
    <row r="990" spans="1:7" x14ac:dyDescent="0.2">
      <c r="A990" s="13">
        <f t="shared" si="15"/>
        <v>983</v>
      </c>
      <c r="B99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9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9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9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9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90" s="43">
        <f ca="1">NOW()-'LOS TIEMPOS'!$K$2</f>
        <v>42368.075526157409</v>
      </c>
    </row>
    <row r="991" spans="1:7" x14ac:dyDescent="0.2">
      <c r="A991" s="13">
        <f t="shared" si="15"/>
        <v>984</v>
      </c>
      <c r="B99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9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9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9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9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91" s="43">
        <f ca="1">NOW()-'LOS TIEMPOS'!$K$2</f>
        <v>42368.075526157409</v>
      </c>
    </row>
    <row r="992" spans="1:7" x14ac:dyDescent="0.2">
      <c r="A992" s="13">
        <f t="shared" si="15"/>
        <v>985</v>
      </c>
      <c r="B99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9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9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9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9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92" s="43">
        <f ca="1">NOW()-'LOS TIEMPOS'!$K$2</f>
        <v>42368.075526157409</v>
      </c>
    </row>
    <row r="993" spans="1:7" x14ac:dyDescent="0.2">
      <c r="A993" s="13">
        <f t="shared" si="15"/>
        <v>986</v>
      </c>
      <c r="B99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9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9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9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9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93" s="43">
        <f ca="1">NOW()-'LOS TIEMPOS'!$K$2</f>
        <v>42368.075526157409</v>
      </c>
    </row>
    <row r="994" spans="1:7" x14ac:dyDescent="0.2">
      <c r="A994" s="13">
        <f t="shared" si="15"/>
        <v>987</v>
      </c>
      <c r="B99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9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9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9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9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94" s="43">
        <f ca="1">NOW()-'LOS TIEMPOS'!$K$2</f>
        <v>42368.075526157409</v>
      </c>
    </row>
    <row r="995" spans="1:7" x14ac:dyDescent="0.2">
      <c r="A995" s="13">
        <f t="shared" si="15"/>
        <v>988</v>
      </c>
      <c r="B99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9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9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9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9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95" s="43">
        <f ca="1">NOW()-'LOS TIEMPOS'!$K$2</f>
        <v>42368.075526157409</v>
      </c>
    </row>
    <row r="996" spans="1:7" x14ac:dyDescent="0.2">
      <c r="A996" s="13">
        <f t="shared" si="15"/>
        <v>989</v>
      </c>
      <c r="B99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9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9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9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9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96" s="43">
        <f ca="1">NOW()-'LOS TIEMPOS'!$K$2</f>
        <v>42368.075526157409</v>
      </c>
    </row>
    <row r="997" spans="1:7" x14ac:dyDescent="0.2">
      <c r="A997" s="13">
        <f t="shared" si="15"/>
        <v>990</v>
      </c>
      <c r="B99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9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9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9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9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97" s="43">
        <f ca="1">NOW()-'LOS TIEMPOS'!$K$2</f>
        <v>42368.075526157409</v>
      </c>
    </row>
    <row r="998" spans="1:7" x14ac:dyDescent="0.2">
      <c r="A998" s="13">
        <f t="shared" si="15"/>
        <v>991</v>
      </c>
      <c r="B998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98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98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98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98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98" s="43">
        <f ca="1">NOW()-'LOS TIEMPOS'!$K$2</f>
        <v>42368.075526157409</v>
      </c>
    </row>
    <row r="999" spans="1:7" x14ac:dyDescent="0.2">
      <c r="A999" s="13">
        <f t="shared" si="15"/>
        <v>992</v>
      </c>
      <c r="B999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999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999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999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999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999" s="43">
        <f ca="1">NOW()-'LOS TIEMPOS'!$K$2</f>
        <v>42368.075526157409</v>
      </c>
    </row>
    <row r="1000" spans="1:7" x14ac:dyDescent="0.2">
      <c r="A1000" s="13">
        <f t="shared" si="15"/>
        <v>993</v>
      </c>
      <c r="B1000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000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000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000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000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000" s="43">
        <f ca="1">NOW()-'LOS TIEMPOS'!$K$2</f>
        <v>42368.075526157409</v>
      </c>
    </row>
    <row r="1001" spans="1:7" x14ac:dyDescent="0.2">
      <c r="A1001" s="13">
        <f t="shared" si="15"/>
        <v>994</v>
      </c>
      <c r="B1001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001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001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001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001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001" s="43">
        <f ca="1">NOW()-'LOS TIEMPOS'!$K$2</f>
        <v>42368.075526157409</v>
      </c>
    </row>
    <row r="1002" spans="1:7" x14ac:dyDescent="0.2">
      <c r="A1002" s="13">
        <f t="shared" si="15"/>
        <v>995</v>
      </c>
      <c r="B1002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002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002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002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002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002" s="43">
        <f ca="1">NOW()-'LOS TIEMPOS'!$K$2</f>
        <v>42368.075526157409</v>
      </c>
    </row>
    <row r="1003" spans="1:7" x14ac:dyDescent="0.2">
      <c r="A1003" s="13">
        <f t="shared" si="15"/>
        <v>996</v>
      </c>
      <c r="B1003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003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003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003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003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003" s="43">
        <f ca="1">NOW()-'LOS TIEMPOS'!$K$2</f>
        <v>42368.075526157409</v>
      </c>
    </row>
    <row r="1004" spans="1:7" x14ac:dyDescent="0.2">
      <c r="A1004" s="13">
        <f t="shared" si="15"/>
        <v>997</v>
      </c>
      <c r="B1004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004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004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004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004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004" s="43">
        <f ca="1">NOW()-'LOS TIEMPOS'!$K$2</f>
        <v>42368.075526157409</v>
      </c>
    </row>
    <row r="1005" spans="1:7" x14ac:dyDescent="0.2">
      <c r="A1005" s="13">
        <f t="shared" si="15"/>
        <v>998</v>
      </c>
      <c r="B1005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005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005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005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005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005" s="43">
        <f ca="1">NOW()-'LOS TIEMPOS'!$K$2</f>
        <v>42368.075526157409</v>
      </c>
    </row>
    <row r="1006" spans="1:7" x14ac:dyDescent="0.2">
      <c r="A1006" s="13">
        <f t="shared" si="15"/>
        <v>999</v>
      </c>
      <c r="B1006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006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006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006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006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006" s="43">
        <f ca="1">NOW()-'LOS TIEMPOS'!$K$2</f>
        <v>42368.075526157409</v>
      </c>
    </row>
    <row r="1007" spans="1:7" x14ac:dyDescent="0.2">
      <c r="A1007" s="13">
        <f t="shared" si="15"/>
        <v>1000</v>
      </c>
      <c r="B1007" s="10" t="str">
        <f>IF(LaCategoria="",IF(Tabla9[[#This Row],[Id]]&lt;=COUNTIF(TablaTiempos[Categoría],LaCarrera),Tabla9[[#This Row],[Id]],""),IF(Tabla9[[#This Row],[Id]]&lt;=COUNTIF(TablaTiempos[Valor 2],CONCATENATE(LaCarrera,"_",LaCategoria)),Tabla9[[#This Row],[Id]],""))</f>
        <v/>
      </c>
      <c r="C1007" s="45" t="str">
        <f>IF(Tabla9[[#This Row],[Pos]]="","",IF(LaCategoria="",VLOOKUP(CONCATENATE(Tabla9[[#This Row],[Pos]],"_",LaCarrera),TablaTiempos[[Dato 1]:[Club]],10,FALSE),VLOOKUP(CONCATENATE(Tabla9[[#This Row],[Pos]],"_",LaCarrera,"_",LaCategoria),TablaTiempos[[Dato 2]:[Club]],7,FALSE)))</f>
        <v/>
      </c>
      <c r="D1007" s="13" t="str">
        <f>IF(Tabla9[[#This Row],[Pos]]="","",IF(LaCategoria="",VLOOKUP(CONCATENATE(Tabla9[[#This Row],[Pos]],"_",LaCarrera),TablaTiempos[[Dato 1]:[Club]],12,FALSE),VLOOKUP(CONCATENATE(Tabla9[[#This Row],[Pos]],"_",LaCarrera,"_",LaCategoria),TablaTiempos[[Dato 2]:[Club]],9,FALSE)))</f>
        <v/>
      </c>
      <c r="E1007" s="13" t="str">
        <f>IF(Tabla9[[#This Row],[Pos]]="","",IF(LaCategoria="",VLOOKUP(CONCATENATE(Tabla9[[#This Row],[Pos]],"_",LaCarrera),TablaTiempos[[Dato 1]:[Club]],15,FALSE),VLOOKUP(CONCATENATE(Tabla9[[#This Row],[Pos]],"_",LaCarrera,"_",LaCategoria),TablaTiempos[[Dato 2]:[Club]],12,FALSE)))</f>
        <v/>
      </c>
      <c r="F1007" s="13" t="str">
        <f>IF(Tabla9[[#This Row],[Pos]]="","",IF(LaCategoria="",VLOOKUP(CONCATENATE(Tabla9[[#This Row],[Pos]],"_",LaCarrera),TablaTiempos[[Dato 1]:[Club]],14,FALSE),VLOOKUP(CONCATENATE(Tabla9[[#This Row],[Pos]],"_",LaCarrera,"_",LaCategoria),TablaTiempos[[Dato 2]:[Club]],11,FALSE)))</f>
        <v/>
      </c>
      <c r="G1007" s="43">
        <f ca="1">NOW()-'LOS TIEMPOS'!$K$2</f>
        <v>42368.075526157409</v>
      </c>
    </row>
  </sheetData>
  <mergeCells count="3">
    <mergeCell ref="C2:D2"/>
    <mergeCell ref="C3:D3"/>
    <mergeCell ref="A5:G5"/>
  </mergeCells>
  <conditionalFormatting sqref="A8:A1007">
    <cfRule type="iconSet" priority="1">
      <iconSet iconSet="4TrafficLights" showValue="0" reverse="1">
        <cfvo type="percent" val="0"/>
        <cfvo type="num" val="1" gte="0"/>
        <cfvo type="num" val="2" gte="0"/>
        <cfvo type="num" val="3" gte="0"/>
      </iconSet>
    </cfRule>
  </conditionalFormatting>
  <pageMargins left="0.7" right="0.7" top="0.75" bottom="0.75" header="0.3" footer="0.3"/>
  <pageSetup paperSize="9" orientation="portrait" horizontalDpi="4294967293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OFFSET('LAS CARRERAS'!$D$4:$D$4,0,0,COUNTA('LAS CARRERAS'!D:D)-2)</xm:f>
          </x14:formula1>
          <xm:sqref>C2</xm:sqref>
        </x14:dataValidation>
        <x14:dataValidation type="list" allowBlank="1" showInputMessage="1" showErrorMessage="1">
          <x14:formula1>
            <xm:f>OFFSET('LAS CATEGORIAS'!$F$4:$F$4,0,0,COUNTA('LAS CATEGORIAS'!F:F)-2)</xm:f>
          </x14:formula1>
          <xm:sqref>C3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5" tint="-0.499984740745262"/>
  </sheetPr>
  <dimension ref="A1:P1007"/>
  <sheetViews>
    <sheetView workbookViewId="0">
      <selection activeCell="F8" sqref="F8"/>
    </sheetView>
  </sheetViews>
  <sheetFormatPr baseColWidth="10" defaultRowHeight="12.75" x14ac:dyDescent="0.2"/>
  <cols>
    <col min="1" max="1" width="4.7109375" style="10" bestFit="1" customWidth="1"/>
    <col min="2" max="2" width="23" style="10" bestFit="1" customWidth="1"/>
    <col min="3" max="3" width="12.85546875" style="10" customWidth="1"/>
    <col min="4" max="5" width="12.85546875" style="13" customWidth="1"/>
    <col min="6" max="7" width="23" style="13" customWidth="1"/>
    <col min="8" max="8" width="12" style="10" bestFit="1" customWidth="1"/>
    <col min="9" max="11" width="11.42578125" style="12"/>
    <col min="12" max="12" width="11.42578125" style="13"/>
    <col min="13" max="16" width="11.42578125" style="12"/>
    <col min="17" max="16384" width="11.42578125" style="10"/>
  </cols>
  <sheetData>
    <row r="1" spans="1:16" ht="13.5" thickBot="1" x14ac:dyDescent="0.25"/>
    <row r="2" spans="1:16" s="37" customFormat="1" ht="18" customHeight="1" thickBot="1" x14ac:dyDescent="0.4">
      <c r="B2" s="46" t="s">
        <v>79</v>
      </c>
      <c r="C2" s="127" t="s">
        <v>80</v>
      </c>
      <c r="D2" s="128"/>
      <c r="E2" s="38"/>
      <c r="F2" s="38"/>
      <c r="G2" s="38"/>
      <c r="I2" s="39"/>
      <c r="J2" s="39"/>
      <c r="K2" s="39"/>
      <c r="L2" s="38"/>
      <c r="M2" s="39"/>
      <c r="N2" s="39"/>
      <c r="O2" s="39"/>
      <c r="P2" s="39"/>
    </row>
    <row r="3" spans="1:16" s="37" customFormat="1" ht="18" customHeight="1" thickBot="1" x14ac:dyDescent="0.4">
      <c r="B3" s="46" t="s">
        <v>25</v>
      </c>
      <c r="C3" s="127" t="s">
        <v>8</v>
      </c>
      <c r="D3" s="128"/>
      <c r="E3" s="38"/>
      <c r="F3" s="38"/>
      <c r="G3" s="38"/>
      <c r="I3" s="39"/>
      <c r="J3" s="39"/>
      <c r="K3" s="39"/>
      <c r="L3" s="38"/>
      <c r="M3" s="39"/>
      <c r="N3" s="39"/>
      <c r="O3" s="39"/>
      <c r="P3" s="39"/>
    </row>
    <row r="4" spans="1:16" ht="13.5" thickBot="1" x14ac:dyDescent="0.25"/>
    <row r="5" spans="1:16" ht="19.5" thickBot="1" x14ac:dyDescent="0.25">
      <c r="A5" s="129" t="str">
        <f>IF(ISBLANK(LaCarrera),"Establece filtro para la CARRERA y/o CATEGORÍA",CONCATENATE("CLASIFICACIÓN ",IF(ISBLANK(LaCategoria),CONCATENATE("CARRERA ",LaCarrera),CONCATENATE("CARRERA ",LaCarrera," - CATEGORÍA ",LaCategoria))))</f>
        <v>CLASIFICACIÓN CARRERA LARGA - CATEGORÍA ABSOLUTA MASCULINA</v>
      </c>
      <c r="B5" s="129"/>
      <c r="C5" s="129"/>
      <c r="D5" s="129"/>
      <c r="E5" s="129"/>
      <c r="F5" s="129"/>
      <c r="G5" s="129"/>
      <c r="H5" s="129"/>
    </row>
    <row r="7" spans="1:16" ht="15.75" x14ac:dyDescent="0.25">
      <c r="A7" s="36" t="s">
        <v>46</v>
      </c>
      <c r="B7" s="44" t="s">
        <v>93</v>
      </c>
      <c r="C7" s="44" t="s">
        <v>99</v>
      </c>
      <c r="D7" s="6" t="s">
        <v>100</v>
      </c>
      <c r="E7" s="6" t="s">
        <v>101</v>
      </c>
      <c r="F7" s="6" t="s">
        <v>103</v>
      </c>
      <c r="G7" s="6" t="s">
        <v>104</v>
      </c>
      <c r="H7" s="36" t="s">
        <v>102</v>
      </c>
    </row>
    <row r="8" spans="1:16" x14ac:dyDescent="0.2">
      <c r="A8" s="13">
        <f>IF(ROW()-5&lt;=COUNTA(TablaEquipos[Compite]),ROW()-7,"")</f>
        <v>1</v>
      </c>
      <c r="B8" s="10" t="str">
        <f>IF(Tabla96[[#This Row],[Id]]="","",VLOOKUP(Tabla96[[#This Row],[Id]]+1,TablaEquipos[],3,FALSE))</f>
        <v>ATLETISMO PEÑA AZAGRESA</v>
      </c>
      <c r="C8" s="45">
        <f>IF(Tabla96[[#This Row],[Id]]="","",VLOOKUP(Tabla96[[#This Row],[Id]]+1,TablaEquipos[],4,FALSE))</f>
        <v>1</v>
      </c>
      <c r="D8" s="13">
        <f>IF(Tabla96[[#This Row],[Id]]="","",COUNTIF(TablaTiempos[Club],Tabla96[[#This Row],[Pos]]))</f>
        <v>1</v>
      </c>
      <c r="E8" s="47">
        <f>IF(Tabla96[[#This Row],[Id]]="","",Tabla96[[#This Row],[Total Llegados a Meta]]/Tabla96[[#This Row],[Total Inscritos]])</f>
        <v>1</v>
      </c>
      <c r="F8" s="13" t="e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>#N/A</v>
      </c>
      <c r="H8" s="43">
        <f ca="1">NOW()-'LOS TIEMPOS'!$K$2</f>
        <v>42368.075526157409</v>
      </c>
    </row>
    <row r="9" spans="1:16" x14ac:dyDescent="0.2">
      <c r="A9" s="13">
        <f>IF(ROW()-5&lt;=COUNTA(TablaEquipos[Compite]),ROW()-7,"")</f>
        <v>2</v>
      </c>
      <c r="B9" s="10" t="str">
        <f>IF(Tabla96[[#This Row],[Id]]="","",VLOOKUP(Tabla96[[#This Row],[Id]]+1,TablaEquipos[],3,FALSE))</f>
        <v>RINCÓN ATLETISMO</v>
      </c>
      <c r="C9" s="45">
        <f>IF(Tabla96[[#This Row],[Id]]="","",VLOOKUP(Tabla96[[#This Row],[Id]]+1,TablaEquipos[],4,FALSE))</f>
        <v>1</v>
      </c>
      <c r="D9" s="13">
        <f>IF(Tabla96[[#This Row],[Id]]="","",COUNTIF(TablaTiempos[Club],Tabla96[[#This Row],[Pos]]))</f>
        <v>1</v>
      </c>
      <c r="E9" s="47">
        <f>IF(Tabla96[[#This Row],[Id]]="","",Tabla96[[#This Row],[Total Llegados a Meta]]/Tabla96[[#This Row],[Total Inscritos]])</f>
        <v>1</v>
      </c>
      <c r="F9" s="13" t="e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>#N/A</v>
      </c>
      <c r="H9" s="43">
        <f ca="1">NOW()-'LOS TIEMPOS'!$K$2</f>
        <v>42368.075526157409</v>
      </c>
    </row>
    <row r="10" spans="1:16" x14ac:dyDescent="0.2">
      <c r="A10" s="13">
        <f>IF(ROW()-5&lt;=COUNTA(TablaEquipos[Compite]),ROW()-7,"")</f>
        <v>3</v>
      </c>
      <c r="B10" s="10" t="str">
        <f>IF(Tabla96[[#This Row],[Id]]="","",VLOOKUP(Tabla96[[#This Row],[Id]]+1,TablaEquipos[],3,FALSE))</f>
        <v>ATLETISMO ENTREVIÑAS</v>
      </c>
      <c r="C10" s="45">
        <f>IF(Tabla96[[#This Row],[Id]]="","",VLOOKUP(Tabla96[[#This Row],[Id]]+1,TablaEquipos[],4,FALSE))</f>
        <v>2</v>
      </c>
      <c r="D10" s="13">
        <f>IF(Tabla96[[#This Row],[Id]]="","",COUNTIF(TablaTiempos[Club],Tabla96[[#This Row],[Pos]]))</f>
        <v>2</v>
      </c>
      <c r="E10" s="47">
        <f>IF(Tabla96[[#This Row],[Id]]="","",Tabla96[[#This Row],[Total Llegados a Meta]]/Tabla96[[#This Row],[Total Inscritos]])</f>
        <v>1</v>
      </c>
      <c r="F10" s="13" t="e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>#N/A</v>
      </c>
      <c r="H10" s="43">
        <f ca="1">NOW()-'LOS TIEMPOS'!$K$2</f>
        <v>42368.075526157409</v>
      </c>
    </row>
    <row r="11" spans="1:16" x14ac:dyDescent="0.2">
      <c r="A11" s="13">
        <f>IF(ROW()-5&lt;=COUNTA(TablaEquipos[Compite]),ROW()-7,"")</f>
        <v>4</v>
      </c>
      <c r="B11" s="10" t="str">
        <f>IF(Tabla96[[#This Row],[Id]]="","",VLOOKUP(Tabla96[[#This Row],[Id]]+1,TablaEquipos[],3,FALSE))</f>
        <v>INFERNO ALFARO</v>
      </c>
      <c r="C11" s="45">
        <f>IF(Tabla96[[#This Row],[Id]]="","",VLOOKUP(Tabla96[[#This Row],[Id]]+1,TablaEquipos[],4,FALSE))</f>
        <v>0</v>
      </c>
      <c r="D11" s="13">
        <f>IF(Tabla96[[#This Row],[Id]]="","",COUNTIF(TablaTiempos[Club],Tabla96[[#This Row],[Pos]]))</f>
        <v>0</v>
      </c>
      <c r="E11" s="47" t="e">
        <f>IF(Tabla96[[#This Row],[Id]]="","",Tabla96[[#This Row],[Total Llegados a Meta]]/Tabla96[[#This Row],[Total Inscritos]])</f>
        <v>#DIV/0!</v>
      </c>
      <c r="F11" s="13" t="e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>#N/A</v>
      </c>
      <c r="H11" s="43">
        <f ca="1">NOW()-'LOS TIEMPOS'!$K$2</f>
        <v>42368.075526157409</v>
      </c>
    </row>
    <row r="12" spans="1:16" x14ac:dyDescent="0.2">
      <c r="A12" s="13">
        <f>IF(ROW()-5&lt;=COUNTA(TablaEquipos[Compite]),ROW()-7,"")</f>
        <v>5</v>
      </c>
      <c r="B12" s="10" t="str">
        <f>IF(Tabla96[[#This Row],[Id]]="","",VLOOKUP(Tabla96[[#This Row],[Id]]+1,TablaEquipos[],3,FALSE))</f>
        <v>INTER-RUNNERS</v>
      </c>
      <c r="C12" s="45">
        <f>IF(Tabla96[[#This Row],[Id]]="","",VLOOKUP(Tabla96[[#This Row],[Id]]+1,TablaEquipos[],4,FALSE))</f>
        <v>1</v>
      </c>
      <c r="D12" s="13">
        <f>IF(Tabla96[[#This Row],[Id]]="","",COUNTIF(TablaTiempos[Club],Tabla96[[#This Row],[Pos]]))</f>
        <v>1</v>
      </c>
      <c r="E12" s="47">
        <f>IF(Tabla96[[#This Row],[Id]]="","",Tabla96[[#This Row],[Total Llegados a Meta]]/Tabla96[[#This Row],[Total Inscritos]])</f>
        <v>1</v>
      </c>
      <c r="F12" s="13" t="e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>#N/A</v>
      </c>
      <c r="H12" s="43">
        <f ca="1">NOW()-'LOS TIEMPOS'!$K$2</f>
        <v>42368.075526157409</v>
      </c>
    </row>
    <row r="13" spans="1:16" x14ac:dyDescent="0.2">
      <c r="A13" s="13">
        <f>IF(ROW()-5&lt;=COUNTA(TablaEquipos[Compite]),ROW()-7,"")</f>
        <v>6</v>
      </c>
      <c r="B13" s="10" t="str">
        <f>IF(Tabla96[[#This Row],[Id]]="","",VLOOKUP(Tabla96[[#This Row],[Id]]+1,TablaEquipos[],3,FALSE))</f>
        <v>CLARA CAMPOAMOR</v>
      </c>
      <c r="C13" s="45">
        <f>IF(Tabla96[[#This Row],[Id]]="","",VLOOKUP(Tabla96[[#This Row],[Id]]+1,TablaEquipos[],4,FALSE))</f>
        <v>1</v>
      </c>
      <c r="D13" s="13">
        <f>IF(Tabla96[[#This Row],[Id]]="","",COUNTIF(TablaTiempos[Club],Tabla96[[#This Row],[Pos]]))</f>
        <v>1</v>
      </c>
      <c r="E13" s="47">
        <f>IF(Tabla96[[#This Row],[Id]]="","",Tabla96[[#This Row],[Total Llegados a Meta]]/Tabla96[[#This Row],[Total Inscritos]])</f>
        <v>1</v>
      </c>
      <c r="F13" s="13" t="e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>#N/A</v>
      </c>
      <c r="H13" s="43">
        <f ca="1">NOW()-'LOS TIEMPOS'!$K$2</f>
        <v>42368.075526157409</v>
      </c>
    </row>
    <row r="14" spans="1:16" x14ac:dyDescent="0.2">
      <c r="A14" s="13">
        <f>IF(ROW()-5&lt;=COUNTA(TablaEquipos[Compite]),ROW()-7,"")</f>
        <v>7</v>
      </c>
      <c r="B14" s="10" t="str">
        <f>IF(Tabla96[[#This Row],[Id]]="","",VLOOKUP(Tabla96[[#This Row],[Id]]+1,TablaEquipos[],3,FALSE))</f>
        <v>KANDEVICO</v>
      </c>
      <c r="C14" s="45">
        <f>IF(Tabla96[[#This Row],[Id]]="","",VLOOKUP(Tabla96[[#This Row],[Id]]+1,TablaEquipos[],4,FALSE))</f>
        <v>0</v>
      </c>
      <c r="D14" s="13">
        <f>IF(Tabla96[[#This Row],[Id]]="","",COUNTIF(TablaTiempos[Club],Tabla96[[#This Row],[Pos]]))</f>
        <v>0</v>
      </c>
      <c r="E14" s="47" t="e">
        <f>IF(Tabla96[[#This Row],[Id]]="","",Tabla96[[#This Row],[Total Llegados a Meta]]/Tabla96[[#This Row],[Total Inscritos]])</f>
        <v>#DIV/0!</v>
      </c>
      <c r="F14" s="13" t="e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>#N/A</v>
      </c>
      <c r="H14" s="43">
        <f ca="1">NOW()-'LOS TIEMPOS'!$K$2</f>
        <v>42368.075526157409</v>
      </c>
    </row>
    <row r="15" spans="1:16" x14ac:dyDescent="0.2">
      <c r="A15" s="13">
        <f>IF(ROW()-5&lt;=COUNTA(TablaEquipos[Compite]),ROW()-7,"")</f>
        <v>8</v>
      </c>
      <c r="B15" s="10" t="str">
        <f>IF(Tabla96[[#This Row],[Id]]="","",VLOOKUP(Tabla96[[#This Row],[Id]]+1,TablaEquipos[],3,FALSE))</f>
        <v>CALAGURRIS ATLÉTICO</v>
      </c>
      <c r="C15" s="45">
        <f>IF(Tabla96[[#This Row],[Id]]="","",VLOOKUP(Tabla96[[#This Row],[Id]]+1,TablaEquipos[],4,FALSE))</f>
        <v>0</v>
      </c>
      <c r="D15" s="13">
        <f>IF(Tabla96[[#This Row],[Id]]="","",COUNTIF(TablaTiempos[Club],Tabla96[[#This Row],[Pos]]))</f>
        <v>0</v>
      </c>
      <c r="E15" s="47" t="e">
        <f>IF(Tabla96[[#This Row],[Id]]="","",Tabla96[[#This Row],[Total Llegados a Meta]]/Tabla96[[#This Row],[Total Inscritos]])</f>
        <v>#DIV/0!</v>
      </c>
      <c r="F15" s="13" t="e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>#N/A</v>
      </c>
      <c r="H15" s="43">
        <f ca="1">NOW()-'LOS TIEMPOS'!$K$2</f>
        <v>42368.075526157409</v>
      </c>
    </row>
    <row r="16" spans="1:16" x14ac:dyDescent="0.2">
      <c r="A16" s="13">
        <f>IF(ROW()-5&lt;=COUNTA(TablaEquipos[Compite]),ROW()-7,"")</f>
        <v>9</v>
      </c>
      <c r="B16" s="10" t="str">
        <f>IF(Tabla96[[#This Row],[Id]]="","",VLOOKUP(Tabla96[[#This Row],[Id]]+1,TablaEquipos[],3,FALSE))</f>
        <v>ZOTAS</v>
      </c>
      <c r="C16" s="45">
        <f>IF(Tabla96[[#This Row],[Id]]="","",VLOOKUP(Tabla96[[#This Row],[Id]]+1,TablaEquipos[],4,FALSE))</f>
        <v>0</v>
      </c>
      <c r="D16" s="13">
        <f>IF(Tabla96[[#This Row],[Id]]="","",COUNTIF(TablaTiempos[Club],Tabla96[[#This Row],[Pos]]))</f>
        <v>0</v>
      </c>
      <c r="E16" s="47" t="e">
        <f>IF(Tabla96[[#This Row],[Id]]="","",Tabla96[[#This Row],[Total Llegados a Meta]]/Tabla96[[#This Row],[Total Inscritos]])</f>
        <v>#DIV/0!</v>
      </c>
      <c r="F16" s="13" t="e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>#N/A</v>
      </c>
      <c r="H16" s="43">
        <f ca="1">NOW()-'LOS TIEMPOS'!$K$2</f>
        <v>42368.075526157409</v>
      </c>
    </row>
    <row r="17" spans="1:8" x14ac:dyDescent="0.2">
      <c r="A17" s="13">
        <f>IF(ROW()-5&lt;=COUNTA(TablaEquipos[Compite]),ROW()-7,"")</f>
        <v>10</v>
      </c>
      <c r="B17" s="10" t="str">
        <f>IF(Tabla96[[#This Row],[Id]]="","",VLOOKUP(Tabla96[[#This Row],[Id]]+1,TablaEquipos[],3,FALSE))</f>
        <v>ARDOI</v>
      </c>
      <c r="C17" s="45">
        <f>IF(Tabla96[[#This Row],[Id]]="","",VLOOKUP(Tabla96[[#This Row],[Id]]+1,TablaEquipos[],4,FALSE))</f>
        <v>0</v>
      </c>
      <c r="D17" s="13">
        <f>IF(Tabla96[[#This Row],[Id]]="","",COUNTIF(TablaTiempos[Club],Tabla96[[#This Row],[Pos]]))</f>
        <v>0</v>
      </c>
      <c r="E17" s="47" t="e">
        <f>IF(Tabla96[[#This Row],[Id]]="","",Tabla96[[#This Row],[Total Llegados a Meta]]/Tabla96[[#This Row],[Total Inscritos]])</f>
        <v>#DIV/0!</v>
      </c>
      <c r="F17" s="13" t="e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>#N/A</v>
      </c>
      <c r="H17" s="43">
        <f ca="1">NOW()-'LOS TIEMPOS'!$K$2</f>
        <v>42368.075526157409</v>
      </c>
    </row>
    <row r="18" spans="1:8" x14ac:dyDescent="0.2">
      <c r="A18" s="13">
        <f>IF(ROW()-5&lt;=COUNTA(TablaEquipos[Compite]),ROW()-7,"")</f>
        <v>11</v>
      </c>
      <c r="B18" s="10" t="str">
        <f>IF(Tabla96[[#This Row],[Id]]="","",VLOOKUP(Tabla96[[#This Row],[Id]]+1,TablaEquipos[],3,FALSE))</f>
        <v>CASTEJÓN RUNNERS</v>
      </c>
      <c r="C18" s="45">
        <f>IF(Tabla96[[#This Row],[Id]]="","",VLOOKUP(Tabla96[[#This Row],[Id]]+1,TablaEquipos[],4,FALSE))</f>
        <v>0</v>
      </c>
      <c r="D18" s="13">
        <f>IF(Tabla96[[#This Row],[Id]]="","",COUNTIF(TablaTiempos[Club],Tabla96[[#This Row],[Pos]]))</f>
        <v>0</v>
      </c>
      <c r="E18" s="47" t="e">
        <f>IF(Tabla96[[#This Row],[Id]]="","",Tabla96[[#This Row],[Total Llegados a Meta]]/Tabla96[[#This Row],[Total Inscritos]])</f>
        <v>#DIV/0!</v>
      </c>
      <c r="F18" s="13" t="e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>#N/A</v>
      </c>
      <c r="H18" s="43">
        <f ca="1">NOW()-'LOS TIEMPOS'!$K$2</f>
        <v>42368.075526157409</v>
      </c>
    </row>
    <row r="19" spans="1:8" x14ac:dyDescent="0.2">
      <c r="A19" s="13">
        <f>IF(ROW()-5&lt;=COUNTA(TablaEquipos[Compite]),ROW()-7,"")</f>
        <v>12</v>
      </c>
      <c r="B19" s="10" t="str">
        <f>IF(Tabla96[[#This Row],[Id]]="","",VLOOKUP(Tabla96[[#This Row],[Id]]+1,TablaEquipos[],3,FALSE))</f>
        <v>360 RIOJA RUNNERS</v>
      </c>
      <c r="C19" s="45">
        <f>IF(Tabla96[[#This Row],[Id]]="","",VLOOKUP(Tabla96[[#This Row],[Id]]+1,TablaEquipos[],4,FALSE))</f>
        <v>0</v>
      </c>
      <c r="D19" s="13">
        <f>IF(Tabla96[[#This Row],[Id]]="","",COUNTIF(TablaTiempos[Club],Tabla96[[#This Row],[Pos]]))</f>
        <v>0</v>
      </c>
      <c r="E19" s="47" t="e">
        <f>IF(Tabla96[[#This Row],[Id]]="","",Tabla96[[#This Row],[Total Llegados a Meta]]/Tabla96[[#This Row],[Total Inscritos]])</f>
        <v>#DIV/0!</v>
      </c>
      <c r="F19" s="13" t="e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>#N/A</v>
      </c>
      <c r="H19" s="43">
        <f ca="1">NOW()-'LOS TIEMPOS'!$K$2</f>
        <v>42368.075526157409</v>
      </c>
    </row>
    <row r="20" spans="1:8" x14ac:dyDescent="0.2">
      <c r="A20" s="13">
        <f>IF(ROW()-5&lt;=COUNTA(TablaEquipos[Compite]),ROW()-7,"")</f>
        <v>13</v>
      </c>
      <c r="B20" s="10" t="str">
        <f>IF(Tabla96[[#This Row],[Id]]="","",VLOOKUP(Tabla96[[#This Row],[Id]]+1,TablaEquipos[],3,FALSE))</f>
        <v>PERALTA ATLETICO</v>
      </c>
      <c r="C20" s="45">
        <f>IF(Tabla96[[#This Row],[Id]]="","",VLOOKUP(Tabla96[[#This Row],[Id]]+1,TablaEquipos[],4,FALSE))</f>
        <v>0</v>
      </c>
      <c r="D20" s="13">
        <f>IF(Tabla96[[#This Row],[Id]]="","",COUNTIF(TablaTiempos[Club],Tabla96[[#This Row],[Pos]]))</f>
        <v>0</v>
      </c>
      <c r="E20" s="47" t="e">
        <f>IF(Tabla96[[#This Row],[Id]]="","",Tabla96[[#This Row],[Total Llegados a Meta]]/Tabla96[[#This Row],[Total Inscritos]])</f>
        <v>#DIV/0!</v>
      </c>
      <c r="F20" s="13" t="e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>#N/A</v>
      </c>
      <c r="H20" s="43">
        <f ca="1">NOW()-'LOS TIEMPOS'!$K$2</f>
        <v>42368.075526157409</v>
      </c>
    </row>
    <row r="21" spans="1:8" x14ac:dyDescent="0.2">
      <c r="A21" s="13">
        <f>IF(ROW()-5&lt;=COUNTA(TablaEquipos[Compite]),ROW()-7,"")</f>
        <v>14</v>
      </c>
      <c r="B21" s="10" t="str">
        <f>IF(Tabla96[[#This Row],[Id]]="","",VLOOKUP(Tabla96[[#This Row],[Id]]+1,TablaEquipos[],3,FALSE))</f>
        <v>ATLETISMO FUSTIÑANA</v>
      </c>
      <c r="C21" s="45">
        <f>IF(Tabla96[[#This Row],[Id]]="","",VLOOKUP(Tabla96[[#This Row],[Id]]+1,TablaEquipos[],4,FALSE))</f>
        <v>0</v>
      </c>
      <c r="D21" s="13">
        <f>IF(Tabla96[[#This Row],[Id]]="","",COUNTIF(TablaTiempos[Club],Tabla96[[#This Row],[Pos]]))</f>
        <v>0</v>
      </c>
      <c r="E21" s="47" t="e">
        <f>IF(Tabla96[[#This Row],[Id]]="","",Tabla96[[#This Row],[Total Llegados a Meta]]/Tabla96[[#This Row],[Total Inscritos]])</f>
        <v>#DIV/0!</v>
      </c>
      <c r="F21" s="13" t="e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>#N/A</v>
      </c>
      <c r="H21" s="43">
        <f ca="1">NOW()-'LOS TIEMPOS'!$K$2</f>
        <v>42368.075526157409</v>
      </c>
    </row>
    <row r="22" spans="1:8" x14ac:dyDescent="0.2">
      <c r="A22" s="13">
        <f>IF(ROW()-5&lt;=COUNTA(TablaEquipos[Compite]),ROW()-7,"")</f>
        <v>15</v>
      </c>
      <c r="B22" s="10" t="str">
        <f>IF(Tabla96[[#This Row],[Id]]="","",VLOOKUP(Tabla96[[#This Row],[Id]]+1,TablaEquipos[],3,FALSE))</f>
        <v>IGEA RUNNERS</v>
      </c>
      <c r="C22" s="45">
        <f>IF(Tabla96[[#This Row],[Id]]="","",VLOOKUP(Tabla96[[#This Row],[Id]]+1,TablaEquipos[],4,FALSE))</f>
        <v>0</v>
      </c>
      <c r="D22" s="13">
        <f>IF(Tabla96[[#This Row],[Id]]="","",COUNTIF(TablaTiempos[Club],Tabla96[[#This Row],[Pos]]))</f>
        <v>0</v>
      </c>
      <c r="E22" s="47" t="e">
        <f>IF(Tabla96[[#This Row],[Id]]="","",Tabla96[[#This Row],[Total Llegados a Meta]]/Tabla96[[#This Row],[Total Inscritos]])</f>
        <v>#DIV/0!</v>
      </c>
      <c r="F22" s="13" t="e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>#N/A</v>
      </c>
      <c r="H22" s="43">
        <f ca="1">NOW()-'LOS TIEMPOS'!$K$2</f>
        <v>42368.075526157409</v>
      </c>
    </row>
    <row r="23" spans="1:8" x14ac:dyDescent="0.2">
      <c r="A23" s="13">
        <f>IF(ROW()-5&lt;=COUNTA(TablaEquipos[Compite]),ROW()-7,"")</f>
        <v>16</v>
      </c>
      <c r="B23" s="10" t="str">
        <f>IF(Tabla96[[#This Row],[Id]]="","",VLOOKUP(Tabla96[[#This Row],[Id]]+1,TablaEquipos[],3,FALSE))</f>
        <v>LOGROÑO TRIATLÓN</v>
      </c>
      <c r="C23" s="45">
        <f>IF(Tabla96[[#This Row],[Id]]="","",VLOOKUP(Tabla96[[#This Row],[Id]]+1,TablaEquipos[],4,FALSE))</f>
        <v>0</v>
      </c>
      <c r="D23" s="13">
        <f>IF(Tabla96[[#This Row],[Id]]="","",COUNTIF(TablaTiempos[Club],Tabla96[[#This Row],[Pos]]))</f>
        <v>0</v>
      </c>
      <c r="E23" s="47" t="e">
        <f>IF(Tabla96[[#This Row],[Id]]="","",Tabla96[[#This Row],[Total Llegados a Meta]]/Tabla96[[#This Row],[Total Inscritos]])</f>
        <v>#DIV/0!</v>
      </c>
      <c r="F23" s="13" t="e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>#N/A</v>
      </c>
      <c r="H23" s="43">
        <f ca="1">NOW()-'LOS TIEMPOS'!$K$2</f>
        <v>42368.075526157409</v>
      </c>
    </row>
    <row r="24" spans="1:8" x14ac:dyDescent="0.2">
      <c r="A24" s="13">
        <f>IF(ROW()-5&lt;=COUNTA(TablaEquipos[Compite]),ROW()-7,"")</f>
        <v>17</v>
      </c>
      <c r="B24" s="10" t="str">
        <f>IF(Tabla96[[#This Row],[Id]]="","",VLOOKUP(Tabla96[[#This Row],[Id]]+1,TablaEquipos[],3,FALSE))</f>
        <v>ATLETISMO SAN ADRIÁN</v>
      </c>
      <c r="C24" s="45">
        <f>IF(Tabla96[[#This Row],[Id]]="","",VLOOKUP(Tabla96[[#This Row],[Id]]+1,TablaEquipos[],4,FALSE))</f>
        <v>0</v>
      </c>
      <c r="D24" s="13">
        <f>IF(Tabla96[[#This Row],[Id]]="","",COUNTIF(TablaTiempos[Club],Tabla96[[#This Row],[Pos]]))</f>
        <v>0</v>
      </c>
      <c r="E24" s="47" t="e">
        <f>IF(Tabla96[[#This Row],[Id]]="","",Tabla96[[#This Row],[Total Llegados a Meta]]/Tabla96[[#This Row],[Total Inscritos]])</f>
        <v>#DIV/0!</v>
      </c>
      <c r="F24" s="13" t="e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>#N/A</v>
      </c>
      <c r="H24" s="43">
        <f ca="1">NOW()-'LOS TIEMPOS'!$K$2</f>
        <v>42368.075526157409</v>
      </c>
    </row>
    <row r="25" spans="1:8" x14ac:dyDescent="0.2">
      <c r="A25" s="13">
        <f>IF(ROW()-5&lt;=COUNTA(TablaEquipos[Compite]),ROW()-7,"")</f>
        <v>18</v>
      </c>
      <c r="B25" s="10" t="str">
        <f>IF(Tabla96[[#This Row],[Id]]="","",VLOOKUP(Tabla96[[#This Row],[Id]]+1,TablaEquipos[],3,FALSE))</f>
        <v>ATLETISMO LODOSA</v>
      </c>
      <c r="C25" s="45">
        <f>IF(Tabla96[[#This Row],[Id]]="","",VLOOKUP(Tabla96[[#This Row],[Id]]+1,TablaEquipos[],4,FALSE))</f>
        <v>0</v>
      </c>
      <c r="D25" s="13">
        <f>IF(Tabla96[[#This Row],[Id]]="","",COUNTIF(TablaTiempos[Club],Tabla96[[#This Row],[Pos]]))</f>
        <v>0</v>
      </c>
      <c r="E25" s="47" t="e">
        <f>IF(Tabla96[[#This Row],[Id]]="","",Tabla96[[#This Row],[Total Llegados a Meta]]/Tabla96[[#This Row],[Total Inscritos]])</f>
        <v>#DIV/0!</v>
      </c>
      <c r="F25" s="13" t="e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>#N/A</v>
      </c>
      <c r="H25" s="43">
        <f ca="1">NOW()-'LOS TIEMPOS'!$K$2</f>
        <v>42368.075526157409</v>
      </c>
    </row>
    <row r="26" spans="1:8" x14ac:dyDescent="0.2">
      <c r="A26" s="13">
        <f>IF(ROW()-5&lt;=COUNTA(TablaEquipos[Compite]),ROW()-7,"")</f>
        <v>19</v>
      </c>
      <c r="B26" s="10" t="str">
        <f>IF(Tabla96[[#This Row],[Id]]="","",VLOOKUP(Tabla96[[#This Row],[Id]]+1,TablaEquipos[],3,FALSE))</f>
        <v>EL VILLAR RUNNING TEAM</v>
      </c>
      <c r="C26" s="45">
        <f>IF(Tabla96[[#This Row],[Id]]="","",VLOOKUP(Tabla96[[#This Row],[Id]]+1,TablaEquipos[],4,FALSE))</f>
        <v>0</v>
      </c>
      <c r="D26" s="13">
        <f>IF(Tabla96[[#This Row],[Id]]="","",COUNTIF(TablaTiempos[Club],Tabla96[[#This Row],[Pos]]))</f>
        <v>0</v>
      </c>
      <c r="E26" s="47" t="e">
        <f>IF(Tabla96[[#This Row],[Id]]="","",Tabla96[[#This Row],[Total Llegados a Meta]]/Tabla96[[#This Row],[Total Inscritos]])</f>
        <v>#DIV/0!</v>
      </c>
      <c r="F26" s="13" t="e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>#N/A</v>
      </c>
      <c r="H26" s="43">
        <f ca="1">NOW()-'LOS TIEMPOS'!$K$2</f>
        <v>42368.075526157409</v>
      </c>
    </row>
    <row r="27" spans="1:8" x14ac:dyDescent="0.2">
      <c r="A27" s="13">
        <f>IF(ROW()-5&lt;=COUNTA(TablaEquipos[Compite]),ROW()-7,"")</f>
        <v>20</v>
      </c>
      <c r="B27" s="10" t="str">
        <f>IF(Tabla96[[#This Row],[Id]]="","",VLOOKUP(Tabla96[[#This Row],[Id]]+1,TablaEquipos[],3,FALSE))</f>
        <v>SEBASTIÁN OMEÑACA</v>
      </c>
      <c r="C27" s="45">
        <f>IF(Tabla96[[#This Row],[Id]]="","",VLOOKUP(Tabla96[[#This Row],[Id]]+1,TablaEquipos[],4,FALSE))</f>
        <v>0</v>
      </c>
      <c r="D27" s="13">
        <f>IF(Tabla96[[#This Row],[Id]]="","",COUNTIF(TablaTiempos[Club],Tabla96[[#This Row],[Pos]]))</f>
        <v>0</v>
      </c>
      <c r="E27" s="47" t="e">
        <f>IF(Tabla96[[#This Row],[Id]]="","",Tabla96[[#This Row],[Total Llegados a Meta]]/Tabla96[[#This Row],[Total Inscritos]])</f>
        <v>#DIV/0!</v>
      </c>
      <c r="F27" s="13" t="e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>#N/A</v>
      </c>
      <c r="H27" s="43">
        <f ca="1">NOW()-'LOS TIEMPOS'!$K$2</f>
        <v>42368.075526157409</v>
      </c>
    </row>
    <row r="28" spans="1:8" x14ac:dyDescent="0.2">
      <c r="A28" s="13">
        <f>IF(ROW()-5&lt;=COUNTA(TablaEquipos[Compite]),ROW()-7,"")</f>
        <v>21</v>
      </c>
      <c r="B28" s="10" t="str">
        <f>IF(Tabla96[[#This Row],[Id]]="","",VLOOKUP(Tabla96[[#This Row],[Id]]+1,TablaEquipos[],3,FALSE))</f>
        <v>ATLETISMO CORELLA</v>
      </c>
      <c r="C28" s="45">
        <f>IF(Tabla96[[#This Row],[Id]]="","",VLOOKUP(Tabla96[[#This Row],[Id]]+1,TablaEquipos[],4,FALSE))</f>
        <v>0</v>
      </c>
      <c r="D28" s="13">
        <f>IF(Tabla96[[#This Row],[Id]]="","",COUNTIF(TablaTiempos[Club],Tabla96[[#This Row],[Pos]]))</f>
        <v>0</v>
      </c>
      <c r="E28" s="47" t="e">
        <f>IF(Tabla96[[#This Row],[Id]]="","",Tabla96[[#This Row],[Total Llegados a Meta]]/Tabla96[[#This Row],[Total Inscritos]])</f>
        <v>#DIV/0!</v>
      </c>
      <c r="F28" s="13" t="e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>#N/A</v>
      </c>
      <c r="H28" s="43">
        <f ca="1">NOW()-'LOS TIEMPOS'!$K$2</f>
        <v>42368.075526157409</v>
      </c>
    </row>
    <row r="29" spans="1:8" x14ac:dyDescent="0.2">
      <c r="A29" s="13">
        <f>IF(ROW()-5&lt;=COUNTA(TablaEquipos[Compite]),ROW()-7,"")</f>
        <v>22</v>
      </c>
      <c r="B29" s="10" t="str">
        <f>IF(Tabla96[[#This Row],[Id]]="","",VLOOKUP(Tabla96[[#This Row],[Id]]+1,TablaEquipos[],3,FALSE))</f>
        <v>ATLETISMO VILLAFRANCA</v>
      </c>
      <c r="C29" s="45">
        <f>IF(Tabla96[[#This Row],[Id]]="","",VLOOKUP(Tabla96[[#This Row],[Id]]+1,TablaEquipos[],4,FALSE))</f>
        <v>0</v>
      </c>
      <c r="D29" s="13">
        <f>IF(Tabla96[[#This Row],[Id]]="","",COUNTIF(TablaTiempos[Club],Tabla96[[#This Row],[Pos]]))</f>
        <v>0</v>
      </c>
      <c r="E29" s="47" t="e">
        <f>IF(Tabla96[[#This Row],[Id]]="","",Tabla96[[#This Row],[Total Llegados a Meta]]/Tabla96[[#This Row],[Total Inscritos]])</f>
        <v>#DIV/0!</v>
      </c>
      <c r="F29" s="13" t="e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>#N/A</v>
      </c>
      <c r="H29" s="43">
        <f ca="1">NOW()-'LOS TIEMPOS'!$K$2</f>
        <v>42368.075526157409</v>
      </c>
    </row>
    <row r="30" spans="1:8" x14ac:dyDescent="0.2">
      <c r="A30" s="13">
        <f>IF(ROW()-5&lt;=COUNTA(TablaEquipos[Compite]),ROW()-7,"")</f>
        <v>23</v>
      </c>
      <c r="B30" s="10" t="str">
        <f>IF(Tabla96[[#This Row],[Id]]="","",VLOOKUP(Tabla96[[#This Row],[Id]]+1,TablaEquipos[],3,FALSE))</f>
        <v>JAJAJA</v>
      </c>
      <c r="C30" s="45">
        <f>IF(Tabla96[[#This Row],[Id]]="","",VLOOKUP(Tabla96[[#This Row],[Id]]+1,TablaEquipos[],4,FALSE))</f>
        <v>0</v>
      </c>
      <c r="D30" s="13">
        <f>IF(Tabla96[[#This Row],[Id]]="","",COUNTIF(TablaTiempos[Club],Tabla96[[#This Row],[Pos]]))</f>
        <v>0</v>
      </c>
      <c r="E30" s="47" t="e">
        <f>IF(Tabla96[[#This Row],[Id]]="","",Tabla96[[#This Row],[Total Llegados a Meta]]/Tabla96[[#This Row],[Total Inscritos]])</f>
        <v>#DIV/0!</v>
      </c>
      <c r="F30" s="13" t="e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>#N/A</v>
      </c>
      <c r="H30" s="43">
        <f ca="1">NOW()-'LOS TIEMPOS'!$K$2</f>
        <v>42368.075526157409</v>
      </c>
    </row>
    <row r="31" spans="1:8" x14ac:dyDescent="0.2">
      <c r="A31" s="13" t="str">
        <f>IF(ROW()-5&lt;=COUNTA(TablaEquipos[Compite]),ROW()-7,"")</f>
        <v/>
      </c>
      <c r="B31" s="10" t="str">
        <f>IF(Tabla96[[#This Row],[Id]]="","",VLOOKUP(Tabla96[[#This Row],[Id]]+1,TablaEquipos[],3,FALSE))</f>
        <v/>
      </c>
      <c r="C31" s="45" t="str">
        <f>IF(Tabla96[[#This Row],[Id]]="","",VLOOKUP(Tabla96[[#This Row],[Id]]+1,TablaEquipos[],4,FALSE))</f>
        <v/>
      </c>
      <c r="D31" s="13" t="str">
        <f>IF(Tabla96[[#This Row],[Id]]="","",COUNTIF(TablaTiempos[Club],Tabla96[[#This Row],[Pos]]))</f>
        <v/>
      </c>
      <c r="E31" s="47" t="str">
        <f>IF(Tabla96[[#This Row],[Id]]="","",Tabla96[[#This Row],[Total Llegados a Meta]]/Tabla96[[#This Row],[Total Inscritos]])</f>
        <v/>
      </c>
      <c r="F3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1" s="43">
        <f ca="1">NOW()-'LOS TIEMPOS'!$K$2</f>
        <v>42368.075526157409</v>
      </c>
    </row>
    <row r="32" spans="1:8" x14ac:dyDescent="0.2">
      <c r="A32" s="13" t="str">
        <f>IF(ROW()-5&lt;=COUNTA(TablaEquipos[Compite]),ROW()-7,"")</f>
        <v/>
      </c>
      <c r="B32" s="10" t="str">
        <f>IF(Tabla96[[#This Row],[Id]]="","",VLOOKUP(Tabla96[[#This Row],[Id]]+1,TablaEquipos[],3,FALSE))</f>
        <v/>
      </c>
      <c r="C32" s="45" t="str">
        <f>IF(Tabla96[[#This Row],[Id]]="","",VLOOKUP(Tabla96[[#This Row],[Id]]+1,TablaEquipos[],4,FALSE))</f>
        <v/>
      </c>
      <c r="D32" s="13" t="str">
        <f>IF(Tabla96[[#This Row],[Id]]="","",COUNTIF(TablaTiempos[Club],Tabla96[[#This Row],[Pos]]))</f>
        <v/>
      </c>
      <c r="E32" s="47" t="str">
        <f>IF(Tabla96[[#This Row],[Id]]="","",Tabla96[[#This Row],[Total Llegados a Meta]]/Tabla96[[#This Row],[Total Inscritos]])</f>
        <v/>
      </c>
      <c r="F3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2" s="43">
        <f ca="1">NOW()-'LOS TIEMPOS'!$K$2</f>
        <v>42368.075526157409</v>
      </c>
    </row>
    <row r="33" spans="1:8" x14ac:dyDescent="0.2">
      <c r="A33" s="13" t="str">
        <f>IF(ROW()-5&lt;=COUNTA(TablaEquipos[Compite]),ROW()-7,"")</f>
        <v/>
      </c>
      <c r="B33" s="10" t="str">
        <f>IF(Tabla96[[#This Row],[Id]]="","",VLOOKUP(Tabla96[[#This Row],[Id]]+1,TablaEquipos[],3,FALSE))</f>
        <v/>
      </c>
      <c r="C33" s="45" t="str">
        <f>IF(Tabla96[[#This Row],[Id]]="","",VLOOKUP(Tabla96[[#This Row],[Id]]+1,TablaEquipos[],4,FALSE))</f>
        <v/>
      </c>
      <c r="D33" s="13" t="str">
        <f>IF(Tabla96[[#This Row],[Id]]="","",COUNTIF(TablaTiempos[Club],Tabla96[[#This Row],[Pos]]))</f>
        <v/>
      </c>
      <c r="E33" s="47" t="str">
        <f>IF(Tabla96[[#This Row],[Id]]="","",Tabla96[[#This Row],[Total Llegados a Meta]]/Tabla96[[#This Row],[Total Inscritos]])</f>
        <v/>
      </c>
      <c r="F3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3" s="43">
        <f ca="1">NOW()-'LOS TIEMPOS'!$K$2</f>
        <v>42368.075526157409</v>
      </c>
    </row>
    <row r="34" spans="1:8" x14ac:dyDescent="0.2">
      <c r="A34" s="13" t="str">
        <f>IF(ROW()-5&lt;=COUNTA(TablaEquipos[Compite]),ROW()-7,"")</f>
        <v/>
      </c>
      <c r="B34" s="10" t="str">
        <f>IF(Tabla96[[#This Row],[Id]]="","",VLOOKUP(Tabla96[[#This Row],[Id]]+1,TablaEquipos[],3,FALSE))</f>
        <v/>
      </c>
      <c r="C34" s="45" t="str">
        <f>IF(Tabla96[[#This Row],[Id]]="","",VLOOKUP(Tabla96[[#This Row],[Id]]+1,TablaEquipos[],4,FALSE))</f>
        <v/>
      </c>
      <c r="D34" s="13" t="str">
        <f>IF(Tabla96[[#This Row],[Id]]="","",COUNTIF(TablaTiempos[Club],Tabla96[[#This Row],[Pos]]))</f>
        <v/>
      </c>
      <c r="E34" s="47" t="str">
        <f>IF(Tabla96[[#This Row],[Id]]="","",Tabla96[[#This Row],[Total Llegados a Meta]]/Tabla96[[#This Row],[Total Inscritos]])</f>
        <v/>
      </c>
      <c r="F3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4" s="43">
        <f ca="1">NOW()-'LOS TIEMPOS'!$K$2</f>
        <v>42368.075526157409</v>
      </c>
    </row>
    <row r="35" spans="1:8" x14ac:dyDescent="0.2">
      <c r="A35" s="13" t="str">
        <f>IF(ROW()-5&lt;=COUNTA(TablaEquipos[Compite]),ROW()-7,"")</f>
        <v/>
      </c>
      <c r="B35" s="10" t="str">
        <f>IF(Tabla96[[#This Row],[Id]]="","",VLOOKUP(Tabla96[[#This Row],[Id]]+1,TablaEquipos[],3,FALSE))</f>
        <v/>
      </c>
      <c r="C35" s="45" t="str">
        <f>IF(Tabla96[[#This Row],[Id]]="","",VLOOKUP(Tabla96[[#This Row],[Id]]+1,TablaEquipos[],4,FALSE))</f>
        <v/>
      </c>
      <c r="D35" s="13" t="str">
        <f>IF(Tabla96[[#This Row],[Id]]="","",COUNTIF(TablaTiempos[Club],Tabla96[[#This Row],[Pos]]))</f>
        <v/>
      </c>
      <c r="E35" s="47" t="str">
        <f>IF(Tabla96[[#This Row],[Id]]="","",Tabla96[[#This Row],[Total Llegados a Meta]]/Tabla96[[#This Row],[Total Inscritos]])</f>
        <v/>
      </c>
      <c r="F3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5" s="43">
        <f ca="1">NOW()-'LOS TIEMPOS'!$K$2</f>
        <v>42368.075526157409</v>
      </c>
    </row>
    <row r="36" spans="1:8" x14ac:dyDescent="0.2">
      <c r="A36" s="13" t="str">
        <f>IF(ROW()-5&lt;=COUNTA(TablaEquipos[Compite]),ROW()-7,"")</f>
        <v/>
      </c>
      <c r="B36" s="10" t="str">
        <f>IF(Tabla96[[#This Row],[Id]]="","",VLOOKUP(Tabla96[[#This Row],[Id]]+1,TablaEquipos[],3,FALSE))</f>
        <v/>
      </c>
      <c r="C36" s="45" t="str">
        <f>IF(Tabla96[[#This Row],[Id]]="","",VLOOKUP(Tabla96[[#This Row],[Id]]+1,TablaEquipos[],4,FALSE))</f>
        <v/>
      </c>
      <c r="D36" s="13" t="str">
        <f>IF(Tabla96[[#This Row],[Id]]="","",COUNTIF(TablaTiempos[Club],Tabla96[[#This Row],[Pos]]))</f>
        <v/>
      </c>
      <c r="E36" s="47" t="str">
        <f>IF(Tabla96[[#This Row],[Id]]="","",Tabla96[[#This Row],[Total Llegados a Meta]]/Tabla96[[#This Row],[Total Inscritos]])</f>
        <v/>
      </c>
      <c r="F3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6" s="43">
        <f ca="1">NOW()-'LOS TIEMPOS'!$K$2</f>
        <v>42368.075526157409</v>
      </c>
    </row>
    <row r="37" spans="1:8" x14ac:dyDescent="0.2">
      <c r="A37" s="13" t="str">
        <f>IF(ROW()-5&lt;=COUNTA(TablaEquipos[Compite]),ROW()-7,"")</f>
        <v/>
      </c>
      <c r="B37" s="10" t="str">
        <f>IF(Tabla96[[#This Row],[Id]]="","",VLOOKUP(Tabla96[[#This Row],[Id]]+1,TablaEquipos[],3,FALSE))</f>
        <v/>
      </c>
      <c r="C37" s="45" t="str">
        <f>IF(Tabla96[[#This Row],[Id]]="","",VLOOKUP(Tabla96[[#This Row],[Id]]+1,TablaEquipos[],4,FALSE))</f>
        <v/>
      </c>
      <c r="D37" s="13" t="str">
        <f>IF(Tabla96[[#This Row],[Id]]="","",COUNTIF(TablaTiempos[Club],Tabla96[[#This Row],[Pos]]))</f>
        <v/>
      </c>
      <c r="E37" s="47" t="str">
        <f>IF(Tabla96[[#This Row],[Id]]="","",Tabla96[[#This Row],[Total Llegados a Meta]]/Tabla96[[#This Row],[Total Inscritos]])</f>
        <v/>
      </c>
      <c r="F3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7" s="43">
        <f ca="1">NOW()-'LOS TIEMPOS'!$K$2</f>
        <v>42368.075526157409</v>
      </c>
    </row>
    <row r="38" spans="1:8" x14ac:dyDescent="0.2">
      <c r="A38" s="13" t="str">
        <f>IF(ROW()-5&lt;=COUNTA(TablaEquipos[Compite]),ROW()-7,"")</f>
        <v/>
      </c>
      <c r="B38" s="10" t="str">
        <f>IF(Tabla96[[#This Row],[Id]]="","",VLOOKUP(Tabla96[[#This Row],[Id]]+1,TablaEquipos[],3,FALSE))</f>
        <v/>
      </c>
      <c r="C38" s="45" t="str">
        <f>IF(Tabla96[[#This Row],[Id]]="","",VLOOKUP(Tabla96[[#This Row],[Id]]+1,TablaEquipos[],4,FALSE))</f>
        <v/>
      </c>
      <c r="D38" s="13" t="str">
        <f>IF(Tabla96[[#This Row],[Id]]="","",COUNTIF(TablaTiempos[Club],Tabla96[[#This Row],[Pos]]))</f>
        <v/>
      </c>
      <c r="E38" s="47" t="str">
        <f>IF(Tabla96[[#This Row],[Id]]="","",Tabla96[[#This Row],[Total Llegados a Meta]]/Tabla96[[#This Row],[Total Inscritos]])</f>
        <v/>
      </c>
      <c r="F3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8" s="43">
        <f ca="1">NOW()-'LOS TIEMPOS'!$K$2</f>
        <v>42368.075526157409</v>
      </c>
    </row>
    <row r="39" spans="1:8" x14ac:dyDescent="0.2">
      <c r="A39" s="13" t="str">
        <f>IF(ROW()-5&lt;=COUNTA(TablaEquipos[Compite]),ROW()-7,"")</f>
        <v/>
      </c>
      <c r="B39" s="10" t="str">
        <f>IF(Tabla96[[#This Row],[Id]]="","",VLOOKUP(Tabla96[[#This Row],[Id]]+1,TablaEquipos[],3,FALSE))</f>
        <v/>
      </c>
      <c r="C39" s="45" t="str">
        <f>IF(Tabla96[[#This Row],[Id]]="","",VLOOKUP(Tabla96[[#This Row],[Id]]+1,TablaEquipos[],4,FALSE))</f>
        <v/>
      </c>
      <c r="D39" s="13" t="str">
        <f>IF(Tabla96[[#This Row],[Id]]="","",COUNTIF(TablaTiempos[Club],Tabla96[[#This Row],[Pos]]))</f>
        <v/>
      </c>
      <c r="E39" s="47" t="str">
        <f>IF(Tabla96[[#This Row],[Id]]="","",Tabla96[[#This Row],[Total Llegados a Meta]]/Tabla96[[#This Row],[Total Inscritos]])</f>
        <v/>
      </c>
      <c r="F3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9" s="43">
        <f ca="1">NOW()-'LOS TIEMPOS'!$K$2</f>
        <v>42368.075526157409</v>
      </c>
    </row>
    <row r="40" spans="1:8" x14ac:dyDescent="0.2">
      <c r="A40" s="13" t="str">
        <f>IF(ROW()-5&lt;=COUNTA(TablaEquipos[Compite]),ROW()-7,"")</f>
        <v/>
      </c>
      <c r="B40" s="10" t="str">
        <f>IF(Tabla96[[#This Row],[Id]]="","",VLOOKUP(Tabla96[[#This Row],[Id]]+1,TablaEquipos[],3,FALSE))</f>
        <v/>
      </c>
      <c r="C40" s="45" t="str">
        <f>IF(Tabla96[[#This Row],[Id]]="","",VLOOKUP(Tabla96[[#This Row],[Id]]+1,TablaEquipos[],4,FALSE))</f>
        <v/>
      </c>
      <c r="D40" s="13" t="str">
        <f>IF(Tabla96[[#This Row],[Id]]="","",COUNTIF(TablaTiempos[Club],Tabla96[[#This Row],[Pos]]))</f>
        <v/>
      </c>
      <c r="E40" s="47" t="str">
        <f>IF(Tabla96[[#This Row],[Id]]="","",Tabla96[[#This Row],[Total Llegados a Meta]]/Tabla96[[#This Row],[Total Inscritos]])</f>
        <v/>
      </c>
      <c r="F4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0" s="43">
        <f ca="1">NOW()-'LOS TIEMPOS'!$K$2</f>
        <v>42368.075526157409</v>
      </c>
    </row>
    <row r="41" spans="1:8" x14ac:dyDescent="0.2">
      <c r="A41" s="13" t="str">
        <f>IF(ROW()-5&lt;=COUNTA(TablaEquipos[Compite]),ROW()-7,"")</f>
        <v/>
      </c>
      <c r="B41" s="10" t="str">
        <f>IF(Tabla96[[#This Row],[Id]]="","",VLOOKUP(Tabla96[[#This Row],[Id]]+1,TablaEquipos[],3,FALSE))</f>
        <v/>
      </c>
      <c r="C41" s="45" t="str">
        <f>IF(Tabla96[[#This Row],[Id]]="","",VLOOKUP(Tabla96[[#This Row],[Id]]+1,TablaEquipos[],4,FALSE))</f>
        <v/>
      </c>
      <c r="D41" s="13" t="str">
        <f>IF(Tabla96[[#This Row],[Id]]="","",COUNTIF(TablaTiempos[Club],Tabla96[[#This Row],[Pos]]))</f>
        <v/>
      </c>
      <c r="E41" s="47" t="str">
        <f>IF(Tabla96[[#This Row],[Id]]="","",Tabla96[[#This Row],[Total Llegados a Meta]]/Tabla96[[#This Row],[Total Inscritos]])</f>
        <v/>
      </c>
      <c r="F4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1" s="43">
        <f ca="1">NOW()-'LOS TIEMPOS'!$K$2</f>
        <v>42368.075526157409</v>
      </c>
    </row>
    <row r="42" spans="1:8" x14ac:dyDescent="0.2">
      <c r="A42" s="13" t="str">
        <f>IF(ROW()-5&lt;=COUNTA(TablaEquipos[Compite]),ROW()-7,"")</f>
        <v/>
      </c>
      <c r="B42" s="10" t="str">
        <f>IF(Tabla96[[#This Row],[Id]]="","",VLOOKUP(Tabla96[[#This Row],[Id]]+1,TablaEquipos[],3,FALSE))</f>
        <v/>
      </c>
      <c r="C42" s="45" t="str">
        <f>IF(Tabla96[[#This Row],[Id]]="","",VLOOKUP(Tabla96[[#This Row],[Id]]+1,TablaEquipos[],4,FALSE))</f>
        <v/>
      </c>
      <c r="D42" s="13" t="str">
        <f>IF(Tabla96[[#This Row],[Id]]="","",COUNTIF(TablaTiempos[Club],Tabla96[[#This Row],[Pos]]))</f>
        <v/>
      </c>
      <c r="E42" s="47" t="str">
        <f>IF(Tabla96[[#This Row],[Id]]="","",Tabla96[[#This Row],[Total Llegados a Meta]]/Tabla96[[#This Row],[Total Inscritos]])</f>
        <v/>
      </c>
      <c r="F4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2" s="43">
        <f ca="1">NOW()-'LOS TIEMPOS'!$K$2</f>
        <v>42368.075526157409</v>
      </c>
    </row>
    <row r="43" spans="1:8" x14ac:dyDescent="0.2">
      <c r="A43" s="13" t="str">
        <f>IF(ROW()-5&lt;=COUNTA(TablaEquipos[Compite]),ROW()-7,"")</f>
        <v/>
      </c>
      <c r="B43" s="10" t="str">
        <f>IF(Tabla96[[#This Row],[Id]]="","",VLOOKUP(Tabla96[[#This Row],[Id]]+1,TablaEquipos[],3,FALSE))</f>
        <v/>
      </c>
      <c r="C43" s="45" t="str">
        <f>IF(Tabla96[[#This Row],[Id]]="","",VLOOKUP(Tabla96[[#This Row],[Id]]+1,TablaEquipos[],4,FALSE))</f>
        <v/>
      </c>
      <c r="D43" s="13" t="str">
        <f>IF(Tabla96[[#This Row],[Id]]="","",COUNTIF(TablaTiempos[Club],Tabla96[[#This Row],[Pos]]))</f>
        <v/>
      </c>
      <c r="E43" s="47" t="str">
        <f>IF(Tabla96[[#This Row],[Id]]="","",Tabla96[[#This Row],[Total Llegados a Meta]]/Tabla96[[#This Row],[Total Inscritos]])</f>
        <v/>
      </c>
      <c r="F4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3" s="43">
        <f ca="1">NOW()-'LOS TIEMPOS'!$K$2</f>
        <v>42368.075526157409</v>
      </c>
    </row>
    <row r="44" spans="1:8" x14ac:dyDescent="0.2">
      <c r="A44" s="13" t="str">
        <f>IF(ROW()-5&lt;=COUNTA(TablaEquipos[Compite]),ROW()-7,"")</f>
        <v/>
      </c>
      <c r="B44" s="10" t="str">
        <f>IF(Tabla96[[#This Row],[Id]]="","",VLOOKUP(Tabla96[[#This Row],[Id]]+1,TablaEquipos[],3,FALSE))</f>
        <v/>
      </c>
      <c r="C44" s="45" t="str">
        <f>IF(Tabla96[[#This Row],[Id]]="","",VLOOKUP(Tabla96[[#This Row],[Id]]+1,TablaEquipos[],4,FALSE))</f>
        <v/>
      </c>
      <c r="D44" s="13" t="str">
        <f>IF(Tabla96[[#This Row],[Id]]="","",COUNTIF(TablaTiempos[Club],Tabla96[[#This Row],[Pos]]))</f>
        <v/>
      </c>
      <c r="E44" s="47" t="str">
        <f>IF(Tabla96[[#This Row],[Id]]="","",Tabla96[[#This Row],[Total Llegados a Meta]]/Tabla96[[#This Row],[Total Inscritos]])</f>
        <v/>
      </c>
      <c r="F4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4" s="43">
        <f ca="1">NOW()-'LOS TIEMPOS'!$K$2</f>
        <v>42368.075526157409</v>
      </c>
    </row>
    <row r="45" spans="1:8" x14ac:dyDescent="0.2">
      <c r="A45" s="13" t="str">
        <f>IF(ROW()-5&lt;=COUNTA(TablaEquipos[Compite]),ROW()-7,"")</f>
        <v/>
      </c>
      <c r="B45" s="10" t="str">
        <f>IF(Tabla96[[#This Row],[Id]]="","",VLOOKUP(Tabla96[[#This Row],[Id]]+1,TablaEquipos[],3,FALSE))</f>
        <v/>
      </c>
      <c r="C45" s="45" t="str">
        <f>IF(Tabla96[[#This Row],[Id]]="","",VLOOKUP(Tabla96[[#This Row],[Id]]+1,TablaEquipos[],4,FALSE))</f>
        <v/>
      </c>
      <c r="D45" s="13" t="str">
        <f>IF(Tabla96[[#This Row],[Id]]="","",COUNTIF(TablaTiempos[Club],Tabla96[[#This Row],[Pos]]))</f>
        <v/>
      </c>
      <c r="E45" s="47" t="str">
        <f>IF(Tabla96[[#This Row],[Id]]="","",Tabla96[[#This Row],[Total Llegados a Meta]]/Tabla96[[#This Row],[Total Inscritos]])</f>
        <v/>
      </c>
      <c r="F4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5" s="43">
        <f ca="1">NOW()-'LOS TIEMPOS'!$K$2</f>
        <v>42368.075526157409</v>
      </c>
    </row>
    <row r="46" spans="1:8" x14ac:dyDescent="0.2">
      <c r="A46" s="13" t="str">
        <f>IF(ROW()-5&lt;=COUNTA(TablaEquipos[Compite]),ROW()-7,"")</f>
        <v/>
      </c>
      <c r="B46" s="10" t="str">
        <f>IF(Tabla96[[#This Row],[Id]]="","",VLOOKUP(Tabla96[[#This Row],[Id]]+1,TablaEquipos[],3,FALSE))</f>
        <v/>
      </c>
      <c r="C46" s="45" t="str">
        <f>IF(Tabla96[[#This Row],[Id]]="","",VLOOKUP(Tabla96[[#This Row],[Id]]+1,TablaEquipos[],4,FALSE))</f>
        <v/>
      </c>
      <c r="D46" s="13" t="str">
        <f>IF(Tabla96[[#This Row],[Id]]="","",COUNTIF(TablaTiempos[Club],Tabla96[[#This Row],[Pos]]))</f>
        <v/>
      </c>
      <c r="E46" s="47" t="str">
        <f>IF(Tabla96[[#This Row],[Id]]="","",Tabla96[[#This Row],[Total Llegados a Meta]]/Tabla96[[#This Row],[Total Inscritos]])</f>
        <v/>
      </c>
      <c r="F4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6" s="43">
        <f ca="1">NOW()-'LOS TIEMPOS'!$K$2</f>
        <v>42368.075526157409</v>
      </c>
    </row>
    <row r="47" spans="1:8" x14ac:dyDescent="0.2">
      <c r="A47" s="13" t="str">
        <f>IF(ROW()-5&lt;=COUNTA(TablaEquipos[Compite]),ROW()-7,"")</f>
        <v/>
      </c>
      <c r="B47" s="10" t="str">
        <f>IF(Tabla96[[#This Row],[Id]]="","",VLOOKUP(Tabla96[[#This Row],[Id]]+1,TablaEquipos[],3,FALSE))</f>
        <v/>
      </c>
      <c r="C47" s="45" t="str">
        <f>IF(Tabla96[[#This Row],[Id]]="","",VLOOKUP(Tabla96[[#This Row],[Id]]+1,TablaEquipos[],4,FALSE))</f>
        <v/>
      </c>
      <c r="D47" s="13" t="str">
        <f>IF(Tabla96[[#This Row],[Id]]="","",COUNTIF(TablaTiempos[Club],Tabla96[[#This Row],[Pos]]))</f>
        <v/>
      </c>
      <c r="E47" s="47" t="str">
        <f>IF(Tabla96[[#This Row],[Id]]="","",Tabla96[[#This Row],[Total Llegados a Meta]]/Tabla96[[#This Row],[Total Inscritos]])</f>
        <v/>
      </c>
      <c r="F4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7" s="43">
        <f ca="1">NOW()-'LOS TIEMPOS'!$K$2</f>
        <v>42368.075526157409</v>
      </c>
    </row>
    <row r="48" spans="1:8" x14ac:dyDescent="0.2">
      <c r="A48" s="13" t="str">
        <f>IF(ROW()-5&lt;=COUNTA(TablaEquipos[Compite]),ROW()-7,"")</f>
        <v/>
      </c>
      <c r="B48" s="10" t="str">
        <f>IF(Tabla96[[#This Row],[Id]]="","",VLOOKUP(Tabla96[[#This Row],[Id]]+1,TablaEquipos[],3,FALSE))</f>
        <v/>
      </c>
      <c r="C48" s="45" t="str">
        <f>IF(Tabla96[[#This Row],[Id]]="","",VLOOKUP(Tabla96[[#This Row],[Id]]+1,TablaEquipos[],4,FALSE))</f>
        <v/>
      </c>
      <c r="D48" s="13" t="str">
        <f>IF(Tabla96[[#This Row],[Id]]="","",COUNTIF(TablaTiempos[Club],Tabla96[[#This Row],[Pos]]))</f>
        <v/>
      </c>
      <c r="E48" s="47" t="str">
        <f>IF(Tabla96[[#This Row],[Id]]="","",Tabla96[[#This Row],[Total Llegados a Meta]]/Tabla96[[#This Row],[Total Inscritos]])</f>
        <v/>
      </c>
      <c r="F4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8" s="43">
        <f ca="1">NOW()-'LOS TIEMPOS'!$K$2</f>
        <v>42368.075526157409</v>
      </c>
    </row>
    <row r="49" spans="1:8" x14ac:dyDescent="0.2">
      <c r="A49" s="13" t="str">
        <f>IF(ROW()-5&lt;=COUNTA(TablaEquipos[Compite]),ROW()-7,"")</f>
        <v/>
      </c>
      <c r="B49" s="10" t="str">
        <f>IF(Tabla96[[#This Row],[Id]]="","",VLOOKUP(Tabla96[[#This Row],[Id]]+1,TablaEquipos[],3,FALSE))</f>
        <v/>
      </c>
      <c r="C49" s="45" t="str">
        <f>IF(Tabla96[[#This Row],[Id]]="","",VLOOKUP(Tabla96[[#This Row],[Id]]+1,TablaEquipos[],4,FALSE))</f>
        <v/>
      </c>
      <c r="D49" s="13" t="str">
        <f>IF(Tabla96[[#This Row],[Id]]="","",COUNTIF(TablaTiempos[Club],Tabla96[[#This Row],[Pos]]))</f>
        <v/>
      </c>
      <c r="E49" s="47" t="str">
        <f>IF(Tabla96[[#This Row],[Id]]="","",Tabla96[[#This Row],[Total Llegados a Meta]]/Tabla96[[#This Row],[Total Inscritos]])</f>
        <v/>
      </c>
      <c r="F4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9" s="43">
        <f ca="1">NOW()-'LOS TIEMPOS'!$K$2</f>
        <v>42368.075526157409</v>
      </c>
    </row>
    <row r="50" spans="1:8" x14ac:dyDescent="0.2">
      <c r="A50" s="13" t="str">
        <f>IF(ROW()-5&lt;=COUNTA(TablaEquipos[Compite]),ROW()-7,"")</f>
        <v/>
      </c>
      <c r="B50" s="10" t="str">
        <f>IF(Tabla96[[#This Row],[Id]]="","",VLOOKUP(Tabla96[[#This Row],[Id]]+1,TablaEquipos[],3,FALSE))</f>
        <v/>
      </c>
      <c r="C50" s="45" t="str">
        <f>IF(Tabla96[[#This Row],[Id]]="","",VLOOKUP(Tabla96[[#This Row],[Id]]+1,TablaEquipos[],4,FALSE))</f>
        <v/>
      </c>
      <c r="D50" s="13" t="str">
        <f>IF(Tabla96[[#This Row],[Id]]="","",COUNTIF(TablaTiempos[Club],Tabla96[[#This Row],[Pos]]))</f>
        <v/>
      </c>
      <c r="E50" s="47" t="str">
        <f>IF(Tabla96[[#This Row],[Id]]="","",Tabla96[[#This Row],[Total Llegados a Meta]]/Tabla96[[#This Row],[Total Inscritos]])</f>
        <v/>
      </c>
      <c r="F5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0" s="43">
        <f ca="1">NOW()-'LOS TIEMPOS'!$K$2</f>
        <v>42368.075526157409</v>
      </c>
    </row>
    <row r="51" spans="1:8" x14ac:dyDescent="0.2">
      <c r="A51" s="13" t="str">
        <f>IF(ROW()-5&lt;=COUNTA(TablaEquipos[Compite]),ROW()-7,"")</f>
        <v/>
      </c>
      <c r="B51" s="10" t="str">
        <f>IF(Tabla96[[#This Row],[Id]]="","",VLOOKUP(Tabla96[[#This Row],[Id]]+1,TablaEquipos[],3,FALSE))</f>
        <v/>
      </c>
      <c r="C51" s="45" t="str">
        <f>IF(Tabla96[[#This Row],[Id]]="","",VLOOKUP(Tabla96[[#This Row],[Id]]+1,TablaEquipos[],4,FALSE))</f>
        <v/>
      </c>
      <c r="D51" s="13" t="str">
        <f>IF(Tabla96[[#This Row],[Id]]="","",COUNTIF(TablaTiempos[Club],Tabla96[[#This Row],[Pos]]))</f>
        <v/>
      </c>
      <c r="E51" s="47" t="str">
        <f>IF(Tabla96[[#This Row],[Id]]="","",Tabla96[[#This Row],[Total Llegados a Meta]]/Tabla96[[#This Row],[Total Inscritos]])</f>
        <v/>
      </c>
      <c r="F5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1" s="43">
        <f ca="1">NOW()-'LOS TIEMPOS'!$K$2</f>
        <v>42368.075526157409</v>
      </c>
    </row>
    <row r="52" spans="1:8" x14ac:dyDescent="0.2">
      <c r="A52" s="13" t="str">
        <f>IF(ROW()-5&lt;=COUNTA(TablaEquipos[Compite]),ROW()-7,"")</f>
        <v/>
      </c>
      <c r="B52" s="10" t="str">
        <f>IF(Tabla96[[#This Row],[Id]]="","",VLOOKUP(Tabla96[[#This Row],[Id]]+1,TablaEquipos[],3,FALSE))</f>
        <v/>
      </c>
      <c r="C52" s="45" t="str">
        <f>IF(Tabla96[[#This Row],[Id]]="","",VLOOKUP(Tabla96[[#This Row],[Id]]+1,TablaEquipos[],4,FALSE))</f>
        <v/>
      </c>
      <c r="D52" s="13" t="str">
        <f>IF(Tabla96[[#This Row],[Id]]="","",COUNTIF(TablaTiempos[Club],Tabla96[[#This Row],[Pos]]))</f>
        <v/>
      </c>
      <c r="E52" s="47" t="str">
        <f>IF(Tabla96[[#This Row],[Id]]="","",Tabla96[[#This Row],[Total Llegados a Meta]]/Tabla96[[#This Row],[Total Inscritos]])</f>
        <v/>
      </c>
      <c r="F5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2" s="43">
        <f ca="1">NOW()-'LOS TIEMPOS'!$K$2</f>
        <v>42368.075526157409</v>
      </c>
    </row>
    <row r="53" spans="1:8" x14ac:dyDescent="0.2">
      <c r="A53" s="13" t="str">
        <f>IF(ROW()-5&lt;=COUNTA(TablaEquipos[Compite]),ROW()-7,"")</f>
        <v/>
      </c>
      <c r="B53" s="10" t="str">
        <f>IF(Tabla96[[#This Row],[Id]]="","",VLOOKUP(Tabla96[[#This Row],[Id]]+1,TablaEquipos[],3,FALSE))</f>
        <v/>
      </c>
      <c r="C53" s="45" t="str">
        <f>IF(Tabla96[[#This Row],[Id]]="","",VLOOKUP(Tabla96[[#This Row],[Id]]+1,TablaEquipos[],4,FALSE))</f>
        <v/>
      </c>
      <c r="D53" s="13" t="str">
        <f>IF(Tabla96[[#This Row],[Id]]="","",COUNTIF(TablaTiempos[Club],Tabla96[[#This Row],[Pos]]))</f>
        <v/>
      </c>
      <c r="E53" s="47" t="str">
        <f>IF(Tabla96[[#This Row],[Id]]="","",Tabla96[[#This Row],[Total Llegados a Meta]]/Tabla96[[#This Row],[Total Inscritos]])</f>
        <v/>
      </c>
      <c r="F5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3" s="43">
        <f ca="1">NOW()-'LOS TIEMPOS'!$K$2</f>
        <v>42368.075526157409</v>
      </c>
    </row>
    <row r="54" spans="1:8" x14ac:dyDescent="0.2">
      <c r="A54" s="13" t="str">
        <f>IF(ROW()-5&lt;=COUNTA(TablaEquipos[Compite]),ROW()-7,"")</f>
        <v/>
      </c>
      <c r="B54" s="10" t="str">
        <f>IF(Tabla96[[#This Row],[Id]]="","",VLOOKUP(Tabla96[[#This Row],[Id]]+1,TablaEquipos[],3,FALSE))</f>
        <v/>
      </c>
      <c r="C54" s="45" t="str">
        <f>IF(Tabla96[[#This Row],[Id]]="","",VLOOKUP(Tabla96[[#This Row],[Id]]+1,TablaEquipos[],4,FALSE))</f>
        <v/>
      </c>
      <c r="D54" s="13" t="str">
        <f>IF(Tabla96[[#This Row],[Id]]="","",COUNTIF(TablaTiempos[Club],Tabla96[[#This Row],[Pos]]))</f>
        <v/>
      </c>
      <c r="E54" s="47" t="str">
        <f>IF(Tabla96[[#This Row],[Id]]="","",Tabla96[[#This Row],[Total Llegados a Meta]]/Tabla96[[#This Row],[Total Inscritos]])</f>
        <v/>
      </c>
      <c r="F5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4" s="43">
        <f ca="1">NOW()-'LOS TIEMPOS'!$K$2</f>
        <v>42368.075526157409</v>
      </c>
    </row>
    <row r="55" spans="1:8" x14ac:dyDescent="0.2">
      <c r="A55" s="13" t="str">
        <f>IF(ROW()-5&lt;=COUNTA(TablaEquipos[Compite]),ROW()-7,"")</f>
        <v/>
      </c>
      <c r="B55" s="10" t="str">
        <f>IF(Tabla96[[#This Row],[Id]]="","",VLOOKUP(Tabla96[[#This Row],[Id]]+1,TablaEquipos[],3,FALSE))</f>
        <v/>
      </c>
      <c r="C55" s="45" t="str">
        <f>IF(Tabla96[[#This Row],[Id]]="","",VLOOKUP(Tabla96[[#This Row],[Id]]+1,TablaEquipos[],4,FALSE))</f>
        <v/>
      </c>
      <c r="D55" s="13" t="str">
        <f>IF(Tabla96[[#This Row],[Id]]="","",COUNTIF(TablaTiempos[Club],Tabla96[[#This Row],[Pos]]))</f>
        <v/>
      </c>
      <c r="E55" s="47" t="str">
        <f>IF(Tabla96[[#This Row],[Id]]="","",Tabla96[[#This Row],[Total Llegados a Meta]]/Tabla96[[#This Row],[Total Inscritos]])</f>
        <v/>
      </c>
      <c r="F5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5" s="43">
        <f ca="1">NOW()-'LOS TIEMPOS'!$K$2</f>
        <v>42368.075526157409</v>
      </c>
    </row>
    <row r="56" spans="1:8" x14ac:dyDescent="0.2">
      <c r="A56" s="13" t="str">
        <f>IF(ROW()-5&lt;=COUNTA(TablaEquipos[Compite]),ROW()-7,"")</f>
        <v/>
      </c>
      <c r="B56" s="10" t="str">
        <f>IF(Tabla96[[#This Row],[Id]]="","",VLOOKUP(Tabla96[[#This Row],[Id]]+1,TablaEquipos[],3,FALSE))</f>
        <v/>
      </c>
      <c r="C56" s="45" t="str">
        <f>IF(Tabla96[[#This Row],[Id]]="","",VLOOKUP(Tabla96[[#This Row],[Id]]+1,TablaEquipos[],4,FALSE))</f>
        <v/>
      </c>
      <c r="D56" s="13" t="str">
        <f>IF(Tabla96[[#This Row],[Id]]="","",COUNTIF(TablaTiempos[Club],Tabla96[[#This Row],[Pos]]))</f>
        <v/>
      </c>
      <c r="E56" s="47" t="str">
        <f>IF(Tabla96[[#This Row],[Id]]="","",Tabla96[[#This Row],[Total Llegados a Meta]]/Tabla96[[#This Row],[Total Inscritos]])</f>
        <v/>
      </c>
      <c r="F5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6" s="43">
        <f ca="1">NOW()-'LOS TIEMPOS'!$K$2</f>
        <v>42368.075526157409</v>
      </c>
    </row>
    <row r="57" spans="1:8" x14ac:dyDescent="0.2">
      <c r="A57" s="13" t="str">
        <f>IF(ROW()-5&lt;=COUNTA(TablaEquipos[Compite]),ROW()-7,"")</f>
        <v/>
      </c>
      <c r="B57" s="10" t="str">
        <f>IF(Tabla96[[#This Row],[Id]]="","",VLOOKUP(Tabla96[[#This Row],[Id]]+1,TablaEquipos[],3,FALSE))</f>
        <v/>
      </c>
      <c r="C57" s="45" t="str">
        <f>IF(Tabla96[[#This Row],[Id]]="","",VLOOKUP(Tabla96[[#This Row],[Id]]+1,TablaEquipos[],4,FALSE))</f>
        <v/>
      </c>
      <c r="D57" s="13" t="str">
        <f>IF(Tabla96[[#This Row],[Id]]="","",COUNTIF(TablaTiempos[Club],Tabla96[[#This Row],[Pos]]))</f>
        <v/>
      </c>
      <c r="E57" s="47" t="str">
        <f>IF(Tabla96[[#This Row],[Id]]="","",Tabla96[[#This Row],[Total Llegados a Meta]]/Tabla96[[#This Row],[Total Inscritos]])</f>
        <v/>
      </c>
      <c r="F5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7" s="43">
        <f ca="1">NOW()-'LOS TIEMPOS'!$K$2</f>
        <v>42368.075526157409</v>
      </c>
    </row>
    <row r="58" spans="1:8" x14ac:dyDescent="0.2">
      <c r="A58" s="13" t="str">
        <f>IF(ROW()-5&lt;=COUNTA(TablaEquipos[Compite]),ROW()-7,"")</f>
        <v/>
      </c>
      <c r="B58" s="10" t="str">
        <f>IF(Tabla96[[#This Row],[Id]]="","",VLOOKUP(Tabla96[[#This Row],[Id]]+1,TablaEquipos[],3,FALSE))</f>
        <v/>
      </c>
      <c r="C58" s="45" t="str">
        <f>IF(Tabla96[[#This Row],[Id]]="","",VLOOKUP(Tabla96[[#This Row],[Id]]+1,TablaEquipos[],4,FALSE))</f>
        <v/>
      </c>
      <c r="D58" s="13" t="str">
        <f>IF(Tabla96[[#This Row],[Id]]="","",COUNTIF(TablaTiempos[Club],Tabla96[[#This Row],[Pos]]))</f>
        <v/>
      </c>
      <c r="E58" s="47" t="str">
        <f>IF(Tabla96[[#This Row],[Id]]="","",Tabla96[[#This Row],[Total Llegados a Meta]]/Tabla96[[#This Row],[Total Inscritos]])</f>
        <v/>
      </c>
      <c r="F5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8" s="43">
        <f ca="1">NOW()-'LOS TIEMPOS'!$K$2</f>
        <v>42368.075526157409</v>
      </c>
    </row>
    <row r="59" spans="1:8" x14ac:dyDescent="0.2">
      <c r="A59" s="13" t="str">
        <f>IF(ROW()-5&lt;=COUNTA(TablaEquipos[Compite]),ROW()-7,"")</f>
        <v/>
      </c>
      <c r="B59" s="10" t="str">
        <f>IF(Tabla96[[#This Row],[Id]]="","",VLOOKUP(Tabla96[[#This Row],[Id]]+1,TablaEquipos[],3,FALSE))</f>
        <v/>
      </c>
      <c r="C59" s="45" t="str">
        <f>IF(Tabla96[[#This Row],[Id]]="","",VLOOKUP(Tabla96[[#This Row],[Id]]+1,TablaEquipos[],4,FALSE))</f>
        <v/>
      </c>
      <c r="D59" s="13" t="str">
        <f>IF(Tabla96[[#This Row],[Id]]="","",COUNTIF(TablaTiempos[Club],Tabla96[[#This Row],[Pos]]))</f>
        <v/>
      </c>
      <c r="E59" s="47" t="str">
        <f>IF(Tabla96[[#This Row],[Id]]="","",Tabla96[[#This Row],[Total Llegados a Meta]]/Tabla96[[#This Row],[Total Inscritos]])</f>
        <v/>
      </c>
      <c r="F5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9" s="43">
        <f ca="1">NOW()-'LOS TIEMPOS'!$K$2</f>
        <v>42368.075526157409</v>
      </c>
    </row>
    <row r="60" spans="1:8" x14ac:dyDescent="0.2">
      <c r="A60" s="13" t="str">
        <f>IF(ROW()-5&lt;=COUNTA(TablaEquipos[Compite]),ROW()-7,"")</f>
        <v/>
      </c>
      <c r="B60" s="10" t="str">
        <f>IF(Tabla96[[#This Row],[Id]]="","",VLOOKUP(Tabla96[[#This Row],[Id]]+1,TablaEquipos[],3,FALSE))</f>
        <v/>
      </c>
      <c r="C60" s="45" t="str">
        <f>IF(Tabla96[[#This Row],[Id]]="","",VLOOKUP(Tabla96[[#This Row],[Id]]+1,TablaEquipos[],4,FALSE))</f>
        <v/>
      </c>
      <c r="D60" s="13" t="str">
        <f>IF(Tabla96[[#This Row],[Id]]="","",COUNTIF(TablaTiempos[Club],Tabla96[[#This Row],[Pos]]))</f>
        <v/>
      </c>
      <c r="E60" s="47" t="str">
        <f>IF(Tabla96[[#This Row],[Id]]="","",Tabla96[[#This Row],[Total Llegados a Meta]]/Tabla96[[#This Row],[Total Inscritos]])</f>
        <v/>
      </c>
      <c r="F6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0" s="43">
        <f ca="1">NOW()-'LOS TIEMPOS'!$K$2</f>
        <v>42368.075526157409</v>
      </c>
    </row>
    <row r="61" spans="1:8" x14ac:dyDescent="0.2">
      <c r="A61" s="13" t="str">
        <f>IF(ROW()-5&lt;=COUNTA(TablaEquipos[Compite]),ROW()-7,"")</f>
        <v/>
      </c>
      <c r="B61" s="10" t="str">
        <f>IF(Tabla96[[#This Row],[Id]]="","",VLOOKUP(Tabla96[[#This Row],[Id]]+1,TablaEquipos[],3,FALSE))</f>
        <v/>
      </c>
      <c r="C61" s="45" t="str">
        <f>IF(Tabla96[[#This Row],[Id]]="","",VLOOKUP(Tabla96[[#This Row],[Id]]+1,TablaEquipos[],4,FALSE))</f>
        <v/>
      </c>
      <c r="D61" s="13" t="str">
        <f>IF(Tabla96[[#This Row],[Id]]="","",COUNTIF(TablaTiempos[Club],Tabla96[[#This Row],[Pos]]))</f>
        <v/>
      </c>
      <c r="E61" s="47" t="str">
        <f>IF(Tabla96[[#This Row],[Id]]="","",Tabla96[[#This Row],[Total Llegados a Meta]]/Tabla96[[#This Row],[Total Inscritos]])</f>
        <v/>
      </c>
      <c r="F6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1" s="43">
        <f ca="1">NOW()-'LOS TIEMPOS'!$K$2</f>
        <v>42368.075526157409</v>
      </c>
    </row>
    <row r="62" spans="1:8" x14ac:dyDescent="0.2">
      <c r="A62" s="13" t="str">
        <f>IF(ROW()-5&lt;=COUNTA(TablaEquipos[Compite]),ROW()-7,"")</f>
        <v/>
      </c>
      <c r="B62" s="10" t="str">
        <f>IF(Tabla96[[#This Row],[Id]]="","",VLOOKUP(Tabla96[[#This Row],[Id]]+1,TablaEquipos[],3,FALSE))</f>
        <v/>
      </c>
      <c r="C62" s="45" t="str">
        <f>IF(Tabla96[[#This Row],[Id]]="","",VLOOKUP(Tabla96[[#This Row],[Id]]+1,TablaEquipos[],4,FALSE))</f>
        <v/>
      </c>
      <c r="D62" s="13" t="str">
        <f>IF(Tabla96[[#This Row],[Id]]="","",COUNTIF(TablaTiempos[Club],Tabla96[[#This Row],[Pos]]))</f>
        <v/>
      </c>
      <c r="E62" s="47" t="str">
        <f>IF(Tabla96[[#This Row],[Id]]="","",Tabla96[[#This Row],[Total Llegados a Meta]]/Tabla96[[#This Row],[Total Inscritos]])</f>
        <v/>
      </c>
      <c r="F6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2" s="43">
        <f ca="1">NOW()-'LOS TIEMPOS'!$K$2</f>
        <v>42368.075526157409</v>
      </c>
    </row>
    <row r="63" spans="1:8" x14ac:dyDescent="0.2">
      <c r="A63" s="13" t="str">
        <f>IF(ROW()-5&lt;=COUNTA(TablaEquipos[Compite]),ROW()-7,"")</f>
        <v/>
      </c>
      <c r="B63" s="10" t="str">
        <f>IF(Tabla96[[#This Row],[Id]]="","",VLOOKUP(Tabla96[[#This Row],[Id]]+1,TablaEquipos[],3,FALSE))</f>
        <v/>
      </c>
      <c r="C63" s="45" t="str">
        <f>IF(Tabla96[[#This Row],[Id]]="","",VLOOKUP(Tabla96[[#This Row],[Id]]+1,TablaEquipos[],4,FALSE))</f>
        <v/>
      </c>
      <c r="D63" s="13" t="str">
        <f>IF(Tabla96[[#This Row],[Id]]="","",COUNTIF(TablaTiempos[Club],Tabla96[[#This Row],[Pos]]))</f>
        <v/>
      </c>
      <c r="E63" s="47" t="str">
        <f>IF(Tabla96[[#This Row],[Id]]="","",Tabla96[[#This Row],[Total Llegados a Meta]]/Tabla96[[#This Row],[Total Inscritos]])</f>
        <v/>
      </c>
      <c r="F6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3" s="43">
        <f ca="1">NOW()-'LOS TIEMPOS'!$K$2</f>
        <v>42368.075526157409</v>
      </c>
    </row>
    <row r="64" spans="1:8" x14ac:dyDescent="0.2">
      <c r="A64" s="13" t="str">
        <f>IF(ROW()-5&lt;=COUNTA(TablaEquipos[Compite]),ROW()-7,"")</f>
        <v/>
      </c>
      <c r="B64" s="10" t="str">
        <f>IF(Tabla96[[#This Row],[Id]]="","",VLOOKUP(Tabla96[[#This Row],[Id]]+1,TablaEquipos[],3,FALSE))</f>
        <v/>
      </c>
      <c r="C64" s="45" t="str">
        <f>IF(Tabla96[[#This Row],[Id]]="","",VLOOKUP(Tabla96[[#This Row],[Id]]+1,TablaEquipos[],4,FALSE))</f>
        <v/>
      </c>
      <c r="D64" s="13" t="str">
        <f>IF(Tabla96[[#This Row],[Id]]="","",COUNTIF(TablaTiempos[Club],Tabla96[[#This Row],[Pos]]))</f>
        <v/>
      </c>
      <c r="E64" s="47" t="str">
        <f>IF(Tabla96[[#This Row],[Id]]="","",Tabla96[[#This Row],[Total Llegados a Meta]]/Tabla96[[#This Row],[Total Inscritos]])</f>
        <v/>
      </c>
      <c r="F6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4" s="43">
        <f ca="1">NOW()-'LOS TIEMPOS'!$K$2</f>
        <v>42368.075526157409</v>
      </c>
    </row>
    <row r="65" spans="1:8" x14ac:dyDescent="0.2">
      <c r="A65" s="13" t="str">
        <f>IF(ROW()-5&lt;=COUNTA(TablaEquipos[Compite]),ROW()-7,"")</f>
        <v/>
      </c>
      <c r="B65" s="10" t="str">
        <f>IF(Tabla96[[#This Row],[Id]]="","",VLOOKUP(Tabla96[[#This Row],[Id]]+1,TablaEquipos[],3,FALSE))</f>
        <v/>
      </c>
      <c r="C65" s="45" t="str">
        <f>IF(Tabla96[[#This Row],[Id]]="","",VLOOKUP(Tabla96[[#This Row],[Id]]+1,TablaEquipos[],4,FALSE))</f>
        <v/>
      </c>
      <c r="D65" s="13" t="str">
        <f>IF(Tabla96[[#This Row],[Id]]="","",COUNTIF(TablaTiempos[Club],Tabla96[[#This Row],[Pos]]))</f>
        <v/>
      </c>
      <c r="E65" s="47" t="str">
        <f>IF(Tabla96[[#This Row],[Id]]="","",Tabla96[[#This Row],[Total Llegados a Meta]]/Tabla96[[#This Row],[Total Inscritos]])</f>
        <v/>
      </c>
      <c r="F6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5" s="43">
        <f ca="1">NOW()-'LOS TIEMPOS'!$K$2</f>
        <v>42368.075526157409</v>
      </c>
    </row>
    <row r="66" spans="1:8" x14ac:dyDescent="0.2">
      <c r="A66" s="13" t="str">
        <f>IF(ROW()-5&lt;=COUNTA(TablaEquipos[Compite]),ROW()-7,"")</f>
        <v/>
      </c>
      <c r="B66" s="10" t="str">
        <f>IF(Tabla96[[#This Row],[Id]]="","",VLOOKUP(Tabla96[[#This Row],[Id]]+1,TablaEquipos[],3,FALSE))</f>
        <v/>
      </c>
      <c r="C66" s="45" t="str">
        <f>IF(Tabla96[[#This Row],[Id]]="","",VLOOKUP(Tabla96[[#This Row],[Id]]+1,TablaEquipos[],4,FALSE))</f>
        <v/>
      </c>
      <c r="D66" s="13" t="str">
        <f>IF(Tabla96[[#This Row],[Id]]="","",COUNTIF(TablaTiempos[Club],Tabla96[[#This Row],[Pos]]))</f>
        <v/>
      </c>
      <c r="E66" s="47" t="str">
        <f>IF(Tabla96[[#This Row],[Id]]="","",Tabla96[[#This Row],[Total Llegados a Meta]]/Tabla96[[#This Row],[Total Inscritos]])</f>
        <v/>
      </c>
      <c r="F6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6" s="43">
        <f ca="1">NOW()-'LOS TIEMPOS'!$K$2</f>
        <v>42368.075526157409</v>
      </c>
    </row>
    <row r="67" spans="1:8" x14ac:dyDescent="0.2">
      <c r="A67" s="13" t="str">
        <f>IF(ROW()-5&lt;=COUNTA(TablaEquipos[Compite]),ROW()-7,"")</f>
        <v/>
      </c>
      <c r="B67" s="10" t="str">
        <f>IF(Tabla96[[#This Row],[Id]]="","",VLOOKUP(Tabla96[[#This Row],[Id]]+1,TablaEquipos[],3,FALSE))</f>
        <v/>
      </c>
      <c r="C67" s="45" t="str">
        <f>IF(Tabla96[[#This Row],[Id]]="","",VLOOKUP(Tabla96[[#This Row],[Id]]+1,TablaEquipos[],4,FALSE))</f>
        <v/>
      </c>
      <c r="D67" s="13" t="str">
        <f>IF(Tabla96[[#This Row],[Id]]="","",COUNTIF(TablaTiempos[Club],Tabla96[[#This Row],[Pos]]))</f>
        <v/>
      </c>
      <c r="E67" s="47" t="str">
        <f>IF(Tabla96[[#This Row],[Id]]="","",Tabla96[[#This Row],[Total Llegados a Meta]]/Tabla96[[#This Row],[Total Inscritos]])</f>
        <v/>
      </c>
      <c r="F6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7" s="43">
        <f ca="1">NOW()-'LOS TIEMPOS'!$K$2</f>
        <v>42368.075526157409</v>
      </c>
    </row>
    <row r="68" spans="1:8" x14ac:dyDescent="0.2">
      <c r="A68" s="13" t="str">
        <f>IF(ROW()-5&lt;=COUNTA(TablaEquipos[Compite]),ROW()-7,"")</f>
        <v/>
      </c>
      <c r="B68" s="10" t="str">
        <f>IF(Tabla96[[#This Row],[Id]]="","",VLOOKUP(Tabla96[[#This Row],[Id]]+1,TablaEquipos[],3,FALSE))</f>
        <v/>
      </c>
      <c r="C68" s="45" t="str">
        <f>IF(Tabla96[[#This Row],[Id]]="","",VLOOKUP(Tabla96[[#This Row],[Id]]+1,TablaEquipos[],4,FALSE))</f>
        <v/>
      </c>
      <c r="D68" s="13" t="str">
        <f>IF(Tabla96[[#This Row],[Id]]="","",COUNTIF(TablaTiempos[Club],Tabla96[[#This Row],[Pos]]))</f>
        <v/>
      </c>
      <c r="E68" s="47" t="str">
        <f>IF(Tabla96[[#This Row],[Id]]="","",Tabla96[[#This Row],[Total Llegados a Meta]]/Tabla96[[#This Row],[Total Inscritos]])</f>
        <v/>
      </c>
      <c r="F6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8" s="43">
        <f ca="1">NOW()-'LOS TIEMPOS'!$K$2</f>
        <v>42368.075526157409</v>
      </c>
    </row>
    <row r="69" spans="1:8" x14ac:dyDescent="0.2">
      <c r="A69" s="13" t="str">
        <f>IF(ROW()-5&lt;=COUNTA(TablaEquipos[Compite]),ROW()-7,"")</f>
        <v/>
      </c>
      <c r="B69" s="10" t="str">
        <f>IF(Tabla96[[#This Row],[Id]]="","",VLOOKUP(Tabla96[[#This Row],[Id]]+1,TablaEquipos[],3,FALSE))</f>
        <v/>
      </c>
      <c r="C69" s="45" t="str">
        <f>IF(Tabla96[[#This Row],[Id]]="","",VLOOKUP(Tabla96[[#This Row],[Id]]+1,TablaEquipos[],4,FALSE))</f>
        <v/>
      </c>
      <c r="D69" s="13" t="str">
        <f>IF(Tabla96[[#This Row],[Id]]="","",COUNTIF(TablaTiempos[Club],Tabla96[[#This Row],[Pos]]))</f>
        <v/>
      </c>
      <c r="E69" s="47" t="str">
        <f>IF(Tabla96[[#This Row],[Id]]="","",Tabla96[[#This Row],[Total Llegados a Meta]]/Tabla96[[#This Row],[Total Inscritos]])</f>
        <v/>
      </c>
      <c r="F6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9" s="43">
        <f ca="1">NOW()-'LOS TIEMPOS'!$K$2</f>
        <v>42368.075526157409</v>
      </c>
    </row>
    <row r="70" spans="1:8" x14ac:dyDescent="0.2">
      <c r="A70" s="13" t="str">
        <f>IF(ROW()-5&lt;=COUNTA(TablaEquipos[Compite]),ROW()-7,"")</f>
        <v/>
      </c>
      <c r="B70" s="10" t="str">
        <f>IF(Tabla96[[#This Row],[Id]]="","",VLOOKUP(Tabla96[[#This Row],[Id]]+1,TablaEquipos[],3,FALSE))</f>
        <v/>
      </c>
      <c r="C70" s="45" t="str">
        <f>IF(Tabla96[[#This Row],[Id]]="","",VLOOKUP(Tabla96[[#This Row],[Id]]+1,TablaEquipos[],4,FALSE))</f>
        <v/>
      </c>
      <c r="D70" s="13" t="str">
        <f>IF(Tabla96[[#This Row],[Id]]="","",COUNTIF(TablaTiempos[Club],Tabla96[[#This Row],[Pos]]))</f>
        <v/>
      </c>
      <c r="E70" s="47" t="str">
        <f>IF(Tabla96[[#This Row],[Id]]="","",Tabla96[[#This Row],[Total Llegados a Meta]]/Tabla96[[#This Row],[Total Inscritos]])</f>
        <v/>
      </c>
      <c r="F7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0" s="43">
        <f ca="1">NOW()-'LOS TIEMPOS'!$K$2</f>
        <v>42368.075526157409</v>
      </c>
    </row>
    <row r="71" spans="1:8" x14ac:dyDescent="0.2">
      <c r="A71" s="13" t="str">
        <f>IF(ROW()-5&lt;=COUNTA(TablaEquipos[Compite]),ROW()-7,"")</f>
        <v/>
      </c>
      <c r="B71" s="10" t="str">
        <f>IF(Tabla96[[#This Row],[Id]]="","",VLOOKUP(Tabla96[[#This Row],[Id]]+1,TablaEquipos[],3,FALSE))</f>
        <v/>
      </c>
      <c r="C71" s="45" t="str">
        <f>IF(Tabla96[[#This Row],[Id]]="","",VLOOKUP(Tabla96[[#This Row],[Id]]+1,TablaEquipos[],4,FALSE))</f>
        <v/>
      </c>
      <c r="D71" s="13" t="str">
        <f>IF(Tabla96[[#This Row],[Id]]="","",COUNTIF(TablaTiempos[Club],Tabla96[[#This Row],[Pos]]))</f>
        <v/>
      </c>
      <c r="E71" s="47" t="str">
        <f>IF(Tabla96[[#This Row],[Id]]="","",Tabla96[[#This Row],[Total Llegados a Meta]]/Tabla96[[#This Row],[Total Inscritos]])</f>
        <v/>
      </c>
      <c r="F7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1" s="43">
        <f ca="1">NOW()-'LOS TIEMPOS'!$K$2</f>
        <v>42368.075526157409</v>
      </c>
    </row>
    <row r="72" spans="1:8" x14ac:dyDescent="0.2">
      <c r="A72" s="13" t="str">
        <f>IF(ROW()-5&lt;=COUNTA(TablaEquipos[Compite]),ROW()-7,"")</f>
        <v/>
      </c>
      <c r="B72" s="10" t="str">
        <f>IF(Tabla96[[#This Row],[Id]]="","",VLOOKUP(Tabla96[[#This Row],[Id]]+1,TablaEquipos[],3,FALSE))</f>
        <v/>
      </c>
      <c r="C72" s="45" t="str">
        <f>IF(Tabla96[[#This Row],[Id]]="","",VLOOKUP(Tabla96[[#This Row],[Id]]+1,TablaEquipos[],4,FALSE))</f>
        <v/>
      </c>
      <c r="D72" s="13" t="str">
        <f>IF(Tabla96[[#This Row],[Id]]="","",COUNTIF(TablaTiempos[Club],Tabla96[[#This Row],[Pos]]))</f>
        <v/>
      </c>
      <c r="E72" s="47" t="str">
        <f>IF(Tabla96[[#This Row],[Id]]="","",Tabla96[[#This Row],[Total Llegados a Meta]]/Tabla96[[#This Row],[Total Inscritos]])</f>
        <v/>
      </c>
      <c r="F7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2" s="43">
        <f ca="1">NOW()-'LOS TIEMPOS'!$K$2</f>
        <v>42368.075526157409</v>
      </c>
    </row>
    <row r="73" spans="1:8" x14ac:dyDescent="0.2">
      <c r="A73" s="13" t="str">
        <f>IF(ROW()-5&lt;=COUNTA(TablaEquipos[Compite]),ROW()-7,"")</f>
        <v/>
      </c>
      <c r="B73" s="10" t="str">
        <f>IF(Tabla96[[#This Row],[Id]]="","",VLOOKUP(Tabla96[[#This Row],[Id]]+1,TablaEquipos[],3,FALSE))</f>
        <v/>
      </c>
      <c r="C73" s="45" t="str">
        <f>IF(Tabla96[[#This Row],[Id]]="","",VLOOKUP(Tabla96[[#This Row],[Id]]+1,TablaEquipos[],4,FALSE))</f>
        <v/>
      </c>
      <c r="D73" s="13" t="str">
        <f>IF(Tabla96[[#This Row],[Id]]="","",COUNTIF(TablaTiempos[Club],Tabla96[[#This Row],[Pos]]))</f>
        <v/>
      </c>
      <c r="E73" s="47" t="str">
        <f>IF(Tabla96[[#This Row],[Id]]="","",Tabla96[[#This Row],[Total Llegados a Meta]]/Tabla96[[#This Row],[Total Inscritos]])</f>
        <v/>
      </c>
      <c r="F7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3" s="43">
        <f ca="1">NOW()-'LOS TIEMPOS'!$K$2</f>
        <v>42368.075526157409</v>
      </c>
    </row>
    <row r="74" spans="1:8" x14ac:dyDescent="0.2">
      <c r="A74" s="13" t="str">
        <f>IF(ROW()-5&lt;=COUNTA(TablaEquipos[Compite]),ROW()-7,"")</f>
        <v/>
      </c>
      <c r="B74" s="10" t="str">
        <f>IF(Tabla96[[#This Row],[Id]]="","",VLOOKUP(Tabla96[[#This Row],[Id]]+1,TablaEquipos[],3,FALSE))</f>
        <v/>
      </c>
      <c r="C74" s="45" t="str">
        <f>IF(Tabla96[[#This Row],[Id]]="","",VLOOKUP(Tabla96[[#This Row],[Id]]+1,TablaEquipos[],4,FALSE))</f>
        <v/>
      </c>
      <c r="D74" s="13" t="str">
        <f>IF(Tabla96[[#This Row],[Id]]="","",COUNTIF(TablaTiempos[Club],Tabla96[[#This Row],[Pos]]))</f>
        <v/>
      </c>
      <c r="E74" s="47" t="str">
        <f>IF(Tabla96[[#This Row],[Id]]="","",Tabla96[[#This Row],[Total Llegados a Meta]]/Tabla96[[#This Row],[Total Inscritos]])</f>
        <v/>
      </c>
      <c r="F7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4" s="43">
        <f ca="1">NOW()-'LOS TIEMPOS'!$K$2</f>
        <v>42368.075526157409</v>
      </c>
    </row>
    <row r="75" spans="1:8" x14ac:dyDescent="0.2">
      <c r="A75" s="13" t="str">
        <f>IF(ROW()-5&lt;=COUNTA(TablaEquipos[Compite]),ROW()-7,"")</f>
        <v/>
      </c>
      <c r="B75" s="10" t="str">
        <f>IF(Tabla96[[#This Row],[Id]]="","",VLOOKUP(Tabla96[[#This Row],[Id]]+1,TablaEquipos[],3,FALSE))</f>
        <v/>
      </c>
      <c r="C75" s="45" t="str">
        <f>IF(Tabla96[[#This Row],[Id]]="","",VLOOKUP(Tabla96[[#This Row],[Id]]+1,TablaEquipos[],4,FALSE))</f>
        <v/>
      </c>
      <c r="D75" s="13" t="str">
        <f>IF(Tabla96[[#This Row],[Id]]="","",COUNTIF(TablaTiempos[Club],Tabla96[[#This Row],[Pos]]))</f>
        <v/>
      </c>
      <c r="E75" s="47" t="str">
        <f>IF(Tabla96[[#This Row],[Id]]="","",Tabla96[[#This Row],[Total Llegados a Meta]]/Tabla96[[#This Row],[Total Inscritos]])</f>
        <v/>
      </c>
      <c r="F7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5" s="43">
        <f ca="1">NOW()-'LOS TIEMPOS'!$K$2</f>
        <v>42368.075526157409</v>
      </c>
    </row>
    <row r="76" spans="1:8" x14ac:dyDescent="0.2">
      <c r="A76" s="13" t="str">
        <f>IF(ROW()-5&lt;=COUNTA(TablaEquipos[Compite]),ROW()-7,"")</f>
        <v/>
      </c>
      <c r="B76" s="10" t="str">
        <f>IF(Tabla96[[#This Row],[Id]]="","",VLOOKUP(Tabla96[[#This Row],[Id]]+1,TablaEquipos[],3,FALSE))</f>
        <v/>
      </c>
      <c r="C76" s="45" t="str">
        <f>IF(Tabla96[[#This Row],[Id]]="","",VLOOKUP(Tabla96[[#This Row],[Id]]+1,TablaEquipos[],4,FALSE))</f>
        <v/>
      </c>
      <c r="D76" s="13" t="str">
        <f>IF(Tabla96[[#This Row],[Id]]="","",COUNTIF(TablaTiempos[Club],Tabla96[[#This Row],[Pos]]))</f>
        <v/>
      </c>
      <c r="E76" s="47" t="str">
        <f>IF(Tabla96[[#This Row],[Id]]="","",Tabla96[[#This Row],[Total Llegados a Meta]]/Tabla96[[#This Row],[Total Inscritos]])</f>
        <v/>
      </c>
      <c r="F7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6" s="43">
        <f ca="1">NOW()-'LOS TIEMPOS'!$K$2</f>
        <v>42368.075526157409</v>
      </c>
    </row>
    <row r="77" spans="1:8" x14ac:dyDescent="0.2">
      <c r="A77" s="13" t="str">
        <f>IF(ROW()-5&lt;=COUNTA(TablaEquipos[Compite]),ROW()-7,"")</f>
        <v/>
      </c>
      <c r="B77" s="10" t="str">
        <f>IF(Tabla96[[#This Row],[Id]]="","",VLOOKUP(Tabla96[[#This Row],[Id]]+1,TablaEquipos[],3,FALSE))</f>
        <v/>
      </c>
      <c r="C77" s="45" t="str">
        <f>IF(Tabla96[[#This Row],[Id]]="","",VLOOKUP(Tabla96[[#This Row],[Id]]+1,TablaEquipos[],4,FALSE))</f>
        <v/>
      </c>
      <c r="D77" s="13" t="str">
        <f>IF(Tabla96[[#This Row],[Id]]="","",COUNTIF(TablaTiempos[Club],Tabla96[[#This Row],[Pos]]))</f>
        <v/>
      </c>
      <c r="E77" s="47" t="str">
        <f>IF(Tabla96[[#This Row],[Id]]="","",Tabla96[[#This Row],[Total Llegados a Meta]]/Tabla96[[#This Row],[Total Inscritos]])</f>
        <v/>
      </c>
      <c r="F7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7" s="43">
        <f ca="1">NOW()-'LOS TIEMPOS'!$K$2</f>
        <v>42368.075526157409</v>
      </c>
    </row>
    <row r="78" spans="1:8" x14ac:dyDescent="0.2">
      <c r="A78" s="13" t="str">
        <f>IF(ROW()-5&lt;=COUNTA(TablaEquipos[Compite]),ROW()-7,"")</f>
        <v/>
      </c>
      <c r="B78" s="10" t="str">
        <f>IF(Tabla96[[#This Row],[Id]]="","",VLOOKUP(Tabla96[[#This Row],[Id]]+1,TablaEquipos[],3,FALSE))</f>
        <v/>
      </c>
      <c r="C78" s="45" t="str">
        <f>IF(Tabla96[[#This Row],[Id]]="","",VLOOKUP(Tabla96[[#This Row],[Id]]+1,TablaEquipos[],4,FALSE))</f>
        <v/>
      </c>
      <c r="D78" s="13" t="str">
        <f>IF(Tabla96[[#This Row],[Id]]="","",COUNTIF(TablaTiempos[Club],Tabla96[[#This Row],[Pos]]))</f>
        <v/>
      </c>
      <c r="E78" s="47" t="str">
        <f>IF(Tabla96[[#This Row],[Id]]="","",Tabla96[[#This Row],[Total Llegados a Meta]]/Tabla96[[#This Row],[Total Inscritos]])</f>
        <v/>
      </c>
      <c r="F7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8" s="43">
        <f ca="1">NOW()-'LOS TIEMPOS'!$K$2</f>
        <v>42368.075526157409</v>
      </c>
    </row>
    <row r="79" spans="1:8" x14ac:dyDescent="0.2">
      <c r="A79" s="13" t="str">
        <f>IF(ROW()-5&lt;=COUNTA(TablaEquipos[Compite]),ROW()-7,"")</f>
        <v/>
      </c>
      <c r="B79" s="10" t="str">
        <f>IF(Tabla96[[#This Row],[Id]]="","",VLOOKUP(Tabla96[[#This Row],[Id]]+1,TablaEquipos[],3,FALSE))</f>
        <v/>
      </c>
      <c r="C79" s="45" t="str">
        <f>IF(Tabla96[[#This Row],[Id]]="","",VLOOKUP(Tabla96[[#This Row],[Id]]+1,TablaEquipos[],4,FALSE))</f>
        <v/>
      </c>
      <c r="D79" s="13" t="str">
        <f>IF(Tabla96[[#This Row],[Id]]="","",COUNTIF(TablaTiempos[Club],Tabla96[[#This Row],[Pos]]))</f>
        <v/>
      </c>
      <c r="E79" s="47" t="str">
        <f>IF(Tabla96[[#This Row],[Id]]="","",Tabla96[[#This Row],[Total Llegados a Meta]]/Tabla96[[#This Row],[Total Inscritos]])</f>
        <v/>
      </c>
      <c r="F7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9" s="43">
        <f ca="1">NOW()-'LOS TIEMPOS'!$K$2</f>
        <v>42368.075526157409</v>
      </c>
    </row>
    <row r="80" spans="1:8" x14ac:dyDescent="0.2">
      <c r="A80" s="13" t="str">
        <f>IF(ROW()-5&lt;=COUNTA(TablaEquipos[Compite]),ROW()-7,"")</f>
        <v/>
      </c>
      <c r="B80" s="10" t="str">
        <f>IF(Tabla96[[#This Row],[Id]]="","",VLOOKUP(Tabla96[[#This Row],[Id]]+1,TablaEquipos[],3,FALSE))</f>
        <v/>
      </c>
      <c r="C80" s="45" t="str">
        <f>IF(Tabla96[[#This Row],[Id]]="","",VLOOKUP(Tabla96[[#This Row],[Id]]+1,TablaEquipos[],4,FALSE))</f>
        <v/>
      </c>
      <c r="D80" s="13" t="str">
        <f>IF(Tabla96[[#This Row],[Id]]="","",COUNTIF(TablaTiempos[Club],Tabla96[[#This Row],[Pos]]))</f>
        <v/>
      </c>
      <c r="E80" s="47" t="str">
        <f>IF(Tabla96[[#This Row],[Id]]="","",Tabla96[[#This Row],[Total Llegados a Meta]]/Tabla96[[#This Row],[Total Inscritos]])</f>
        <v/>
      </c>
      <c r="F8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0" s="43">
        <f ca="1">NOW()-'LOS TIEMPOS'!$K$2</f>
        <v>42368.075526157409</v>
      </c>
    </row>
    <row r="81" spans="1:8" x14ac:dyDescent="0.2">
      <c r="A81" s="13" t="str">
        <f>IF(ROW()-5&lt;=COUNTA(TablaEquipos[Compite]),ROW()-7,"")</f>
        <v/>
      </c>
      <c r="B81" s="10" t="str">
        <f>IF(Tabla96[[#This Row],[Id]]="","",VLOOKUP(Tabla96[[#This Row],[Id]]+1,TablaEquipos[],3,FALSE))</f>
        <v/>
      </c>
      <c r="C81" s="45" t="str">
        <f>IF(Tabla96[[#This Row],[Id]]="","",VLOOKUP(Tabla96[[#This Row],[Id]]+1,TablaEquipos[],4,FALSE))</f>
        <v/>
      </c>
      <c r="D81" s="13" t="str">
        <f>IF(Tabla96[[#This Row],[Id]]="","",COUNTIF(TablaTiempos[Club],Tabla96[[#This Row],[Pos]]))</f>
        <v/>
      </c>
      <c r="E81" s="47" t="str">
        <f>IF(Tabla96[[#This Row],[Id]]="","",Tabla96[[#This Row],[Total Llegados a Meta]]/Tabla96[[#This Row],[Total Inscritos]])</f>
        <v/>
      </c>
      <c r="F8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1" s="43">
        <f ca="1">NOW()-'LOS TIEMPOS'!$K$2</f>
        <v>42368.075526157409</v>
      </c>
    </row>
    <row r="82" spans="1:8" x14ac:dyDescent="0.2">
      <c r="A82" s="13" t="str">
        <f>IF(ROW()-5&lt;=COUNTA(TablaEquipos[Compite]),ROW()-7,"")</f>
        <v/>
      </c>
      <c r="B82" s="10" t="str">
        <f>IF(Tabla96[[#This Row],[Id]]="","",VLOOKUP(Tabla96[[#This Row],[Id]]+1,TablaEquipos[],3,FALSE))</f>
        <v/>
      </c>
      <c r="C82" s="45" t="str">
        <f>IF(Tabla96[[#This Row],[Id]]="","",VLOOKUP(Tabla96[[#This Row],[Id]]+1,TablaEquipos[],4,FALSE))</f>
        <v/>
      </c>
      <c r="D82" s="13" t="str">
        <f>IF(Tabla96[[#This Row],[Id]]="","",COUNTIF(TablaTiempos[Club],Tabla96[[#This Row],[Pos]]))</f>
        <v/>
      </c>
      <c r="E82" s="47" t="str">
        <f>IF(Tabla96[[#This Row],[Id]]="","",Tabla96[[#This Row],[Total Llegados a Meta]]/Tabla96[[#This Row],[Total Inscritos]])</f>
        <v/>
      </c>
      <c r="F8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2" s="43">
        <f ca="1">NOW()-'LOS TIEMPOS'!$K$2</f>
        <v>42368.075526157409</v>
      </c>
    </row>
    <row r="83" spans="1:8" x14ac:dyDescent="0.2">
      <c r="A83" s="13" t="str">
        <f>IF(ROW()-5&lt;=COUNTA(TablaEquipos[Compite]),ROW()-7,"")</f>
        <v/>
      </c>
      <c r="B83" s="10" t="str">
        <f>IF(Tabla96[[#This Row],[Id]]="","",VLOOKUP(Tabla96[[#This Row],[Id]]+1,TablaEquipos[],3,FALSE))</f>
        <v/>
      </c>
      <c r="C83" s="45" t="str">
        <f>IF(Tabla96[[#This Row],[Id]]="","",VLOOKUP(Tabla96[[#This Row],[Id]]+1,TablaEquipos[],4,FALSE))</f>
        <v/>
      </c>
      <c r="D83" s="13" t="str">
        <f>IF(Tabla96[[#This Row],[Id]]="","",COUNTIF(TablaTiempos[Club],Tabla96[[#This Row],[Pos]]))</f>
        <v/>
      </c>
      <c r="E83" s="47" t="str">
        <f>IF(Tabla96[[#This Row],[Id]]="","",Tabla96[[#This Row],[Total Llegados a Meta]]/Tabla96[[#This Row],[Total Inscritos]])</f>
        <v/>
      </c>
      <c r="F8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3" s="43">
        <f ca="1">NOW()-'LOS TIEMPOS'!$K$2</f>
        <v>42368.075526157409</v>
      </c>
    </row>
    <row r="84" spans="1:8" x14ac:dyDescent="0.2">
      <c r="A84" s="13" t="str">
        <f>IF(ROW()-5&lt;=COUNTA(TablaEquipos[Compite]),ROW()-7,"")</f>
        <v/>
      </c>
      <c r="B84" s="10" t="str">
        <f>IF(Tabla96[[#This Row],[Id]]="","",VLOOKUP(Tabla96[[#This Row],[Id]]+1,TablaEquipos[],3,FALSE))</f>
        <v/>
      </c>
      <c r="C84" s="45" t="str">
        <f>IF(Tabla96[[#This Row],[Id]]="","",VLOOKUP(Tabla96[[#This Row],[Id]]+1,TablaEquipos[],4,FALSE))</f>
        <v/>
      </c>
      <c r="D84" s="13" t="str">
        <f>IF(Tabla96[[#This Row],[Id]]="","",COUNTIF(TablaTiempos[Club],Tabla96[[#This Row],[Pos]]))</f>
        <v/>
      </c>
      <c r="E84" s="47" t="str">
        <f>IF(Tabla96[[#This Row],[Id]]="","",Tabla96[[#This Row],[Total Llegados a Meta]]/Tabla96[[#This Row],[Total Inscritos]])</f>
        <v/>
      </c>
      <c r="F8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4" s="43">
        <f ca="1">NOW()-'LOS TIEMPOS'!$K$2</f>
        <v>42368.075526157409</v>
      </c>
    </row>
    <row r="85" spans="1:8" x14ac:dyDescent="0.2">
      <c r="A85" s="13" t="str">
        <f>IF(ROW()-5&lt;=COUNTA(TablaEquipos[Compite]),ROW()-7,"")</f>
        <v/>
      </c>
      <c r="B85" s="10" t="str">
        <f>IF(Tabla96[[#This Row],[Id]]="","",VLOOKUP(Tabla96[[#This Row],[Id]]+1,TablaEquipos[],3,FALSE))</f>
        <v/>
      </c>
      <c r="C85" s="45" t="str">
        <f>IF(Tabla96[[#This Row],[Id]]="","",VLOOKUP(Tabla96[[#This Row],[Id]]+1,TablaEquipos[],4,FALSE))</f>
        <v/>
      </c>
      <c r="D85" s="13" t="str">
        <f>IF(Tabla96[[#This Row],[Id]]="","",COUNTIF(TablaTiempos[Club],Tabla96[[#This Row],[Pos]]))</f>
        <v/>
      </c>
      <c r="E85" s="47" t="str">
        <f>IF(Tabla96[[#This Row],[Id]]="","",Tabla96[[#This Row],[Total Llegados a Meta]]/Tabla96[[#This Row],[Total Inscritos]])</f>
        <v/>
      </c>
      <c r="F8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5" s="43">
        <f ca="1">NOW()-'LOS TIEMPOS'!$K$2</f>
        <v>42368.075526157409</v>
      </c>
    </row>
    <row r="86" spans="1:8" x14ac:dyDescent="0.2">
      <c r="A86" s="13" t="str">
        <f>IF(ROW()-5&lt;=COUNTA(TablaEquipos[Compite]),ROW()-7,"")</f>
        <v/>
      </c>
      <c r="B86" s="10" t="str">
        <f>IF(Tabla96[[#This Row],[Id]]="","",VLOOKUP(Tabla96[[#This Row],[Id]]+1,TablaEquipos[],3,FALSE))</f>
        <v/>
      </c>
      <c r="C86" s="45" t="str">
        <f>IF(Tabla96[[#This Row],[Id]]="","",VLOOKUP(Tabla96[[#This Row],[Id]]+1,TablaEquipos[],4,FALSE))</f>
        <v/>
      </c>
      <c r="D86" s="13" t="str">
        <f>IF(Tabla96[[#This Row],[Id]]="","",COUNTIF(TablaTiempos[Club],Tabla96[[#This Row],[Pos]]))</f>
        <v/>
      </c>
      <c r="E86" s="47" t="str">
        <f>IF(Tabla96[[#This Row],[Id]]="","",Tabla96[[#This Row],[Total Llegados a Meta]]/Tabla96[[#This Row],[Total Inscritos]])</f>
        <v/>
      </c>
      <c r="F8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6" s="43">
        <f ca="1">NOW()-'LOS TIEMPOS'!$K$2</f>
        <v>42368.075526157409</v>
      </c>
    </row>
    <row r="87" spans="1:8" x14ac:dyDescent="0.2">
      <c r="A87" s="13" t="str">
        <f>IF(ROW()-5&lt;=COUNTA(TablaEquipos[Compite]),ROW()-7,"")</f>
        <v/>
      </c>
      <c r="B87" s="10" t="str">
        <f>IF(Tabla96[[#This Row],[Id]]="","",VLOOKUP(Tabla96[[#This Row],[Id]]+1,TablaEquipos[],3,FALSE))</f>
        <v/>
      </c>
      <c r="C87" s="45" t="str">
        <f>IF(Tabla96[[#This Row],[Id]]="","",VLOOKUP(Tabla96[[#This Row],[Id]]+1,TablaEquipos[],4,FALSE))</f>
        <v/>
      </c>
      <c r="D87" s="13" t="str">
        <f>IF(Tabla96[[#This Row],[Id]]="","",COUNTIF(TablaTiempos[Club],Tabla96[[#This Row],[Pos]]))</f>
        <v/>
      </c>
      <c r="E87" s="47" t="str">
        <f>IF(Tabla96[[#This Row],[Id]]="","",Tabla96[[#This Row],[Total Llegados a Meta]]/Tabla96[[#This Row],[Total Inscritos]])</f>
        <v/>
      </c>
      <c r="F8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7" s="43">
        <f ca="1">NOW()-'LOS TIEMPOS'!$K$2</f>
        <v>42368.075526157409</v>
      </c>
    </row>
    <row r="88" spans="1:8" x14ac:dyDescent="0.2">
      <c r="A88" s="13" t="str">
        <f>IF(ROW()-5&lt;=COUNTA(TablaEquipos[Compite]),ROW()-7,"")</f>
        <v/>
      </c>
      <c r="B88" s="10" t="str">
        <f>IF(Tabla96[[#This Row],[Id]]="","",VLOOKUP(Tabla96[[#This Row],[Id]]+1,TablaEquipos[],3,FALSE))</f>
        <v/>
      </c>
      <c r="C88" s="45" t="str">
        <f>IF(Tabla96[[#This Row],[Id]]="","",VLOOKUP(Tabla96[[#This Row],[Id]]+1,TablaEquipos[],4,FALSE))</f>
        <v/>
      </c>
      <c r="D88" s="13" t="str">
        <f>IF(Tabla96[[#This Row],[Id]]="","",COUNTIF(TablaTiempos[Club],Tabla96[[#This Row],[Pos]]))</f>
        <v/>
      </c>
      <c r="E88" s="47" t="str">
        <f>IF(Tabla96[[#This Row],[Id]]="","",Tabla96[[#This Row],[Total Llegados a Meta]]/Tabla96[[#This Row],[Total Inscritos]])</f>
        <v/>
      </c>
      <c r="F8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8" s="43">
        <f ca="1">NOW()-'LOS TIEMPOS'!$K$2</f>
        <v>42368.075526157409</v>
      </c>
    </row>
    <row r="89" spans="1:8" x14ac:dyDescent="0.2">
      <c r="A89" s="13" t="str">
        <f>IF(ROW()-5&lt;=COUNTA(TablaEquipos[Compite]),ROW()-7,"")</f>
        <v/>
      </c>
      <c r="B89" s="10" t="str">
        <f>IF(Tabla96[[#This Row],[Id]]="","",VLOOKUP(Tabla96[[#This Row],[Id]]+1,TablaEquipos[],3,FALSE))</f>
        <v/>
      </c>
      <c r="C89" s="45" t="str">
        <f>IF(Tabla96[[#This Row],[Id]]="","",VLOOKUP(Tabla96[[#This Row],[Id]]+1,TablaEquipos[],4,FALSE))</f>
        <v/>
      </c>
      <c r="D89" s="13" t="str">
        <f>IF(Tabla96[[#This Row],[Id]]="","",COUNTIF(TablaTiempos[Club],Tabla96[[#This Row],[Pos]]))</f>
        <v/>
      </c>
      <c r="E89" s="47" t="str">
        <f>IF(Tabla96[[#This Row],[Id]]="","",Tabla96[[#This Row],[Total Llegados a Meta]]/Tabla96[[#This Row],[Total Inscritos]])</f>
        <v/>
      </c>
      <c r="F8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9" s="43">
        <f ca="1">NOW()-'LOS TIEMPOS'!$K$2</f>
        <v>42368.075526157409</v>
      </c>
    </row>
    <row r="90" spans="1:8" x14ac:dyDescent="0.2">
      <c r="A90" s="13" t="str">
        <f>IF(ROW()-5&lt;=COUNTA(TablaEquipos[Compite]),ROW()-7,"")</f>
        <v/>
      </c>
      <c r="B90" s="10" t="str">
        <f>IF(Tabla96[[#This Row],[Id]]="","",VLOOKUP(Tabla96[[#This Row],[Id]]+1,TablaEquipos[],3,FALSE))</f>
        <v/>
      </c>
      <c r="C90" s="45" t="str">
        <f>IF(Tabla96[[#This Row],[Id]]="","",VLOOKUP(Tabla96[[#This Row],[Id]]+1,TablaEquipos[],4,FALSE))</f>
        <v/>
      </c>
      <c r="D90" s="13" t="str">
        <f>IF(Tabla96[[#This Row],[Id]]="","",COUNTIF(TablaTiempos[Club],Tabla96[[#This Row],[Pos]]))</f>
        <v/>
      </c>
      <c r="E90" s="47" t="str">
        <f>IF(Tabla96[[#This Row],[Id]]="","",Tabla96[[#This Row],[Total Llegados a Meta]]/Tabla96[[#This Row],[Total Inscritos]])</f>
        <v/>
      </c>
      <c r="F9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0" s="43">
        <f ca="1">NOW()-'LOS TIEMPOS'!$K$2</f>
        <v>42368.075526157409</v>
      </c>
    </row>
    <row r="91" spans="1:8" x14ac:dyDescent="0.2">
      <c r="A91" s="13" t="str">
        <f>IF(ROW()-5&lt;=COUNTA(TablaEquipos[Compite]),ROW()-7,"")</f>
        <v/>
      </c>
      <c r="B91" s="10" t="str">
        <f>IF(Tabla96[[#This Row],[Id]]="","",VLOOKUP(Tabla96[[#This Row],[Id]]+1,TablaEquipos[],3,FALSE))</f>
        <v/>
      </c>
      <c r="C91" s="45" t="str">
        <f>IF(Tabla96[[#This Row],[Id]]="","",VLOOKUP(Tabla96[[#This Row],[Id]]+1,TablaEquipos[],4,FALSE))</f>
        <v/>
      </c>
      <c r="D91" s="13" t="str">
        <f>IF(Tabla96[[#This Row],[Id]]="","",COUNTIF(TablaTiempos[Club],Tabla96[[#This Row],[Pos]]))</f>
        <v/>
      </c>
      <c r="E91" s="47" t="str">
        <f>IF(Tabla96[[#This Row],[Id]]="","",Tabla96[[#This Row],[Total Llegados a Meta]]/Tabla96[[#This Row],[Total Inscritos]])</f>
        <v/>
      </c>
      <c r="F9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1" s="43">
        <f ca="1">NOW()-'LOS TIEMPOS'!$K$2</f>
        <v>42368.075526157409</v>
      </c>
    </row>
    <row r="92" spans="1:8" x14ac:dyDescent="0.2">
      <c r="A92" s="13" t="str">
        <f>IF(ROW()-5&lt;=COUNTA(TablaEquipos[Compite]),ROW()-7,"")</f>
        <v/>
      </c>
      <c r="B92" s="10" t="str">
        <f>IF(Tabla96[[#This Row],[Id]]="","",VLOOKUP(Tabla96[[#This Row],[Id]]+1,TablaEquipos[],3,FALSE))</f>
        <v/>
      </c>
      <c r="C92" s="45" t="str">
        <f>IF(Tabla96[[#This Row],[Id]]="","",VLOOKUP(Tabla96[[#This Row],[Id]]+1,TablaEquipos[],4,FALSE))</f>
        <v/>
      </c>
      <c r="D92" s="13" t="str">
        <f>IF(Tabla96[[#This Row],[Id]]="","",COUNTIF(TablaTiempos[Club],Tabla96[[#This Row],[Pos]]))</f>
        <v/>
      </c>
      <c r="E92" s="47" t="str">
        <f>IF(Tabla96[[#This Row],[Id]]="","",Tabla96[[#This Row],[Total Llegados a Meta]]/Tabla96[[#This Row],[Total Inscritos]])</f>
        <v/>
      </c>
      <c r="F9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2" s="43">
        <f ca="1">NOW()-'LOS TIEMPOS'!$K$2</f>
        <v>42368.075526157409</v>
      </c>
    </row>
    <row r="93" spans="1:8" x14ac:dyDescent="0.2">
      <c r="A93" s="13" t="str">
        <f>IF(ROW()-5&lt;=COUNTA(TablaEquipos[Compite]),ROW()-7,"")</f>
        <v/>
      </c>
      <c r="B93" s="10" t="str">
        <f>IF(Tabla96[[#This Row],[Id]]="","",VLOOKUP(Tabla96[[#This Row],[Id]]+1,TablaEquipos[],3,FALSE))</f>
        <v/>
      </c>
      <c r="C93" s="45" t="str">
        <f>IF(Tabla96[[#This Row],[Id]]="","",VLOOKUP(Tabla96[[#This Row],[Id]]+1,TablaEquipos[],4,FALSE))</f>
        <v/>
      </c>
      <c r="D93" s="13" t="str">
        <f>IF(Tabla96[[#This Row],[Id]]="","",COUNTIF(TablaTiempos[Club],Tabla96[[#This Row],[Pos]]))</f>
        <v/>
      </c>
      <c r="E93" s="47" t="str">
        <f>IF(Tabla96[[#This Row],[Id]]="","",Tabla96[[#This Row],[Total Llegados a Meta]]/Tabla96[[#This Row],[Total Inscritos]])</f>
        <v/>
      </c>
      <c r="F9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3" s="43">
        <f ca="1">NOW()-'LOS TIEMPOS'!$K$2</f>
        <v>42368.075526157409</v>
      </c>
    </row>
    <row r="94" spans="1:8" x14ac:dyDescent="0.2">
      <c r="A94" s="13" t="str">
        <f>IF(ROW()-5&lt;=COUNTA(TablaEquipos[Compite]),ROW()-7,"")</f>
        <v/>
      </c>
      <c r="B94" s="10" t="str">
        <f>IF(Tabla96[[#This Row],[Id]]="","",VLOOKUP(Tabla96[[#This Row],[Id]]+1,TablaEquipos[],3,FALSE))</f>
        <v/>
      </c>
      <c r="C94" s="45" t="str">
        <f>IF(Tabla96[[#This Row],[Id]]="","",VLOOKUP(Tabla96[[#This Row],[Id]]+1,TablaEquipos[],4,FALSE))</f>
        <v/>
      </c>
      <c r="D94" s="13" t="str">
        <f>IF(Tabla96[[#This Row],[Id]]="","",COUNTIF(TablaTiempos[Club],Tabla96[[#This Row],[Pos]]))</f>
        <v/>
      </c>
      <c r="E94" s="47" t="str">
        <f>IF(Tabla96[[#This Row],[Id]]="","",Tabla96[[#This Row],[Total Llegados a Meta]]/Tabla96[[#This Row],[Total Inscritos]])</f>
        <v/>
      </c>
      <c r="F9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4" s="43">
        <f ca="1">NOW()-'LOS TIEMPOS'!$K$2</f>
        <v>42368.075526157409</v>
      </c>
    </row>
    <row r="95" spans="1:8" x14ac:dyDescent="0.2">
      <c r="A95" s="13" t="str">
        <f>IF(ROW()-5&lt;=COUNTA(TablaEquipos[Compite]),ROW()-7,"")</f>
        <v/>
      </c>
      <c r="B95" s="10" t="str">
        <f>IF(Tabla96[[#This Row],[Id]]="","",VLOOKUP(Tabla96[[#This Row],[Id]]+1,TablaEquipos[],3,FALSE))</f>
        <v/>
      </c>
      <c r="C95" s="45" t="str">
        <f>IF(Tabla96[[#This Row],[Id]]="","",VLOOKUP(Tabla96[[#This Row],[Id]]+1,TablaEquipos[],4,FALSE))</f>
        <v/>
      </c>
      <c r="D95" s="13" t="str">
        <f>IF(Tabla96[[#This Row],[Id]]="","",COUNTIF(TablaTiempos[Club],Tabla96[[#This Row],[Pos]]))</f>
        <v/>
      </c>
      <c r="E95" s="47" t="str">
        <f>IF(Tabla96[[#This Row],[Id]]="","",Tabla96[[#This Row],[Total Llegados a Meta]]/Tabla96[[#This Row],[Total Inscritos]])</f>
        <v/>
      </c>
      <c r="F9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5" s="43">
        <f ca="1">NOW()-'LOS TIEMPOS'!$K$2</f>
        <v>42368.075526157409</v>
      </c>
    </row>
    <row r="96" spans="1:8" x14ac:dyDescent="0.2">
      <c r="A96" s="13" t="str">
        <f>IF(ROW()-5&lt;=COUNTA(TablaEquipos[Compite]),ROW()-7,"")</f>
        <v/>
      </c>
      <c r="B96" s="10" t="str">
        <f>IF(Tabla96[[#This Row],[Id]]="","",VLOOKUP(Tabla96[[#This Row],[Id]]+1,TablaEquipos[],3,FALSE))</f>
        <v/>
      </c>
      <c r="C96" s="45" t="str">
        <f>IF(Tabla96[[#This Row],[Id]]="","",VLOOKUP(Tabla96[[#This Row],[Id]]+1,TablaEquipos[],4,FALSE))</f>
        <v/>
      </c>
      <c r="D96" s="13" t="str">
        <f>IF(Tabla96[[#This Row],[Id]]="","",COUNTIF(TablaTiempos[Club],Tabla96[[#This Row],[Pos]]))</f>
        <v/>
      </c>
      <c r="E96" s="47" t="str">
        <f>IF(Tabla96[[#This Row],[Id]]="","",Tabla96[[#This Row],[Total Llegados a Meta]]/Tabla96[[#This Row],[Total Inscritos]])</f>
        <v/>
      </c>
      <c r="F9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6" s="43">
        <f ca="1">NOW()-'LOS TIEMPOS'!$K$2</f>
        <v>42368.075526157409</v>
      </c>
    </row>
    <row r="97" spans="1:8" x14ac:dyDescent="0.2">
      <c r="A97" s="13" t="str">
        <f>IF(ROW()-5&lt;=COUNTA(TablaEquipos[Compite]),ROW()-7,"")</f>
        <v/>
      </c>
      <c r="B97" s="10" t="str">
        <f>IF(Tabla96[[#This Row],[Id]]="","",VLOOKUP(Tabla96[[#This Row],[Id]]+1,TablaEquipos[],3,FALSE))</f>
        <v/>
      </c>
      <c r="C97" s="45" t="str">
        <f>IF(Tabla96[[#This Row],[Id]]="","",VLOOKUP(Tabla96[[#This Row],[Id]]+1,TablaEquipos[],4,FALSE))</f>
        <v/>
      </c>
      <c r="D97" s="13" t="str">
        <f>IF(Tabla96[[#This Row],[Id]]="","",COUNTIF(TablaTiempos[Club],Tabla96[[#This Row],[Pos]]))</f>
        <v/>
      </c>
      <c r="E97" s="47" t="str">
        <f>IF(Tabla96[[#This Row],[Id]]="","",Tabla96[[#This Row],[Total Llegados a Meta]]/Tabla96[[#This Row],[Total Inscritos]])</f>
        <v/>
      </c>
      <c r="F9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7" s="43">
        <f ca="1">NOW()-'LOS TIEMPOS'!$K$2</f>
        <v>42368.075526157409</v>
      </c>
    </row>
    <row r="98" spans="1:8" x14ac:dyDescent="0.2">
      <c r="A98" s="13" t="str">
        <f>IF(ROW()-5&lt;=COUNTA(TablaEquipos[Compite]),ROW()-7,"")</f>
        <v/>
      </c>
      <c r="B98" s="10" t="str">
        <f>IF(Tabla96[[#This Row],[Id]]="","",VLOOKUP(Tabla96[[#This Row],[Id]]+1,TablaEquipos[],3,FALSE))</f>
        <v/>
      </c>
      <c r="C98" s="45" t="str">
        <f>IF(Tabla96[[#This Row],[Id]]="","",VLOOKUP(Tabla96[[#This Row],[Id]]+1,TablaEquipos[],4,FALSE))</f>
        <v/>
      </c>
      <c r="D98" s="13" t="str">
        <f>IF(Tabla96[[#This Row],[Id]]="","",COUNTIF(TablaTiempos[Club],Tabla96[[#This Row],[Pos]]))</f>
        <v/>
      </c>
      <c r="E98" s="47" t="str">
        <f>IF(Tabla96[[#This Row],[Id]]="","",Tabla96[[#This Row],[Total Llegados a Meta]]/Tabla96[[#This Row],[Total Inscritos]])</f>
        <v/>
      </c>
      <c r="F9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8" s="43">
        <f ca="1">NOW()-'LOS TIEMPOS'!$K$2</f>
        <v>42368.075526157409</v>
      </c>
    </row>
    <row r="99" spans="1:8" x14ac:dyDescent="0.2">
      <c r="A99" s="13" t="str">
        <f>IF(ROW()-5&lt;=COUNTA(TablaEquipos[Compite]),ROW()-7,"")</f>
        <v/>
      </c>
      <c r="B99" s="10" t="str">
        <f>IF(Tabla96[[#This Row],[Id]]="","",VLOOKUP(Tabla96[[#This Row],[Id]]+1,TablaEquipos[],3,FALSE))</f>
        <v/>
      </c>
      <c r="C99" s="45" t="str">
        <f>IF(Tabla96[[#This Row],[Id]]="","",VLOOKUP(Tabla96[[#This Row],[Id]]+1,TablaEquipos[],4,FALSE))</f>
        <v/>
      </c>
      <c r="D99" s="13" t="str">
        <f>IF(Tabla96[[#This Row],[Id]]="","",COUNTIF(TablaTiempos[Club],Tabla96[[#This Row],[Pos]]))</f>
        <v/>
      </c>
      <c r="E99" s="47" t="str">
        <f>IF(Tabla96[[#This Row],[Id]]="","",Tabla96[[#This Row],[Total Llegados a Meta]]/Tabla96[[#This Row],[Total Inscritos]])</f>
        <v/>
      </c>
      <c r="F9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9" s="43">
        <f ca="1">NOW()-'LOS TIEMPOS'!$K$2</f>
        <v>42368.075526157409</v>
      </c>
    </row>
    <row r="100" spans="1:8" x14ac:dyDescent="0.2">
      <c r="A100" s="13" t="str">
        <f>IF(ROW()-5&lt;=COUNTA(TablaEquipos[Compite]),ROW()-7,"")</f>
        <v/>
      </c>
      <c r="B100" s="10" t="str">
        <f>IF(Tabla96[[#This Row],[Id]]="","",VLOOKUP(Tabla96[[#This Row],[Id]]+1,TablaEquipos[],3,FALSE))</f>
        <v/>
      </c>
      <c r="C100" s="45" t="str">
        <f>IF(Tabla96[[#This Row],[Id]]="","",VLOOKUP(Tabla96[[#This Row],[Id]]+1,TablaEquipos[],4,FALSE))</f>
        <v/>
      </c>
      <c r="D100" s="13" t="str">
        <f>IF(Tabla96[[#This Row],[Id]]="","",COUNTIF(TablaTiempos[Club],Tabla96[[#This Row],[Pos]]))</f>
        <v/>
      </c>
      <c r="E100" s="47" t="str">
        <f>IF(Tabla96[[#This Row],[Id]]="","",Tabla96[[#This Row],[Total Llegados a Meta]]/Tabla96[[#This Row],[Total Inscritos]])</f>
        <v/>
      </c>
      <c r="F10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00" s="43">
        <f ca="1">NOW()-'LOS TIEMPOS'!$K$2</f>
        <v>42368.075526157409</v>
      </c>
    </row>
    <row r="101" spans="1:8" x14ac:dyDescent="0.2">
      <c r="A101" s="13" t="str">
        <f>IF(ROW()-5&lt;=COUNTA(TablaEquipos[Compite]),ROW()-7,"")</f>
        <v/>
      </c>
      <c r="B101" s="10" t="str">
        <f>IF(Tabla96[[#This Row],[Id]]="","",VLOOKUP(Tabla96[[#This Row],[Id]]+1,TablaEquipos[],3,FALSE))</f>
        <v/>
      </c>
      <c r="C101" s="45" t="str">
        <f>IF(Tabla96[[#This Row],[Id]]="","",VLOOKUP(Tabla96[[#This Row],[Id]]+1,TablaEquipos[],4,FALSE))</f>
        <v/>
      </c>
      <c r="D101" s="13" t="str">
        <f>IF(Tabla96[[#This Row],[Id]]="","",COUNTIF(TablaTiempos[Club],Tabla96[[#This Row],[Pos]]))</f>
        <v/>
      </c>
      <c r="E101" s="47" t="str">
        <f>IF(Tabla96[[#This Row],[Id]]="","",Tabla96[[#This Row],[Total Llegados a Meta]]/Tabla96[[#This Row],[Total Inscritos]])</f>
        <v/>
      </c>
      <c r="F10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01" s="43">
        <f ca="1">NOW()-'LOS TIEMPOS'!$K$2</f>
        <v>42368.075526157409</v>
      </c>
    </row>
    <row r="102" spans="1:8" x14ac:dyDescent="0.2">
      <c r="A102" s="13" t="str">
        <f>IF(ROW()-5&lt;=COUNTA(TablaEquipos[Compite]),ROW()-7,"")</f>
        <v/>
      </c>
      <c r="B102" s="10" t="str">
        <f>IF(Tabla96[[#This Row],[Id]]="","",VLOOKUP(Tabla96[[#This Row],[Id]]+1,TablaEquipos[],3,FALSE))</f>
        <v/>
      </c>
      <c r="C102" s="45" t="str">
        <f>IF(Tabla96[[#This Row],[Id]]="","",VLOOKUP(Tabla96[[#This Row],[Id]]+1,TablaEquipos[],4,FALSE))</f>
        <v/>
      </c>
      <c r="D102" s="13" t="str">
        <f>IF(Tabla96[[#This Row],[Id]]="","",COUNTIF(TablaTiempos[Club],Tabla96[[#This Row],[Pos]]))</f>
        <v/>
      </c>
      <c r="E102" s="47" t="str">
        <f>IF(Tabla96[[#This Row],[Id]]="","",Tabla96[[#This Row],[Total Llegados a Meta]]/Tabla96[[#This Row],[Total Inscritos]])</f>
        <v/>
      </c>
      <c r="F10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02" s="43">
        <f ca="1">NOW()-'LOS TIEMPOS'!$K$2</f>
        <v>42368.075526157409</v>
      </c>
    </row>
    <row r="103" spans="1:8" x14ac:dyDescent="0.2">
      <c r="A103" s="13" t="str">
        <f>IF(ROW()-5&lt;=COUNTA(TablaEquipos[Compite]),ROW()-7,"")</f>
        <v/>
      </c>
      <c r="B103" s="10" t="str">
        <f>IF(Tabla96[[#This Row],[Id]]="","",VLOOKUP(Tabla96[[#This Row],[Id]]+1,TablaEquipos[],3,FALSE))</f>
        <v/>
      </c>
      <c r="C103" s="45" t="str">
        <f>IF(Tabla96[[#This Row],[Id]]="","",VLOOKUP(Tabla96[[#This Row],[Id]]+1,TablaEquipos[],4,FALSE))</f>
        <v/>
      </c>
      <c r="D103" s="13" t="str">
        <f>IF(Tabla96[[#This Row],[Id]]="","",COUNTIF(TablaTiempos[Club],Tabla96[[#This Row],[Pos]]))</f>
        <v/>
      </c>
      <c r="E103" s="47" t="str">
        <f>IF(Tabla96[[#This Row],[Id]]="","",Tabla96[[#This Row],[Total Llegados a Meta]]/Tabla96[[#This Row],[Total Inscritos]])</f>
        <v/>
      </c>
      <c r="F10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03" s="43">
        <f ca="1">NOW()-'LOS TIEMPOS'!$K$2</f>
        <v>42368.075526157409</v>
      </c>
    </row>
    <row r="104" spans="1:8" x14ac:dyDescent="0.2">
      <c r="A104" s="13" t="str">
        <f>IF(ROW()-5&lt;=COUNTA(TablaEquipos[Compite]),ROW()-7,"")</f>
        <v/>
      </c>
      <c r="B104" s="10" t="str">
        <f>IF(Tabla96[[#This Row],[Id]]="","",VLOOKUP(Tabla96[[#This Row],[Id]]+1,TablaEquipos[],3,FALSE))</f>
        <v/>
      </c>
      <c r="C104" s="45" t="str">
        <f>IF(Tabla96[[#This Row],[Id]]="","",VLOOKUP(Tabla96[[#This Row],[Id]]+1,TablaEquipos[],4,FALSE))</f>
        <v/>
      </c>
      <c r="D104" s="13" t="str">
        <f>IF(Tabla96[[#This Row],[Id]]="","",COUNTIF(TablaTiempos[Club],Tabla96[[#This Row],[Pos]]))</f>
        <v/>
      </c>
      <c r="E104" s="47" t="str">
        <f>IF(Tabla96[[#This Row],[Id]]="","",Tabla96[[#This Row],[Total Llegados a Meta]]/Tabla96[[#This Row],[Total Inscritos]])</f>
        <v/>
      </c>
      <c r="F10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04" s="43">
        <f ca="1">NOW()-'LOS TIEMPOS'!$K$2</f>
        <v>42368.075526157409</v>
      </c>
    </row>
    <row r="105" spans="1:8" x14ac:dyDescent="0.2">
      <c r="A105" s="13" t="str">
        <f>IF(ROW()-5&lt;=COUNTA(TablaEquipos[Compite]),ROW()-7,"")</f>
        <v/>
      </c>
      <c r="B105" s="10" t="str">
        <f>IF(Tabla96[[#This Row],[Id]]="","",VLOOKUP(Tabla96[[#This Row],[Id]]+1,TablaEquipos[],3,FALSE))</f>
        <v/>
      </c>
      <c r="C105" s="45" t="str">
        <f>IF(Tabla96[[#This Row],[Id]]="","",VLOOKUP(Tabla96[[#This Row],[Id]]+1,TablaEquipos[],4,FALSE))</f>
        <v/>
      </c>
      <c r="D105" s="13" t="str">
        <f>IF(Tabla96[[#This Row],[Id]]="","",COUNTIF(TablaTiempos[Club],Tabla96[[#This Row],[Pos]]))</f>
        <v/>
      </c>
      <c r="E105" s="47" t="str">
        <f>IF(Tabla96[[#This Row],[Id]]="","",Tabla96[[#This Row],[Total Llegados a Meta]]/Tabla96[[#This Row],[Total Inscritos]])</f>
        <v/>
      </c>
      <c r="F10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05" s="43">
        <f ca="1">NOW()-'LOS TIEMPOS'!$K$2</f>
        <v>42368.075526157409</v>
      </c>
    </row>
    <row r="106" spans="1:8" x14ac:dyDescent="0.2">
      <c r="A106" s="13" t="str">
        <f>IF(ROW()-5&lt;=COUNTA(TablaEquipos[Compite]),ROW()-7,"")</f>
        <v/>
      </c>
      <c r="B106" s="10" t="str">
        <f>IF(Tabla96[[#This Row],[Id]]="","",VLOOKUP(Tabla96[[#This Row],[Id]]+1,TablaEquipos[],3,FALSE))</f>
        <v/>
      </c>
      <c r="C106" s="45" t="str">
        <f>IF(Tabla96[[#This Row],[Id]]="","",VLOOKUP(Tabla96[[#This Row],[Id]]+1,TablaEquipos[],4,FALSE))</f>
        <v/>
      </c>
      <c r="D106" s="13" t="str">
        <f>IF(Tabla96[[#This Row],[Id]]="","",COUNTIF(TablaTiempos[Club],Tabla96[[#This Row],[Pos]]))</f>
        <v/>
      </c>
      <c r="E106" s="47" t="str">
        <f>IF(Tabla96[[#This Row],[Id]]="","",Tabla96[[#This Row],[Total Llegados a Meta]]/Tabla96[[#This Row],[Total Inscritos]])</f>
        <v/>
      </c>
      <c r="F10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06" s="43">
        <f ca="1">NOW()-'LOS TIEMPOS'!$K$2</f>
        <v>42368.075526157409</v>
      </c>
    </row>
    <row r="107" spans="1:8" x14ac:dyDescent="0.2">
      <c r="A107" s="13" t="str">
        <f>IF(ROW()-5&lt;=COUNTA(TablaEquipos[Compite]),ROW()-7,"")</f>
        <v/>
      </c>
      <c r="B107" s="10" t="str">
        <f>IF(Tabla96[[#This Row],[Id]]="","",VLOOKUP(Tabla96[[#This Row],[Id]]+1,TablaEquipos[],3,FALSE))</f>
        <v/>
      </c>
      <c r="C107" s="45" t="str">
        <f>IF(Tabla96[[#This Row],[Id]]="","",VLOOKUP(Tabla96[[#This Row],[Id]]+1,TablaEquipos[],4,FALSE))</f>
        <v/>
      </c>
      <c r="D107" s="13" t="str">
        <f>IF(Tabla96[[#This Row],[Id]]="","",COUNTIF(TablaTiempos[Club],Tabla96[[#This Row],[Pos]]))</f>
        <v/>
      </c>
      <c r="E107" s="47" t="str">
        <f>IF(Tabla96[[#This Row],[Id]]="","",Tabla96[[#This Row],[Total Llegados a Meta]]/Tabla96[[#This Row],[Total Inscritos]])</f>
        <v/>
      </c>
      <c r="F10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07" s="43">
        <f ca="1">NOW()-'LOS TIEMPOS'!$K$2</f>
        <v>42368.075526157409</v>
      </c>
    </row>
    <row r="108" spans="1:8" x14ac:dyDescent="0.2">
      <c r="A108" s="13" t="str">
        <f>IF(ROW()-5&lt;=COUNTA(TablaEquipos[Compite]),ROW()-7,"")</f>
        <v/>
      </c>
      <c r="B108" s="10" t="str">
        <f>IF(Tabla96[[#This Row],[Id]]="","",VLOOKUP(Tabla96[[#This Row],[Id]]+1,TablaEquipos[],3,FALSE))</f>
        <v/>
      </c>
      <c r="C108" s="45" t="str">
        <f>IF(Tabla96[[#This Row],[Id]]="","",VLOOKUP(Tabla96[[#This Row],[Id]]+1,TablaEquipos[],4,FALSE))</f>
        <v/>
      </c>
      <c r="D108" s="13" t="str">
        <f>IF(Tabla96[[#This Row],[Id]]="","",COUNTIF(TablaTiempos[Club],Tabla96[[#This Row],[Pos]]))</f>
        <v/>
      </c>
      <c r="E108" s="47" t="str">
        <f>IF(Tabla96[[#This Row],[Id]]="","",Tabla96[[#This Row],[Total Llegados a Meta]]/Tabla96[[#This Row],[Total Inscritos]])</f>
        <v/>
      </c>
      <c r="F10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08" s="43">
        <f ca="1">NOW()-'LOS TIEMPOS'!$K$2</f>
        <v>42368.075526157409</v>
      </c>
    </row>
    <row r="109" spans="1:8" x14ac:dyDescent="0.2">
      <c r="A109" s="13" t="str">
        <f>IF(ROW()-5&lt;=COUNTA(TablaEquipos[Compite]),ROW()-7,"")</f>
        <v/>
      </c>
      <c r="B109" s="10" t="str">
        <f>IF(Tabla96[[#This Row],[Id]]="","",VLOOKUP(Tabla96[[#This Row],[Id]]+1,TablaEquipos[],3,FALSE))</f>
        <v/>
      </c>
      <c r="C109" s="45" t="str">
        <f>IF(Tabla96[[#This Row],[Id]]="","",VLOOKUP(Tabla96[[#This Row],[Id]]+1,TablaEquipos[],4,FALSE))</f>
        <v/>
      </c>
      <c r="D109" s="13" t="str">
        <f>IF(Tabla96[[#This Row],[Id]]="","",COUNTIF(TablaTiempos[Club],Tabla96[[#This Row],[Pos]]))</f>
        <v/>
      </c>
      <c r="E109" s="47" t="str">
        <f>IF(Tabla96[[#This Row],[Id]]="","",Tabla96[[#This Row],[Total Llegados a Meta]]/Tabla96[[#This Row],[Total Inscritos]])</f>
        <v/>
      </c>
      <c r="F10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09" s="43">
        <f ca="1">NOW()-'LOS TIEMPOS'!$K$2</f>
        <v>42368.075526157409</v>
      </c>
    </row>
    <row r="110" spans="1:8" x14ac:dyDescent="0.2">
      <c r="A110" s="13" t="str">
        <f>IF(ROW()-5&lt;=COUNTA(TablaEquipos[Compite]),ROW()-7,"")</f>
        <v/>
      </c>
      <c r="B110" s="10" t="str">
        <f>IF(Tabla96[[#This Row],[Id]]="","",VLOOKUP(Tabla96[[#This Row],[Id]]+1,TablaEquipos[],3,FALSE))</f>
        <v/>
      </c>
      <c r="C110" s="45" t="str">
        <f>IF(Tabla96[[#This Row],[Id]]="","",VLOOKUP(Tabla96[[#This Row],[Id]]+1,TablaEquipos[],4,FALSE))</f>
        <v/>
      </c>
      <c r="D110" s="13" t="str">
        <f>IF(Tabla96[[#This Row],[Id]]="","",COUNTIF(TablaTiempos[Club],Tabla96[[#This Row],[Pos]]))</f>
        <v/>
      </c>
      <c r="E110" s="47" t="str">
        <f>IF(Tabla96[[#This Row],[Id]]="","",Tabla96[[#This Row],[Total Llegados a Meta]]/Tabla96[[#This Row],[Total Inscritos]])</f>
        <v/>
      </c>
      <c r="F11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10" s="43">
        <f ca="1">NOW()-'LOS TIEMPOS'!$K$2</f>
        <v>42368.075526157409</v>
      </c>
    </row>
    <row r="111" spans="1:8" x14ac:dyDescent="0.2">
      <c r="A111" s="13" t="str">
        <f>IF(ROW()-5&lt;=COUNTA(TablaEquipos[Compite]),ROW()-7,"")</f>
        <v/>
      </c>
      <c r="B111" s="10" t="str">
        <f>IF(Tabla96[[#This Row],[Id]]="","",VLOOKUP(Tabla96[[#This Row],[Id]]+1,TablaEquipos[],3,FALSE))</f>
        <v/>
      </c>
      <c r="C111" s="45" t="str">
        <f>IF(Tabla96[[#This Row],[Id]]="","",VLOOKUP(Tabla96[[#This Row],[Id]]+1,TablaEquipos[],4,FALSE))</f>
        <v/>
      </c>
      <c r="D111" s="13" t="str">
        <f>IF(Tabla96[[#This Row],[Id]]="","",COUNTIF(TablaTiempos[Club],Tabla96[[#This Row],[Pos]]))</f>
        <v/>
      </c>
      <c r="E111" s="47" t="str">
        <f>IF(Tabla96[[#This Row],[Id]]="","",Tabla96[[#This Row],[Total Llegados a Meta]]/Tabla96[[#This Row],[Total Inscritos]])</f>
        <v/>
      </c>
      <c r="F11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11" s="43">
        <f ca="1">NOW()-'LOS TIEMPOS'!$K$2</f>
        <v>42368.075526157409</v>
      </c>
    </row>
    <row r="112" spans="1:8" x14ac:dyDescent="0.2">
      <c r="A112" s="13" t="str">
        <f>IF(ROW()-5&lt;=COUNTA(TablaEquipos[Compite]),ROW()-7,"")</f>
        <v/>
      </c>
      <c r="B112" s="10" t="str">
        <f>IF(Tabla96[[#This Row],[Id]]="","",VLOOKUP(Tabla96[[#This Row],[Id]]+1,TablaEquipos[],3,FALSE))</f>
        <v/>
      </c>
      <c r="C112" s="45" t="str">
        <f>IF(Tabla96[[#This Row],[Id]]="","",VLOOKUP(Tabla96[[#This Row],[Id]]+1,TablaEquipos[],4,FALSE))</f>
        <v/>
      </c>
      <c r="D112" s="13" t="str">
        <f>IF(Tabla96[[#This Row],[Id]]="","",COUNTIF(TablaTiempos[Club],Tabla96[[#This Row],[Pos]]))</f>
        <v/>
      </c>
      <c r="E112" s="47" t="str">
        <f>IF(Tabla96[[#This Row],[Id]]="","",Tabla96[[#This Row],[Total Llegados a Meta]]/Tabla96[[#This Row],[Total Inscritos]])</f>
        <v/>
      </c>
      <c r="F11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12" s="43">
        <f ca="1">NOW()-'LOS TIEMPOS'!$K$2</f>
        <v>42368.075526157409</v>
      </c>
    </row>
    <row r="113" spans="1:8" x14ac:dyDescent="0.2">
      <c r="A113" s="13" t="str">
        <f>IF(ROW()-5&lt;=COUNTA(TablaEquipos[Compite]),ROW()-7,"")</f>
        <v/>
      </c>
      <c r="B113" s="10" t="str">
        <f>IF(Tabla96[[#This Row],[Id]]="","",VLOOKUP(Tabla96[[#This Row],[Id]]+1,TablaEquipos[],3,FALSE))</f>
        <v/>
      </c>
      <c r="C113" s="45" t="str">
        <f>IF(Tabla96[[#This Row],[Id]]="","",VLOOKUP(Tabla96[[#This Row],[Id]]+1,TablaEquipos[],4,FALSE))</f>
        <v/>
      </c>
      <c r="D113" s="13" t="str">
        <f>IF(Tabla96[[#This Row],[Id]]="","",COUNTIF(TablaTiempos[Club],Tabla96[[#This Row],[Pos]]))</f>
        <v/>
      </c>
      <c r="E113" s="47" t="str">
        <f>IF(Tabla96[[#This Row],[Id]]="","",Tabla96[[#This Row],[Total Llegados a Meta]]/Tabla96[[#This Row],[Total Inscritos]])</f>
        <v/>
      </c>
      <c r="F11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13" s="43">
        <f ca="1">NOW()-'LOS TIEMPOS'!$K$2</f>
        <v>42368.075526157409</v>
      </c>
    </row>
    <row r="114" spans="1:8" x14ac:dyDescent="0.2">
      <c r="A114" s="13" t="str">
        <f>IF(ROW()-5&lt;=COUNTA(TablaEquipos[Compite]),ROW()-7,"")</f>
        <v/>
      </c>
      <c r="B114" s="10" t="str">
        <f>IF(Tabla96[[#This Row],[Id]]="","",VLOOKUP(Tabla96[[#This Row],[Id]]+1,TablaEquipos[],3,FALSE))</f>
        <v/>
      </c>
      <c r="C114" s="45" t="str">
        <f>IF(Tabla96[[#This Row],[Id]]="","",VLOOKUP(Tabla96[[#This Row],[Id]]+1,TablaEquipos[],4,FALSE))</f>
        <v/>
      </c>
      <c r="D114" s="13" t="str">
        <f>IF(Tabla96[[#This Row],[Id]]="","",COUNTIF(TablaTiempos[Club],Tabla96[[#This Row],[Pos]]))</f>
        <v/>
      </c>
      <c r="E114" s="47" t="str">
        <f>IF(Tabla96[[#This Row],[Id]]="","",Tabla96[[#This Row],[Total Llegados a Meta]]/Tabla96[[#This Row],[Total Inscritos]])</f>
        <v/>
      </c>
      <c r="F11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14" s="43">
        <f ca="1">NOW()-'LOS TIEMPOS'!$K$2</f>
        <v>42368.075526157409</v>
      </c>
    </row>
    <row r="115" spans="1:8" x14ac:dyDescent="0.2">
      <c r="A115" s="13" t="str">
        <f>IF(ROW()-5&lt;=COUNTA(TablaEquipos[Compite]),ROW()-7,"")</f>
        <v/>
      </c>
      <c r="B115" s="10" t="str">
        <f>IF(Tabla96[[#This Row],[Id]]="","",VLOOKUP(Tabla96[[#This Row],[Id]]+1,TablaEquipos[],3,FALSE))</f>
        <v/>
      </c>
      <c r="C115" s="45" t="str">
        <f>IF(Tabla96[[#This Row],[Id]]="","",VLOOKUP(Tabla96[[#This Row],[Id]]+1,TablaEquipos[],4,FALSE))</f>
        <v/>
      </c>
      <c r="D115" s="13" t="str">
        <f>IF(Tabla96[[#This Row],[Id]]="","",COUNTIF(TablaTiempos[Club],Tabla96[[#This Row],[Pos]]))</f>
        <v/>
      </c>
      <c r="E115" s="47" t="str">
        <f>IF(Tabla96[[#This Row],[Id]]="","",Tabla96[[#This Row],[Total Llegados a Meta]]/Tabla96[[#This Row],[Total Inscritos]])</f>
        <v/>
      </c>
      <c r="F11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15" s="43">
        <f ca="1">NOW()-'LOS TIEMPOS'!$K$2</f>
        <v>42368.075526157409</v>
      </c>
    </row>
    <row r="116" spans="1:8" x14ac:dyDescent="0.2">
      <c r="A116" s="13" t="str">
        <f>IF(ROW()-5&lt;=COUNTA(TablaEquipos[Compite]),ROW()-7,"")</f>
        <v/>
      </c>
      <c r="B116" s="10" t="str">
        <f>IF(Tabla96[[#This Row],[Id]]="","",VLOOKUP(Tabla96[[#This Row],[Id]]+1,TablaEquipos[],3,FALSE))</f>
        <v/>
      </c>
      <c r="C116" s="45" t="str">
        <f>IF(Tabla96[[#This Row],[Id]]="","",VLOOKUP(Tabla96[[#This Row],[Id]]+1,TablaEquipos[],4,FALSE))</f>
        <v/>
      </c>
      <c r="D116" s="13" t="str">
        <f>IF(Tabla96[[#This Row],[Id]]="","",COUNTIF(TablaTiempos[Club],Tabla96[[#This Row],[Pos]]))</f>
        <v/>
      </c>
      <c r="E116" s="47" t="str">
        <f>IF(Tabla96[[#This Row],[Id]]="","",Tabla96[[#This Row],[Total Llegados a Meta]]/Tabla96[[#This Row],[Total Inscritos]])</f>
        <v/>
      </c>
      <c r="F11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16" s="43">
        <f ca="1">NOW()-'LOS TIEMPOS'!$K$2</f>
        <v>42368.075526157409</v>
      </c>
    </row>
    <row r="117" spans="1:8" x14ac:dyDescent="0.2">
      <c r="A117" s="13" t="str">
        <f>IF(ROW()-5&lt;=COUNTA(TablaEquipos[Compite]),ROW()-7,"")</f>
        <v/>
      </c>
      <c r="B117" s="10" t="str">
        <f>IF(Tabla96[[#This Row],[Id]]="","",VLOOKUP(Tabla96[[#This Row],[Id]]+1,TablaEquipos[],3,FALSE))</f>
        <v/>
      </c>
      <c r="C117" s="45" t="str">
        <f>IF(Tabla96[[#This Row],[Id]]="","",VLOOKUP(Tabla96[[#This Row],[Id]]+1,TablaEquipos[],4,FALSE))</f>
        <v/>
      </c>
      <c r="D117" s="13" t="str">
        <f>IF(Tabla96[[#This Row],[Id]]="","",COUNTIF(TablaTiempos[Club],Tabla96[[#This Row],[Pos]]))</f>
        <v/>
      </c>
      <c r="E117" s="47" t="str">
        <f>IF(Tabla96[[#This Row],[Id]]="","",Tabla96[[#This Row],[Total Llegados a Meta]]/Tabla96[[#This Row],[Total Inscritos]])</f>
        <v/>
      </c>
      <c r="F11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17" s="43">
        <f ca="1">NOW()-'LOS TIEMPOS'!$K$2</f>
        <v>42368.075526157409</v>
      </c>
    </row>
    <row r="118" spans="1:8" x14ac:dyDescent="0.2">
      <c r="A118" s="13" t="str">
        <f>IF(ROW()-5&lt;=COUNTA(TablaEquipos[Compite]),ROW()-7,"")</f>
        <v/>
      </c>
      <c r="B118" s="10" t="str">
        <f>IF(Tabla96[[#This Row],[Id]]="","",VLOOKUP(Tabla96[[#This Row],[Id]]+1,TablaEquipos[],3,FALSE))</f>
        <v/>
      </c>
      <c r="C118" s="45" t="str">
        <f>IF(Tabla96[[#This Row],[Id]]="","",VLOOKUP(Tabla96[[#This Row],[Id]]+1,TablaEquipos[],4,FALSE))</f>
        <v/>
      </c>
      <c r="D118" s="13" t="str">
        <f>IF(Tabla96[[#This Row],[Id]]="","",COUNTIF(TablaTiempos[Club],Tabla96[[#This Row],[Pos]]))</f>
        <v/>
      </c>
      <c r="E118" s="47" t="str">
        <f>IF(Tabla96[[#This Row],[Id]]="","",Tabla96[[#This Row],[Total Llegados a Meta]]/Tabla96[[#This Row],[Total Inscritos]])</f>
        <v/>
      </c>
      <c r="F11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18" s="43">
        <f ca="1">NOW()-'LOS TIEMPOS'!$K$2</f>
        <v>42368.075526157409</v>
      </c>
    </row>
    <row r="119" spans="1:8" x14ac:dyDescent="0.2">
      <c r="A119" s="13" t="str">
        <f>IF(ROW()-5&lt;=COUNTA(TablaEquipos[Compite]),ROW()-7,"")</f>
        <v/>
      </c>
      <c r="B119" s="10" t="str">
        <f>IF(Tabla96[[#This Row],[Id]]="","",VLOOKUP(Tabla96[[#This Row],[Id]]+1,TablaEquipos[],3,FALSE))</f>
        <v/>
      </c>
      <c r="C119" s="45" t="str">
        <f>IF(Tabla96[[#This Row],[Id]]="","",VLOOKUP(Tabla96[[#This Row],[Id]]+1,TablaEquipos[],4,FALSE))</f>
        <v/>
      </c>
      <c r="D119" s="13" t="str">
        <f>IF(Tabla96[[#This Row],[Id]]="","",COUNTIF(TablaTiempos[Club],Tabla96[[#This Row],[Pos]]))</f>
        <v/>
      </c>
      <c r="E119" s="47" t="str">
        <f>IF(Tabla96[[#This Row],[Id]]="","",Tabla96[[#This Row],[Total Llegados a Meta]]/Tabla96[[#This Row],[Total Inscritos]])</f>
        <v/>
      </c>
      <c r="F11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19" s="43">
        <f ca="1">NOW()-'LOS TIEMPOS'!$K$2</f>
        <v>42368.075526157409</v>
      </c>
    </row>
    <row r="120" spans="1:8" x14ac:dyDescent="0.2">
      <c r="A120" s="13" t="str">
        <f>IF(ROW()-5&lt;=COUNTA(TablaEquipos[Compite]),ROW()-7,"")</f>
        <v/>
      </c>
      <c r="B120" s="10" t="str">
        <f>IF(Tabla96[[#This Row],[Id]]="","",VLOOKUP(Tabla96[[#This Row],[Id]]+1,TablaEquipos[],3,FALSE))</f>
        <v/>
      </c>
      <c r="C120" s="45" t="str">
        <f>IF(Tabla96[[#This Row],[Id]]="","",VLOOKUP(Tabla96[[#This Row],[Id]]+1,TablaEquipos[],4,FALSE))</f>
        <v/>
      </c>
      <c r="D120" s="13" t="str">
        <f>IF(Tabla96[[#This Row],[Id]]="","",COUNTIF(TablaTiempos[Club],Tabla96[[#This Row],[Pos]]))</f>
        <v/>
      </c>
      <c r="E120" s="47" t="str">
        <f>IF(Tabla96[[#This Row],[Id]]="","",Tabla96[[#This Row],[Total Llegados a Meta]]/Tabla96[[#This Row],[Total Inscritos]])</f>
        <v/>
      </c>
      <c r="F12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20" s="43">
        <f ca="1">NOW()-'LOS TIEMPOS'!$K$2</f>
        <v>42368.075526157409</v>
      </c>
    </row>
    <row r="121" spans="1:8" x14ac:dyDescent="0.2">
      <c r="A121" s="13" t="str">
        <f>IF(ROW()-5&lt;=COUNTA(TablaEquipos[Compite]),ROW()-7,"")</f>
        <v/>
      </c>
      <c r="B121" s="10" t="str">
        <f>IF(Tabla96[[#This Row],[Id]]="","",VLOOKUP(Tabla96[[#This Row],[Id]]+1,TablaEquipos[],3,FALSE))</f>
        <v/>
      </c>
      <c r="C121" s="45" t="str">
        <f>IF(Tabla96[[#This Row],[Id]]="","",VLOOKUP(Tabla96[[#This Row],[Id]]+1,TablaEquipos[],4,FALSE))</f>
        <v/>
      </c>
      <c r="D121" s="13" t="str">
        <f>IF(Tabla96[[#This Row],[Id]]="","",COUNTIF(TablaTiempos[Club],Tabla96[[#This Row],[Pos]]))</f>
        <v/>
      </c>
      <c r="E121" s="47" t="str">
        <f>IF(Tabla96[[#This Row],[Id]]="","",Tabla96[[#This Row],[Total Llegados a Meta]]/Tabla96[[#This Row],[Total Inscritos]])</f>
        <v/>
      </c>
      <c r="F12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21" s="43">
        <f ca="1">NOW()-'LOS TIEMPOS'!$K$2</f>
        <v>42368.075526157409</v>
      </c>
    </row>
    <row r="122" spans="1:8" x14ac:dyDescent="0.2">
      <c r="A122" s="13" t="str">
        <f>IF(ROW()-5&lt;=COUNTA(TablaEquipos[Compite]),ROW()-7,"")</f>
        <v/>
      </c>
      <c r="B122" s="10" t="str">
        <f>IF(Tabla96[[#This Row],[Id]]="","",VLOOKUP(Tabla96[[#This Row],[Id]]+1,TablaEquipos[],3,FALSE))</f>
        <v/>
      </c>
      <c r="C122" s="45" t="str">
        <f>IF(Tabla96[[#This Row],[Id]]="","",VLOOKUP(Tabla96[[#This Row],[Id]]+1,TablaEquipos[],4,FALSE))</f>
        <v/>
      </c>
      <c r="D122" s="13" t="str">
        <f>IF(Tabla96[[#This Row],[Id]]="","",COUNTIF(TablaTiempos[Club],Tabla96[[#This Row],[Pos]]))</f>
        <v/>
      </c>
      <c r="E122" s="47" t="str">
        <f>IF(Tabla96[[#This Row],[Id]]="","",Tabla96[[#This Row],[Total Llegados a Meta]]/Tabla96[[#This Row],[Total Inscritos]])</f>
        <v/>
      </c>
      <c r="F12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22" s="43">
        <f ca="1">NOW()-'LOS TIEMPOS'!$K$2</f>
        <v>42368.075526157409</v>
      </c>
    </row>
    <row r="123" spans="1:8" x14ac:dyDescent="0.2">
      <c r="A123" s="13" t="str">
        <f>IF(ROW()-5&lt;=COUNTA(TablaEquipos[Compite]),ROW()-7,"")</f>
        <v/>
      </c>
      <c r="B123" s="10" t="str">
        <f>IF(Tabla96[[#This Row],[Id]]="","",VLOOKUP(Tabla96[[#This Row],[Id]]+1,TablaEquipos[],3,FALSE))</f>
        <v/>
      </c>
      <c r="C123" s="45" t="str">
        <f>IF(Tabla96[[#This Row],[Id]]="","",VLOOKUP(Tabla96[[#This Row],[Id]]+1,TablaEquipos[],4,FALSE))</f>
        <v/>
      </c>
      <c r="D123" s="13" t="str">
        <f>IF(Tabla96[[#This Row],[Id]]="","",COUNTIF(TablaTiempos[Club],Tabla96[[#This Row],[Pos]]))</f>
        <v/>
      </c>
      <c r="E123" s="47" t="str">
        <f>IF(Tabla96[[#This Row],[Id]]="","",Tabla96[[#This Row],[Total Llegados a Meta]]/Tabla96[[#This Row],[Total Inscritos]])</f>
        <v/>
      </c>
      <c r="F12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23" s="43">
        <f ca="1">NOW()-'LOS TIEMPOS'!$K$2</f>
        <v>42368.075526157409</v>
      </c>
    </row>
    <row r="124" spans="1:8" x14ac:dyDescent="0.2">
      <c r="A124" s="13" t="str">
        <f>IF(ROW()-5&lt;=COUNTA(TablaEquipos[Compite]),ROW()-7,"")</f>
        <v/>
      </c>
      <c r="B124" s="10" t="str">
        <f>IF(Tabla96[[#This Row],[Id]]="","",VLOOKUP(Tabla96[[#This Row],[Id]]+1,TablaEquipos[],3,FALSE))</f>
        <v/>
      </c>
      <c r="C124" s="45" t="str">
        <f>IF(Tabla96[[#This Row],[Id]]="","",VLOOKUP(Tabla96[[#This Row],[Id]]+1,TablaEquipos[],4,FALSE))</f>
        <v/>
      </c>
      <c r="D124" s="13" t="str">
        <f>IF(Tabla96[[#This Row],[Id]]="","",COUNTIF(TablaTiempos[Club],Tabla96[[#This Row],[Pos]]))</f>
        <v/>
      </c>
      <c r="E124" s="47" t="str">
        <f>IF(Tabla96[[#This Row],[Id]]="","",Tabla96[[#This Row],[Total Llegados a Meta]]/Tabla96[[#This Row],[Total Inscritos]])</f>
        <v/>
      </c>
      <c r="F12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24" s="43">
        <f ca="1">NOW()-'LOS TIEMPOS'!$K$2</f>
        <v>42368.075526157409</v>
      </c>
    </row>
    <row r="125" spans="1:8" x14ac:dyDescent="0.2">
      <c r="A125" s="13" t="str">
        <f>IF(ROW()-5&lt;=COUNTA(TablaEquipos[Compite]),ROW()-7,"")</f>
        <v/>
      </c>
      <c r="B125" s="10" t="str">
        <f>IF(Tabla96[[#This Row],[Id]]="","",VLOOKUP(Tabla96[[#This Row],[Id]]+1,TablaEquipos[],3,FALSE))</f>
        <v/>
      </c>
      <c r="C125" s="45" t="str">
        <f>IF(Tabla96[[#This Row],[Id]]="","",VLOOKUP(Tabla96[[#This Row],[Id]]+1,TablaEquipos[],4,FALSE))</f>
        <v/>
      </c>
      <c r="D125" s="13" t="str">
        <f>IF(Tabla96[[#This Row],[Id]]="","",COUNTIF(TablaTiempos[Club],Tabla96[[#This Row],[Pos]]))</f>
        <v/>
      </c>
      <c r="E125" s="47" t="str">
        <f>IF(Tabla96[[#This Row],[Id]]="","",Tabla96[[#This Row],[Total Llegados a Meta]]/Tabla96[[#This Row],[Total Inscritos]])</f>
        <v/>
      </c>
      <c r="F12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25" s="43">
        <f ca="1">NOW()-'LOS TIEMPOS'!$K$2</f>
        <v>42368.075526157409</v>
      </c>
    </row>
    <row r="126" spans="1:8" x14ac:dyDescent="0.2">
      <c r="A126" s="13" t="str">
        <f>IF(ROW()-5&lt;=COUNTA(TablaEquipos[Compite]),ROW()-7,"")</f>
        <v/>
      </c>
      <c r="B126" s="10" t="str">
        <f>IF(Tabla96[[#This Row],[Id]]="","",VLOOKUP(Tabla96[[#This Row],[Id]]+1,TablaEquipos[],3,FALSE))</f>
        <v/>
      </c>
      <c r="C126" s="45" t="str">
        <f>IF(Tabla96[[#This Row],[Id]]="","",VLOOKUP(Tabla96[[#This Row],[Id]]+1,TablaEquipos[],4,FALSE))</f>
        <v/>
      </c>
      <c r="D126" s="13" t="str">
        <f>IF(Tabla96[[#This Row],[Id]]="","",COUNTIF(TablaTiempos[Club],Tabla96[[#This Row],[Pos]]))</f>
        <v/>
      </c>
      <c r="E126" s="47" t="str">
        <f>IF(Tabla96[[#This Row],[Id]]="","",Tabla96[[#This Row],[Total Llegados a Meta]]/Tabla96[[#This Row],[Total Inscritos]])</f>
        <v/>
      </c>
      <c r="F12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26" s="43">
        <f ca="1">NOW()-'LOS TIEMPOS'!$K$2</f>
        <v>42368.075526157409</v>
      </c>
    </row>
    <row r="127" spans="1:8" x14ac:dyDescent="0.2">
      <c r="A127" s="13" t="str">
        <f>IF(ROW()-5&lt;=COUNTA(TablaEquipos[Compite]),ROW()-7,"")</f>
        <v/>
      </c>
      <c r="B127" s="10" t="str">
        <f>IF(Tabla96[[#This Row],[Id]]="","",VLOOKUP(Tabla96[[#This Row],[Id]]+1,TablaEquipos[],3,FALSE))</f>
        <v/>
      </c>
      <c r="C127" s="45" t="str">
        <f>IF(Tabla96[[#This Row],[Id]]="","",VLOOKUP(Tabla96[[#This Row],[Id]]+1,TablaEquipos[],4,FALSE))</f>
        <v/>
      </c>
      <c r="D127" s="13" t="str">
        <f>IF(Tabla96[[#This Row],[Id]]="","",COUNTIF(TablaTiempos[Club],Tabla96[[#This Row],[Pos]]))</f>
        <v/>
      </c>
      <c r="E127" s="47" t="str">
        <f>IF(Tabla96[[#This Row],[Id]]="","",Tabla96[[#This Row],[Total Llegados a Meta]]/Tabla96[[#This Row],[Total Inscritos]])</f>
        <v/>
      </c>
      <c r="F12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27" s="43">
        <f ca="1">NOW()-'LOS TIEMPOS'!$K$2</f>
        <v>42368.075526157409</v>
      </c>
    </row>
    <row r="128" spans="1:8" x14ac:dyDescent="0.2">
      <c r="A128" s="13" t="str">
        <f>IF(ROW()-5&lt;=COUNTA(TablaEquipos[Compite]),ROW()-7,"")</f>
        <v/>
      </c>
      <c r="B128" s="10" t="str">
        <f>IF(Tabla96[[#This Row],[Id]]="","",VLOOKUP(Tabla96[[#This Row],[Id]]+1,TablaEquipos[],3,FALSE))</f>
        <v/>
      </c>
      <c r="C128" s="45" t="str">
        <f>IF(Tabla96[[#This Row],[Id]]="","",VLOOKUP(Tabla96[[#This Row],[Id]]+1,TablaEquipos[],4,FALSE))</f>
        <v/>
      </c>
      <c r="D128" s="13" t="str">
        <f>IF(Tabla96[[#This Row],[Id]]="","",COUNTIF(TablaTiempos[Club],Tabla96[[#This Row],[Pos]]))</f>
        <v/>
      </c>
      <c r="E128" s="47" t="str">
        <f>IF(Tabla96[[#This Row],[Id]]="","",Tabla96[[#This Row],[Total Llegados a Meta]]/Tabla96[[#This Row],[Total Inscritos]])</f>
        <v/>
      </c>
      <c r="F12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28" s="43">
        <f ca="1">NOW()-'LOS TIEMPOS'!$K$2</f>
        <v>42368.075526157409</v>
      </c>
    </row>
    <row r="129" spans="1:8" x14ac:dyDescent="0.2">
      <c r="A129" s="13" t="str">
        <f>IF(ROW()-5&lt;=COUNTA(TablaEquipos[Compite]),ROW()-7,"")</f>
        <v/>
      </c>
      <c r="B129" s="10" t="str">
        <f>IF(Tabla96[[#This Row],[Id]]="","",VLOOKUP(Tabla96[[#This Row],[Id]]+1,TablaEquipos[],3,FALSE))</f>
        <v/>
      </c>
      <c r="C129" s="45" t="str">
        <f>IF(Tabla96[[#This Row],[Id]]="","",VLOOKUP(Tabla96[[#This Row],[Id]]+1,TablaEquipos[],4,FALSE))</f>
        <v/>
      </c>
      <c r="D129" s="13" t="str">
        <f>IF(Tabla96[[#This Row],[Id]]="","",COUNTIF(TablaTiempos[Club],Tabla96[[#This Row],[Pos]]))</f>
        <v/>
      </c>
      <c r="E129" s="47" t="str">
        <f>IF(Tabla96[[#This Row],[Id]]="","",Tabla96[[#This Row],[Total Llegados a Meta]]/Tabla96[[#This Row],[Total Inscritos]])</f>
        <v/>
      </c>
      <c r="F12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29" s="43">
        <f ca="1">NOW()-'LOS TIEMPOS'!$K$2</f>
        <v>42368.075526157409</v>
      </c>
    </row>
    <row r="130" spans="1:8" x14ac:dyDescent="0.2">
      <c r="A130" s="13" t="str">
        <f>IF(ROW()-5&lt;=COUNTA(TablaEquipos[Compite]),ROW()-7,"")</f>
        <v/>
      </c>
      <c r="B130" s="10" t="str">
        <f>IF(Tabla96[[#This Row],[Id]]="","",VLOOKUP(Tabla96[[#This Row],[Id]]+1,TablaEquipos[],3,FALSE))</f>
        <v/>
      </c>
      <c r="C130" s="45" t="str">
        <f>IF(Tabla96[[#This Row],[Id]]="","",VLOOKUP(Tabla96[[#This Row],[Id]]+1,TablaEquipos[],4,FALSE))</f>
        <v/>
      </c>
      <c r="D130" s="13" t="str">
        <f>IF(Tabla96[[#This Row],[Id]]="","",COUNTIF(TablaTiempos[Club],Tabla96[[#This Row],[Pos]]))</f>
        <v/>
      </c>
      <c r="E130" s="47" t="str">
        <f>IF(Tabla96[[#This Row],[Id]]="","",Tabla96[[#This Row],[Total Llegados a Meta]]/Tabla96[[#This Row],[Total Inscritos]])</f>
        <v/>
      </c>
      <c r="F13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30" s="43">
        <f ca="1">NOW()-'LOS TIEMPOS'!$K$2</f>
        <v>42368.075526157409</v>
      </c>
    </row>
    <row r="131" spans="1:8" x14ac:dyDescent="0.2">
      <c r="A131" s="13" t="str">
        <f>IF(ROW()-5&lt;=COUNTA(TablaEquipos[Compite]),ROW()-7,"")</f>
        <v/>
      </c>
      <c r="B131" s="10" t="str">
        <f>IF(Tabla96[[#This Row],[Id]]="","",VLOOKUP(Tabla96[[#This Row],[Id]]+1,TablaEquipos[],3,FALSE))</f>
        <v/>
      </c>
      <c r="C131" s="45" t="str">
        <f>IF(Tabla96[[#This Row],[Id]]="","",VLOOKUP(Tabla96[[#This Row],[Id]]+1,TablaEquipos[],4,FALSE))</f>
        <v/>
      </c>
      <c r="D131" s="13" t="str">
        <f>IF(Tabla96[[#This Row],[Id]]="","",COUNTIF(TablaTiempos[Club],Tabla96[[#This Row],[Pos]]))</f>
        <v/>
      </c>
      <c r="E131" s="47" t="str">
        <f>IF(Tabla96[[#This Row],[Id]]="","",Tabla96[[#This Row],[Total Llegados a Meta]]/Tabla96[[#This Row],[Total Inscritos]])</f>
        <v/>
      </c>
      <c r="F13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31" s="43">
        <f ca="1">NOW()-'LOS TIEMPOS'!$K$2</f>
        <v>42368.075526157409</v>
      </c>
    </row>
    <row r="132" spans="1:8" x14ac:dyDescent="0.2">
      <c r="A132" s="13" t="str">
        <f>IF(ROW()-5&lt;=COUNTA(TablaEquipos[Compite]),ROW()-7,"")</f>
        <v/>
      </c>
      <c r="B132" s="10" t="str">
        <f>IF(Tabla96[[#This Row],[Id]]="","",VLOOKUP(Tabla96[[#This Row],[Id]]+1,TablaEquipos[],3,FALSE))</f>
        <v/>
      </c>
      <c r="C132" s="45" t="str">
        <f>IF(Tabla96[[#This Row],[Id]]="","",VLOOKUP(Tabla96[[#This Row],[Id]]+1,TablaEquipos[],4,FALSE))</f>
        <v/>
      </c>
      <c r="D132" s="13" t="str">
        <f>IF(Tabla96[[#This Row],[Id]]="","",COUNTIF(TablaTiempos[Club],Tabla96[[#This Row],[Pos]]))</f>
        <v/>
      </c>
      <c r="E132" s="47" t="str">
        <f>IF(Tabla96[[#This Row],[Id]]="","",Tabla96[[#This Row],[Total Llegados a Meta]]/Tabla96[[#This Row],[Total Inscritos]])</f>
        <v/>
      </c>
      <c r="F13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32" s="43">
        <f ca="1">NOW()-'LOS TIEMPOS'!$K$2</f>
        <v>42368.075526157409</v>
      </c>
    </row>
    <row r="133" spans="1:8" x14ac:dyDescent="0.2">
      <c r="A133" s="13" t="str">
        <f>IF(ROW()-5&lt;=COUNTA(TablaEquipos[Compite]),ROW()-7,"")</f>
        <v/>
      </c>
      <c r="B133" s="10" t="str">
        <f>IF(Tabla96[[#This Row],[Id]]="","",VLOOKUP(Tabla96[[#This Row],[Id]]+1,TablaEquipos[],3,FALSE))</f>
        <v/>
      </c>
      <c r="C133" s="45" t="str">
        <f>IF(Tabla96[[#This Row],[Id]]="","",VLOOKUP(Tabla96[[#This Row],[Id]]+1,TablaEquipos[],4,FALSE))</f>
        <v/>
      </c>
      <c r="D133" s="13" t="str">
        <f>IF(Tabla96[[#This Row],[Id]]="","",COUNTIF(TablaTiempos[Club],Tabla96[[#This Row],[Pos]]))</f>
        <v/>
      </c>
      <c r="E133" s="47" t="str">
        <f>IF(Tabla96[[#This Row],[Id]]="","",Tabla96[[#This Row],[Total Llegados a Meta]]/Tabla96[[#This Row],[Total Inscritos]])</f>
        <v/>
      </c>
      <c r="F13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33" s="43">
        <f ca="1">NOW()-'LOS TIEMPOS'!$K$2</f>
        <v>42368.075526157409</v>
      </c>
    </row>
    <row r="134" spans="1:8" x14ac:dyDescent="0.2">
      <c r="A134" s="13" t="str">
        <f>IF(ROW()-5&lt;=COUNTA(TablaEquipos[Compite]),ROW()-7,"")</f>
        <v/>
      </c>
      <c r="B134" s="10" t="str">
        <f>IF(Tabla96[[#This Row],[Id]]="","",VLOOKUP(Tabla96[[#This Row],[Id]]+1,TablaEquipos[],3,FALSE))</f>
        <v/>
      </c>
      <c r="C134" s="45" t="str">
        <f>IF(Tabla96[[#This Row],[Id]]="","",VLOOKUP(Tabla96[[#This Row],[Id]]+1,TablaEquipos[],4,FALSE))</f>
        <v/>
      </c>
      <c r="D134" s="13" t="str">
        <f>IF(Tabla96[[#This Row],[Id]]="","",COUNTIF(TablaTiempos[Club],Tabla96[[#This Row],[Pos]]))</f>
        <v/>
      </c>
      <c r="E134" s="47" t="str">
        <f>IF(Tabla96[[#This Row],[Id]]="","",Tabla96[[#This Row],[Total Llegados a Meta]]/Tabla96[[#This Row],[Total Inscritos]])</f>
        <v/>
      </c>
      <c r="F13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34" s="43">
        <f ca="1">NOW()-'LOS TIEMPOS'!$K$2</f>
        <v>42368.075526157409</v>
      </c>
    </row>
    <row r="135" spans="1:8" x14ac:dyDescent="0.2">
      <c r="A135" s="13" t="str">
        <f>IF(ROW()-5&lt;=COUNTA(TablaEquipos[Compite]),ROW()-7,"")</f>
        <v/>
      </c>
      <c r="B135" s="10" t="str">
        <f>IF(Tabla96[[#This Row],[Id]]="","",VLOOKUP(Tabla96[[#This Row],[Id]]+1,TablaEquipos[],3,FALSE))</f>
        <v/>
      </c>
      <c r="C135" s="45" t="str">
        <f>IF(Tabla96[[#This Row],[Id]]="","",VLOOKUP(Tabla96[[#This Row],[Id]]+1,TablaEquipos[],4,FALSE))</f>
        <v/>
      </c>
      <c r="D135" s="13" t="str">
        <f>IF(Tabla96[[#This Row],[Id]]="","",COUNTIF(TablaTiempos[Club],Tabla96[[#This Row],[Pos]]))</f>
        <v/>
      </c>
      <c r="E135" s="47" t="str">
        <f>IF(Tabla96[[#This Row],[Id]]="","",Tabla96[[#This Row],[Total Llegados a Meta]]/Tabla96[[#This Row],[Total Inscritos]])</f>
        <v/>
      </c>
      <c r="F13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35" s="43">
        <f ca="1">NOW()-'LOS TIEMPOS'!$K$2</f>
        <v>42368.075526157409</v>
      </c>
    </row>
    <row r="136" spans="1:8" x14ac:dyDescent="0.2">
      <c r="A136" s="13" t="str">
        <f>IF(ROW()-5&lt;=COUNTA(TablaEquipos[Compite]),ROW()-7,"")</f>
        <v/>
      </c>
      <c r="B136" s="10" t="str">
        <f>IF(Tabla96[[#This Row],[Id]]="","",VLOOKUP(Tabla96[[#This Row],[Id]]+1,TablaEquipos[],3,FALSE))</f>
        <v/>
      </c>
      <c r="C136" s="45" t="str">
        <f>IF(Tabla96[[#This Row],[Id]]="","",VLOOKUP(Tabla96[[#This Row],[Id]]+1,TablaEquipos[],4,FALSE))</f>
        <v/>
      </c>
      <c r="D136" s="13" t="str">
        <f>IF(Tabla96[[#This Row],[Id]]="","",COUNTIF(TablaTiempos[Club],Tabla96[[#This Row],[Pos]]))</f>
        <v/>
      </c>
      <c r="E136" s="47" t="str">
        <f>IF(Tabla96[[#This Row],[Id]]="","",Tabla96[[#This Row],[Total Llegados a Meta]]/Tabla96[[#This Row],[Total Inscritos]])</f>
        <v/>
      </c>
      <c r="F13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36" s="43">
        <f ca="1">NOW()-'LOS TIEMPOS'!$K$2</f>
        <v>42368.075526157409</v>
      </c>
    </row>
    <row r="137" spans="1:8" x14ac:dyDescent="0.2">
      <c r="A137" s="13" t="str">
        <f>IF(ROW()-5&lt;=COUNTA(TablaEquipos[Compite]),ROW()-7,"")</f>
        <v/>
      </c>
      <c r="B137" s="10" t="str">
        <f>IF(Tabla96[[#This Row],[Id]]="","",VLOOKUP(Tabla96[[#This Row],[Id]]+1,TablaEquipos[],3,FALSE))</f>
        <v/>
      </c>
      <c r="C137" s="45" t="str">
        <f>IF(Tabla96[[#This Row],[Id]]="","",VLOOKUP(Tabla96[[#This Row],[Id]]+1,TablaEquipos[],4,FALSE))</f>
        <v/>
      </c>
      <c r="D137" s="13" t="str">
        <f>IF(Tabla96[[#This Row],[Id]]="","",COUNTIF(TablaTiempos[Club],Tabla96[[#This Row],[Pos]]))</f>
        <v/>
      </c>
      <c r="E137" s="47" t="str">
        <f>IF(Tabla96[[#This Row],[Id]]="","",Tabla96[[#This Row],[Total Llegados a Meta]]/Tabla96[[#This Row],[Total Inscritos]])</f>
        <v/>
      </c>
      <c r="F13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37" s="43">
        <f ca="1">NOW()-'LOS TIEMPOS'!$K$2</f>
        <v>42368.075526157409</v>
      </c>
    </row>
    <row r="138" spans="1:8" x14ac:dyDescent="0.2">
      <c r="A138" s="13" t="str">
        <f>IF(ROW()-5&lt;=COUNTA(TablaEquipos[Compite]),ROW()-7,"")</f>
        <v/>
      </c>
      <c r="B138" s="10" t="str">
        <f>IF(Tabla96[[#This Row],[Id]]="","",VLOOKUP(Tabla96[[#This Row],[Id]]+1,TablaEquipos[],3,FALSE))</f>
        <v/>
      </c>
      <c r="C138" s="45" t="str">
        <f>IF(Tabla96[[#This Row],[Id]]="","",VLOOKUP(Tabla96[[#This Row],[Id]]+1,TablaEquipos[],4,FALSE))</f>
        <v/>
      </c>
      <c r="D138" s="13" t="str">
        <f>IF(Tabla96[[#This Row],[Id]]="","",COUNTIF(TablaTiempos[Club],Tabla96[[#This Row],[Pos]]))</f>
        <v/>
      </c>
      <c r="E138" s="47" t="str">
        <f>IF(Tabla96[[#This Row],[Id]]="","",Tabla96[[#This Row],[Total Llegados a Meta]]/Tabla96[[#This Row],[Total Inscritos]])</f>
        <v/>
      </c>
      <c r="F13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38" s="43">
        <f ca="1">NOW()-'LOS TIEMPOS'!$K$2</f>
        <v>42368.075526157409</v>
      </c>
    </row>
    <row r="139" spans="1:8" x14ac:dyDescent="0.2">
      <c r="A139" s="13" t="str">
        <f>IF(ROW()-5&lt;=COUNTA(TablaEquipos[Compite]),ROW()-7,"")</f>
        <v/>
      </c>
      <c r="B139" s="10" t="str">
        <f>IF(Tabla96[[#This Row],[Id]]="","",VLOOKUP(Tabla96[[#This Row],[Id]]+1,TablaEquipos[],3,FALSE))</f>
        <v/>
      </c>
      <c r="C139" s="45" t="str">
        <f>IF(Tabla96[[#This Row],[Id]]="","",VLOOKUP(Tabla96[[#This Row],[Id]]+1,TablaEquipos[],4,FALSE))</f>
        <v/>
      </c>
      <c r="D139" s="13" t="str">
        <f>IF(Tabla96[[#This Row],[Id]]="","",COUNTIF(TablaTiempos[Club],Tabla96[[#This Row],[Pos]]))</f>
        <v/>
      </c>
      <c r="E139" s="47" t="str">
        <f>IF(Tabla96[[#This Row],[Id]]="","",Tabla96[[#This Row],[Total Llegados a Meta]]/Tabla96[[#This Row],[Total Inscritos]])</f>
        <v/>
      </c>
      <c r="F13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39" s="43">
        <f ca="1">NOW()-'LOS TIEMPOS'!$K$2</f>
        <v>42368.075526157409</v>
      </c>
    </row>
    <row r="140" spans="1:8" x14ac:dyDescent="0.2">
      <c r="A140" s="13" t="str">
        <f>IF(ROW()-5&lt;=COUNTA(TablaEquipos[Compite]),ROW()-7,"")</f>
        <v/>
      </c>
      <c r="B140" s="10" t="str">
        <f>IF(Tabla96[[#This Row],[Id]]="","",VLOOKUP(Tabla96[[#This Row],[Id]]+1,TablaEquipos[],3,FALSE))</f>
        <v/>
      </c>
      <c r="C140" s="45" t="str">
        <f>IF(Tabla96[[#This Row],[Id]]="","",VLOOKUP(Tabla96[[#This Row],[Id]]+1,TablaEquipos[],4,FALSE))</f>
        <v/>
      </c>
      <c r="D140" s="13" t="str">
        <f>IF(Tabla96[[#This Row],[Id]]="","",COUNTIF(TablaTiempos[Club],Tabla96[[#This Row],[Pos]]))</f>
        <v/>
      </c>
      <c r="E140" s="47" t="str">
        <f>IF(Tabla96[[#This Row],[Id]]="","",Tabla96[[#This Row],[Total Llegados a Meta]]/Tabla96[[#This Row],[Total Inscritos]])</f>
        <v/>
      </c>
      <c r="F14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40" s="43">
        <f ca="1">NOW()-'LOS TIEMPOS'!$K$2</f>
        <v>42368.075526157409</v>
      </c>
    </row>
    <row r="141" spans="1:8" x14ac:dyDescent="0.2">
      <c r="A141" s="13" t="str">
        <f>IF(ROW()-5&lt;=COUNTA(TablaEquipos[Compite]),ROW()-7,"")</f>
        <v/>
      </c>
      <c r="B141" s="10" t="str">
        <f>IF(Tabla96[[#This Row],[Id]]="","",VLOOKUP(Tabla96[[#This Row],[Id]]+1,TablaEquipos[],3,FALSE))</f>
        <v/>
      </c>
      <c r="C141" s="45" t="str">
        <f>IF(Tabla96[[#This Row],[Id]]="","",VLOOKUP(Tabla96[[#This Row],[Id]]+1,TablaEquipos[],4,FALSE))</f>
        <v/>
      </c>
      <c r="D141" s="13" t="str">
        <f>IF(Tabla96[[#This Row],[Id]]="","",COUNTIF(TablaTiempos[Club],Tabla96[[#This Row],[Pos]]))</f>
        <v/>
      </c>
      <c r="E141" s="47" t="str">
        <f>IF(Tabla96[[#This Row],[Id]]="","",Tabla96[[#This Row],[Total Llegados a Meta]]/Tabla96[[#This Row],[Total Inscritos]])</f>
        <v/>
      </c>
      <c r="F14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41" s="43">
        <f ca="1">NOW()-'LOS TIEMPOS'!$K$2</f>
        <v>42368.075526157409</v>
      </c>
    </row>
    <row r="142" spans="1:8" x14ac:dyDescent="0.2">
      <c r="A142" s="13" t="str">
        <f>IF(ROW()-5&lt;=COUNTA(TablaEquipos[Compite]),ROW()-7,"")</f>
        <v/>
      </c>
      <c r="B142" s="10" t="str">
        <f>IF(Tabla96[[#This Row],[Id]]="","",VLOOKUP(Tabla96[[#This Row],[Id]]+1,TablaEquipos[],3,FALSE))</f>
        <v/>
      </c>
      <c r="C142" s="45" t="str">
        <f>IF(Tabla96[[#This Row],[Id]]="","",VLOOKUP(Tabla96[[#This Row],[Id]]+1,TablaEquipos[],4,FALSE))</f>
        <v/>
      </c>
      <c r="D142" s="13" t="str">
        <f>IF(Tabla96[[#This Row],[Id]]="","",COUNTIF(TablaTiempos[Club],Tabla96[[#This Row],[Pos]]))</f>
        <v/>
      </c>
      <c r="E142" s="47" t="str">
        <f>IF(Tabla96[[#This Row],[Id]]="","",Tabla96[[#This Row],[Total Llegados a Meta]]/Tabla96[[#This Row],[Total Inscritos]])</f>
        <v/>
      </c>
      <c r="F14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42" s="43">
        <f ca="1">NOW()-'LOS TIEMPOS'!$K$2</f>
        <v>42368.075526157409</v>
      </c>
    </row>
    <row r="143" spans="1:8" x14ac:dyDescent="0.2">
      <c r="A143" s="13" t="str">
        <f>IF(ROW()-5&lt;=COUNTA(TablaEquipos[Compite]),ROW()-7,"")</f>
        <v/>
      </c>
      <c r="B143" s="10" t="str">
        <f>IF(Tabla96[[#This Row],[Id]]="","",VLOOKUP(Tabla96[[#This Row],[Id]]+1,TablaEquipos[],3,FALSE))</f>
        <v/>
      </c>
      <c r="C143" s="45" t="str">
        <f>IF(Tabla96[[#This Row],[Id]]="","",VLOOKUP(Tabla96[[#This Row],[Id]]+1,TablaEquipos[],4,FALSE))</f>
        <v/>
      </c>
      <c r="D143" s="13" t="str">
        <f>IF(Tabla96[[#This Row],[Id]]="","",COUNTIF(TablaTiempos[Club],Tabla96[[#This Row],[Pos]]))</f>
        <v/>
      </c>
      <c r="E143" s="47" t="str">
        <f>IF(Tabla96[[#This Row],[Id]]="","",Tabla96[[#This Row],[Total Llegados a Meta]]/Tabla96[[#This Row],[Total Inscritos]])</f>
        <v/>
      </c>
      <c r="F14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43" s="43">
        <f ca="1">NOW()-'LOS TIEMPOS'!$K$2</f>
        <v>42368.075526157409</v>
      </c>
    </row>
    <row r="144" spans="1:8" x14ac:dyDescent="0.2">
      <c r="A144" s="13" t="str">
        <f>IF(ROW()-5&lt;=COUNTA(TablaEquipos[Compite]),ROW()-7,"")</f>
        <v/>
      </c>
      <c r="B144" s="10" t="str">
        <f>IF(Tabla96[[#This Row],[Id]]="","",VLOOKUP(Tabla96[[#This Row],[Id]]+1,TablaEquipos[],3,FALSE))</f>
        <v/>
      </c>
      <c r="C144" s="45" t="str">
        <f>IF(Tabla96[[#This Row],[Id]]="","",VLOOKUP(Tabla96[[#This Row],[Id]]+1,TablaEquipos[],4,FALSE))</f>
        <v/>
      </c>
      <c r="D144" s="13" t="str">
        <f>IF(Tabla96[[#This Row],[Id]]="","",COUNTIF(TablaTiempos[Club],Tabla96[[#This Row],[Pos]]))</f>
        <v/>
      </c>
      <c r="E144" s="47" t="str">
        <f>IF(Tabla96[[#This Row],[Id]]="","",Tabla96[[#This Row],[Total Llegados a Meta]]/Tabla96[[#This Row],[Total Inscritos]])</f>
        <v/>
      </c>
      <c r="F14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44" s="43">
        <f ca="1">NOW()-'LOS TIEMPOS'!$K$2</f>
        <v>42368.075526157409</v>
      </c>
    </row>
    <row r="145" spans="1:8" x14ac:dyDescent="0.2">
      <c r="A145" s="13" t="str">
        <f>IF(ROW()-5&lt;=COUNTA(TablaEquipos[Compite]),ROW()-7,"")</f>
        <v/>
      </c>
      <c r="B145" s="10" t="str">
        <f>IF(Tabla96[[#This Row],[Id]]="","",VLOOKUP(Tabla96[[#This Row],[Id]]+1,TablaEquipos[],3,FALSE))</f>
        <v/>
      </c>
      <c r="C145" s="45" t="str">
        <f>IF(Tabla96[[#This Row],[Id]]="","",VLOOKUP(Tabla96[[#This Row],[Id]]+1,TablaEquipos[],4,FALSE))</f>
        <v/>
      </c>
      <c r="D145" s="13" t="str">
        <f>IF(Tabla96[[#This Row],[Id]]="","",COUNTIF(TablaTiempos[Club],Tabla96[[#This Row],[Pos]]))</f>
        <v/>
      </c>
      <c r="E145" s="47" t="str">
        <f>IF(Tabla96[[#This Row],[Id]]="","",Tabla96[[#This Row],[Total Llegados a Meta]]/Tabla96[[#This Row],[Total Inscritos]])</f>
        <v/>
      </c>
      <c r="F14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45" s="43">
        <f ca="1">NOW()-'LOS TIEMPOS'!$K$2</f>
        <v>42368.075526157409</v>
      </c>
    </row>
    <row r="146" spans="1:8" x14ac:dyDescent="0.2">
      <c r="A146" s="13" t="str">
        <f>IF(ROW()-5&lt;=COUNTA(TablaEquipos[Compite]),ROW()-7,"")</f>
        <v/>
      </c>
      <c r="B146" s="10" t="str">
        <f>IF(Tabla96[[#This Row],[Id]]="","",VLOOKUP(Tabla96[[#This Row],[Id]]+1,TablaEquipos[],3,FALSE))</f>
        <v/>
      </c>
      <c r="C146" s="45" t="str">
        <f>IF(Tabla96[[#This Row],[Id]]="","",VLOOKUP(Tabla96[[#This Row],[Id]]+1,TablaEquipos[],4,FALSE))</f>
        <v/>
      </c>
      <c r="D146" s="13" t="str">
        <f>IF(Tabla96[[#This Row],[Id]]="","",COUNTIF(TablaTiempos[Club],Tabla96[[#This Row],[Pos]]))</f>
        <v/>
      </c>
      <c r="E146" s="47" t="str">
        <f>IF(Tabla96[[#This Row],[Id]]="","",Tabla96[[#This Row],[Total Llegados a Meta]]/Tabla96[[#This Row],[Total Inscritos]])</f>
        <v/>
      </c>
      <c r="F14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46" s="43">
        <f ca="1">NOW()-'LOS TIEMPOS'!$K$2</f>
        <v>42368.075526157409</v>
      </c>
    </row>
    <row r="147" spans="1:8" x14ac:dyDescent="0.2">
      <c r="A147" s="13" t="str">
        <f>IF(ROW()-5&lt;=COUNTA(TablaEquipos[Compite]),ROW()-7,"")</f>
        <v/>
      </c>
      <c r="B147" s="10" t="str">
        <f>IF(Tabla96[[#This Row],[Id]]="","",VLOOKUP(Tabla96[[#This Row],[Id]]+1,TablaEquipos[],3,FALSE))</f>
        <v/>
      </c>
      <c r="C147" s="45" t="str">
        <f>IF(Tabla96[[#This Row],[Id]]="","",VLOOKUP(Tabla96[[#This Row],[Id]]+1,TablaEquipos[],4,FALSE))</f>
        <v/>
      </c>
      <c r="D147" s="13" t="str">
        <f>IF(Tabla96[[#This Row],[Id]]="","",COUNTIF(TablaTiempos[Club],Tabla96[[#This Row],[Pos]]))</f>
        <v/>
      </c>
      <c r="E147" s="47" t="str">
        <f>IF(Tabla96[[#This Row],[Id]]="","",Tabla96[[#This Row],[Total Llegados a Meta]]/Tabla96[[#This Row],[Total Inscritos]])</f>
        <v/>
      </c>
      <c r="F14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47" s="43">
        <f ca="1">NOW()-'LOS TIEMPOS'!$K$2</f>
        <v>42368.075526157409</v>
      </c>
    </row>
    <row r="148" spans="1:8" x14ac:dyDescent="0.2">
      <c r="A148" s="13" t="str">
        <f>IF(ROW()-5&lt;=COUNTA(TablaEquipos[Compite]),ROW()-7,"")</f>
        <v/>
      </c>
      <c r="B148" s="10" t="str">
        <f>IF(Tabla96[[#This Row],[Id]]="","",VLOOKUP(Tabla96[[#This Row],[Id]]+1,TablaEquipos[],3,FALSE))</f>
        <v/>
      </c>
      <c r="C148" s="45" t="str">
        <f>IF(Tabla96[[#This Row],[Id]]="","",VLOOKUP(Tabla96[[#This Row],[Id]]+1,TablaEquipos[],4,FALSE))</f>
        <v/>
      </c>
      <c r="D148" s="13" t="str">
        <f>IF(Tabla96[[#This Row],[Id]]="","",COUNTIF(TablaTiempos[Club],Tabla96[[#This Row],[Pos]]))</f>
        <v/>
      </c>
      <c r="E148" s="47" t="str">
        <f>IF(Tabla96[[#This Row],[Id]]="","",Tabla96[[#This Row],[Total Llegados a Meta]]/Tabla96[[#This Row],[Total Inscritos]])</f>
        <v/>
      </c>
      <c r="F14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48" s="43">
        <f ca="1">NOW()-'LOS TIEMPOS'!$K$2</f>
        <v>42368.075526157409</v>
      </c>
    </row>
    <row r="149" spans="1:8" x14ac:dyDescent="0.2">
      <c r="A149" s="13" t="str">
        <f>IF(ROW()-5&lt;=COUNTA(TablaEquipos[Compite]),ROW()-7,"")</f>
        <v/>
      </c>
      <c r="B149" s="10" t="str">
        <f>IF(Tabla96[[#This Row],[Id]]="","",VLOOKUP(Tabla96[[#This Row],[Id]]+1,TablaEquipos[],3,FALSE))</f>
        <v/>
      </c>
      <c r="C149" s="45" t="str">
        <f>IF(Tabla96[[#This Row],[Id]]="","",VLOOKUP(Tabla96[[#This Row],[Id]]+1,TablaEquipos[],4,FALSE))</f>
        <v/>
      </c>
      <c r="D149" s="13" t="str">
        <f>IF(Tabla96[[#This Row],[Id]]="","",COUNTIF(TablaTiempos[Club],Tabla96[[#This Row],[Pos]]))</f>
        <v/>
      </c>
      <c r="E149" s="47" t="str">
        <f>IF(Tabla96[[#This Row],[Id]]="","",Tabla96[[#This Row],[Total Llegados a Meta]]/Tabla96[[#This Row],[Total Inscritos]])</f>
        <v/>
      </c>
      <c r="F14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49" s="43">
        <f ca="1">NOW()-'LOS TIEMPOS'!$K$2</f>
        <v>42368.075526157409</v>
      </c>
    </row>
    <row r="150" spans="1:8" x14ac:dyDescent="0.2">
      <c r="A150" s="13" t="str">
        <f>IF(ROW()-5&lt;=COUNTA(TablaEquipos[Compite]),ROW()-7,"")</f>
        <v/>
      </c>
      <c r="B150" s="10" t="str">
        <f>IF(Tabla96[[#This Row],[Id]]="","",VLOOKUP(Tabla96[[#This Row],[Id]]+1,TablaEquipos[],3,FALSE))</f>
        <v/>
      </c>
      <c r="C150" s="45" t="str">
        <f>IF(Tabla96[[#This Row],[Id]]="","",VLOOKUP(Tabla96[[#This Row],[Id]]+1,TablaEquipos[],4,FALSE))</f>
        <v/>
      </c>
      <c r="D150" s="13" t="str">
        <f>IF(Tabla96[[#This Row],[Id]]="","",COUNTIF(TablaTiempos[Club],Tabla96[[#This Row],[Pos]]))</f>
        <v/>
      </c>
      <c r="E150" s="47" t="str">
        <f>IF(Tabla96[[#This Row],[Id]]="","",Tabla96[[#This Row],[Total Llegados a Meta]]/Tabla96[[#This Row],[Total Inscritos]])</f>
        <v/>
      </c>
      <c r="F15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50" s="43">
        <f ca="1">NOW()-'LOS TIEMPOS'!$K$2</f>
        <v>42368.075526157409</v>
      </c>
    </row>
    <row r="151" spans="1:8" x14ac:dyDescent="0.2">
      <c r="A151" s="13" t="str">
        <f>IF(ROW()-5&lt;=COUNTA(TablaEquipos[Compite]),ROW()-7,"")</f>
        <v/>
      </c>
      <c r="B151" s="10" t="str">
        <f>IF(Tabla96[[#This Row],[Id]]="","",VLOOKUP(Tabla96[[#This Row],[Id]]+1,TablaEquipos[],3,FALSE))</f>
        <v/>
      </c>
      <c r="C151" s="45" t="str">
        <f>IF(Tabla96[[#This Row],[Id]]="","",VLOOKUP(Tabla96[[#This Row],[Id]]+1,TablaEquipos[],4,FALSE))</f>
        <v/>
      </c>
      <c r="D151" s="13" t="str">
        <f>IF(Tabla96[[#This Row],[Id]]="","",COUNTIF(TablaTiempos[Club],Tabla96[[#This Row],[Pos]]))</f>
        <v/>
      </c>
      <c r="E151" s="47" t="str">
        <f>IF(Tabla96[[#This Row],[Id]]="","",Tabla96[[#This Row],[Total Llegados a Meta]]/Tabla96[[#This Row],[Total Inscritos]])</f>
        <v/>
      </c>
      <c r="F15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51" s="43">
        <f ca="1">NOW()-'LOS TIEMPOS'!$K$2</f>
        <v>42368.075526157409</v>
      </c>
    </row>
    <row r="152" spans="1:8" x14ac:dyDescent="0.2">
      <c r="A152" s="13" t="str">
        <f>IF(ROW()-5&lt;=COUNTA(TablaEquipos[Compite]),ROW()-7,"")</f>
        <v/>
      </c>
      <c r="B152" s="10" t="str">
        <f>IF(Tabla96[[#This Row],[Id]]="","",VLOOKUP(Tabla96[[#This Row],[Id]]+1,TablaEquipos[],3,FALSE))</f>
        <v/>
      </c>
      <c r="C152" s="45" t="str">
        <f>IF(Tabla96[[#This Row],[Id]]="","",VLOOKUP(Tabla96[[#This Row],[Id]]+1,TablaEquipos[],4,FALSE))</f>
        <v/>
      </c>
      <c r="D152" s="13" t="str">
        <f>IF(Tabla96[[#This Row],[Id]]="","",COUNTIF(TablaTiempos[Club],Tabla96[[#This Row],[Pos]]))</f>
        <v/>
      </c>
      <c r="E152" s="47" t="str">
        <f>IF(Tabla96[[#This Row],[Id]]="","",Tabla96[[#This Row],[Total Llegados a Meta]]/Tabla96[[#This Row],[Total Inscritos]])</f>
        <v/>
      </c>
      <c r="F15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52" s="43">
        <f ca="1">NOW()-'LOS TIEMPOS'!$K$2</f>
        <v>42368.075526157409</v>
      </c>
    </row>
    <row r="153" spans="1:8" x14ac:dyDescent="0.2">
      <c r="A153" s="13" t="str">
        <f>IF(ROW()-5&lt;=COUNTA(TablaEquipos[Compite]),ROW()-7,"")</f>
        <v/>
      </c>
      <c r="B153" s="10" t="str">
        <f>IF(Tabla96[[#This Row],[Id]]="","",VLOOKUP(Tabla96[[#This Row],[Id]]+1,TablaEquipos[],3,FALSE))</f>
        <v/>
      </c>
      <c r="C153" s="45" t="str">
        <f>IF(Tabla96[[#This Row],[Id]]="","",VLOOKUP(Tabla96[[#This Row],[Id]]+1,TablaEquipos[],4,FALSE))</f>
        <v/>
      </c>
      <c r="D153" s="13" t="str">
        <f>IF(Tabla96[[#This Row],[Id]]="","",COUNTIF(TablaTiempos[Club],Tabla96[[#This Row],[Pos]]))</f>
        <v/>
      </c>
      <c r="E153" s="47" t="str">
        <f>IF(Tabla96[[#This Row],[Id]]="","",Tabla96[[#This Row],[Total Llegados a Meta]]/Tabla96[[#This Row],[Total Inscritos]])</f>
        <v/>
      </c>
      <c r="F15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53" s="43">
        <f ca="1">NOW()-'LOS TIEMPOS'!$K$2</f>
        <v>42368.075526157409</v>
      </c>
    </row>
    <row r="154" spans="1:8" x14ac:dyDescent="0.2">
      <c r="A154" s="13" t="str">
        <f>IF(ROW()-5&lt;=COUNTA(TablaEquipos[Compite]),ROW()-7,"")</f>
        <v/>
      </c>
      <c r="B154" s="10" t="str">
        <f>IF(Tabla96[[#This Row],[Id]]="","",VLOOKUP(Tabla96[[#This Row],[Id]]+1,TablaEquipos[],3,FALSE))</f>
        <v/>
      </c>
      <c r="C154" s="45" t="str">
        <f>IF(Tabla96[[#This Row],[Id]]="","",VLOOKUP(Tabla96[[#This Row],[Id]]+1,TablaEquipos[],4,FALSE))</f>
        <v/>
      </c>
      <c r="D154" s="13" t="str">
        <f>IF(Tabla96[[#This Row],[Id]]="","",COUNTIF(TablaTiempos[Club],Tabla96[[#This Row],[Pos]]))</f>
        <v/>
      </c>
      <c r="E154" s="47" t="str">
        <f>IF(Tabla96[[#This Row],[Id]]="","",Tabla96[[#This Row],[Total Llegados a Meta]]/Tabla96[[#This Row],[Total Inscritos]])</f>
        <v/>
      </c>
      <c r="F15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54" s="43">
        <f ca="1">NOW()-'LOS TIEMPOS'!$K$2</f>
        <v>42368.075526157409</v>
      </c>
    </row>
    <row r="155" spans="1:8" x14ac:dyDescent="0.2">
      <c r="A155" s="13" t="str">
        <f>IF(ROW()-5&lt;=COUNTA(TablaEquipos[Compite]),ROW()-7,"")</f>
        <v/>
      </c>
      <c r="B155" s="10" t="str">
        <f>IF(Tabla96[[#This Row],[Id]]="","",VLOOKUP(Tabla96[[#This Row],[Id]]+1,TablaEquipos[],3,FALSE))</f>
        <v/>
      </c>
      <c r="C155" s="45" t="str">
        <f>IF(Tabla96[[#This Row],[Id]]="","",VLOOKUP(Tabla96[[#This Row],[Id]]+1,TablaEquipos[],4,FALSE))</f>
        <v/>
      </c>
      <c r="D155" s="13" t="str">
        <f>IF(Tabla96[[#This Row],[Id]]="","",COUNTIF(TablaTiempos[Club],Tabla96[[#This Row],[Pos]]))</f>
        <v/>
      </c>
      <c r="E155" s="47" t="str">
        <f>IF(Tabla96[[#This Row],[Id]]="","",Tabla96[[#This Row],[Total Llegados a Meta]]/Tabla96[[#This Row],[Total Inscritos]])</f>
        <v/>
      </c>
      <c r="F15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55" s="43">
        <f ca="1">NOW()-'LOS TIEMPOS'!$K$2</f>
        <v>42368.075526157409</v>
      </c>
    </row>
    <row r="156" spans="1:8" x14ac:dyDescent="0.2">
      <c r="A156" s="13" t="str">
        <f>IF(ROW()-5&lt;=COUNTA(TablaEquipos[Compite]),ROW()-7,"")</f>
        <v/>
      </c>
      <c r="B156" s="10" t="str">
        <f>IF(Tabla96[[#This Row],[Id]]="","",VLOOKUP(Tabla96[[#This Row],[Id]]+1,TablaEquipos[],3,FALSE))</f>
        <v/>
      </c>
      <c r="C156" s="45" t="str">
        <f>IF(Tabla96[[#This Row],[Id]]="","",VLOOKUP(Tabla96[[#This Row],[Id]]+1,TablaEquipos[],4,FALSE))</f>
        <v/>
      </c>
      <c r="D156" s="13" t="str">
        <f>IF(Tabla96[[#This Row],[Id]]="","",COUNTIF(TablaTiempos[Club],Tabla96[[#This Row],[Pos]]))</f>
        <v/>
      </c>
      <c r="E156" s="47" t="str">
        <f>IF(Tabla96[[#This Row],[Id]]="","",Tabla96[[#This Row],[Total Llegados a Meta]]/Tabla96[[#This Row],[Total Inscritos]])</f>
        <v/>
      </c>
      <c r="F15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56" s="43">
        <f ca="1">NOW()-'LOS TIEMPOS'!$K$2</f>
        <v>42368.075526157409</v>
      </c>
    </row>
    <row r="157" spans="1:8" x14ac:dyDescent="0.2">
      <c r="A157" s="13" t="str">
        <f>IF(ROW()-5&lt;=COUNTA(TablaEquipos[Compite]),ROW()-7,"")</f>
        <v/>
      </c>
      <c r="B157" s="10" t="str">
        <f>IF(Tabla96[[#This Row],[Id]]="","",VLOOKUP(Tabla96[[#This Row],[Id]]+1,TablaEquipos[],3,FALSE))</f>
        <v/>
      </c>
      <c r="C157" s="45" t="str">
        <f>IF(Tabla96[[#This Row],[Id]]="","",VLOOKUP(Tabla96[[#This Row],[Id]]+1,TablaEquipos[],4,FALSE))</f>
        <v/>
      </c>
      <c r="D157" s="13" t="str">
        <f>IF(Tabla96[[#This Row],[Id]]="","",COUNTIF(TablaTiempos[Club],Tabla96[[#This Row],[Pos]]))</f>
        <v/>
      </c>
      <c r="E157" s="47" t="str">
        <f>IF(Tabla96[[#This Row],[Id]]="","",Tabla96[[#This Row],[Total Llegados a Meta]]/Tabla96[[#This Row],[Total Inscritos]])</f>
        <v/>
      </c>
      <c r="F15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57" s="43">
        <f ca="1">NOW()-'LOS TIEMPOS'!$K$2</f>
        <v>42368.075526157409</v>
      </c>
    </row>
    <row r="158" spans="1:8" x14ac:dyDescent="0.2">
      <c r="A158" s="13" t="str">
        <f>IF(ROW()-5&lt;=COUNTA(TablaEquipos[Compite]),ROW()-7,"")</f>
        <v/>
      </c>
      <c r="B158" s="10" t="str">
        <f>IF(Tabla96[[#This Row],[Id]]="","",VLOOKUP(Tabla96[[#This Row],[Id]]+1,TablaEquipos[],3,FALSE))</f>
        <v/>
      </c>
      <c r="C158" s="45" t="str">
        <f>IF(Tabla96[[#This Row],[Id]]="","",VLOOKUP(Tabla96[[#This Row],[Id]]+1,TablaEquipos[],4,FALSE))</f>
        <v/>
      </c>
      <c r="D158" s="13" t="str">
        <f>IF(Tabla96[[#This Row],[Id]]="","",COUNTIF(TablaTiempos[Club],Tabla96[[#This Row],[Pos]]))</f>
        <v/>
      </c>
      <c r="E158" s="47" t="str">
        <f>IF(Tabla96[[#This Row],[Id]]="","",Tabla96[[#This Row],[Total Llegados a Meta]]/Tabla96[[#This Row],[Total Inscritos]])</f>
        <v/>
      </c>
      <c r="F15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58" s="43">
        <f ca="1">NOW()-'LOS TIEMPOS'!$K$2</f>
        <v>42368.075526157409</v>
      </c>
    </row>
    <row r="159" spans="1:8" x14ac:dyDescent="0.2">
      <c r="A159" s="13" t="str">
        <f>IF(ROW()-5&lt;=COUNTA(TablaEquipos[Compite]),ROW()-7,"")</f>
        <v/>
      </c>
      <c r="B159" s="10" t="str">
        <f>IF(Tabla96[[#This Row],[Id]]="","",VLOOKUP(Tabla96[[#This Row],[Id]]+1,TablaEquipos[],3,FALSE))</f>
        <v/>
      </c>
      <c r="C159" s="45" t="str">
        <f>IF(Tabla96[[#This Row],[Id]]="","",VLOOKUP(Tabla96[[#This Row],[Id]]+1,TablaEquipos[],4,FALSE))</f>
        <v/>
      </c>
      <c r="D159" s="13" t="str">
        <f>IF(Tabla96[[#This Row],[Id]]="","",COUNTIF(TablaTiempos[Club],Tabla96[[#This Row],[Pos]]))</f>
        <v/>
      </c>
      <c r="E159" s="47" t="str">
        <f>IF(Tabla96[[#This Row],[Id]]="","",Tabla96[[#This Row],[Total Llegados a Meta]]/Tabla96[[#This Row],[Total Inscritos]])</f>
        <v/>
      </c>
      <c r="F15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59" s="43">
        <f ca="1">NOW()-'LOS TIEMPOS'!$K$2</f>
        <v>42368.075526157409</v>
      </c>
    </row>
    <row r="160" spans="1:8" x14ac:dyDescent="0.2">
      <c r="A160" s="13" t="str">
        <f>IF(ROW()-5&lt;=COUNTA(TablaEquipos[Compite]),ROW()-7,"")</f>
        <v/>
      </c>
      <c r="B160" s="10" t="str">
        <f>IF(Tabla96[[#This Row],[Id]]="","",VLOOKUP(Tabla96[[#This Row],[Id]]+1,TablaEquipos[],3,FALSE))</f>
        <v/>
      </c>
      <c r="C160" s="45" t="str">
        <f>IF(Tabla96[[#This Row],[Id]]="","",VLOOKUP(Tabla96[[#This Row],[Id]]+1,TablaEquipos[],4,FALSE))</f>
        <v/>
      </c>
      <c r="D160" s="13" t="str">
        <f>IF(Tabla96[[#This Row],[Id]]="","",COUNTIF(TablaTiempos[Club],Tabla96[[#This Row],[Pos]]))</f>
        <v/>
      </c>
      <c r="E160" s="47" t="str">
        <f>IF(Tabla96[[#This Row],[Id]]="","",Tabla96[[#This Row],[Total Llegados a Meta]]/Tabla96[[#This Row],[Total Inscritos]])</f>
        <v/>
      </c>
      <c r="F16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60" s="43">
        <f ca="1">NOW()-'LOS TIEMPOS'!$K$2</f>
        <v>42368.075526157409</v>
      </c>
    </row>
    <row r="161" spans="1:8" x14ac:dyDescent="0.2">
      <c r="A161" s="13" t="str">
        <f>IF(ROW()-5&lt;=COUNTA(TablaEquipos[Compite]),ROW()-7,"")</f>
        <v/>
      </c>
      <c r="B161" s="10" t="str">
        <f>IF(Tabla96[[#This Row],[Id]]="","",VLOOKUP(Tabla96[[#This Row],[Id]]+1,TablaEquipos[],3,FALSE))</f>
        <v/>
      </c>
      <c r="C161" s="45" t="str">
        <f>IF(Tabla96[[#This Row],[Id]]="","",VLOOKUP(Tabla96[[#This Row],[Id]]+1,TablaEquipos[],4,FALSE))</f>
        <v/>
      </c>
      <c r="D161" s="13" t="str">
        <f>IF(Tabla96[[#This Row],[Id]]="","",COUNTIF(TablaTiempos[Club],Tabla96[[#This Row],[Pos]]))</f>
        <v/>
      </c>
      <c r="E161" s="47" t="str">
        <f>IF(Tabla96[[#This Row],[Id]]="","",Tabla96[[#This Row],[Total Llegados a Meta]]/Tabla96[[#This Row],[Total Inscritos]])</f>
        <v/>
      </c>
      <c r="F16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61" s="43">
        <f ca="1">NOW()-'LOS TIEMPOS'!$K$2</f>
        <v>42368.075526157409</v>
      </c>
    </row>
    <row r="162" spans="1:8" x14ac:dyDescent="0.2">
      <c r="A162" s="13" t="str">
        <f>IF(ROW()-5&lt;=COUNTA(TablaEquipos[Compite]),ROW()-7,"")</f>
        <v/>
      </c>
      <c r="B162" s="10" t="str">
        <f>IF(Tabla96[[#This Row],[Id]]="","",VLOOKUP(Tabla96[[#This Row],[Id]]+1,TablaEquipos[],3,FALSE))</f>
        <v/>
      </c>
      <c r="C162" s="45" t="str">
        <f>IF(Tabla96[[#This Row],[Id]]="","",VLOOKUP(Tabla96[[#This Row],[Id]]+1,TablaEquipos[],4,FALSE))</f>
        <v/>
      </c>
      <c r="D162" s="13" t="str">
        <f>IF(Tabla96[[#This Row],[Id]]="","",COUNTIF(TablaTiempos[Club],Tabla96[[#This Row],[Pos]]))</f>
        <v/>
      </c>
      <c r="E162" s="47" t="str">
        <f>IF(Tabla96[[#This Row],[Id]]="","",Tabla96[[#This Row],[Total Llegados a Meta]]/Tabla96[[#This Row],[Total Inscritos]])</f>
        <v/>
      </c>
      <c r="F16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62" s="43">
        <f ca="1">NOW()-'LOS TIEMPOS'!$K$2</f>
        <v>42368.075526157409</v>
      </c>
    </row>
    <row r="163" spans="1:8" x14ac:dyDescent="0.2">
      <c r="A163" s="13" t="str">
        <f>IF(ROW()-5&lt;=COUNTA(TablaEquipos[Compite]),ROW()-7,"")</f>
        <v/>
      </c>
      <c r="B163" s="10" t="str">
        <f>IF(Tabla96[[#This Row],[Id]]="","",VLOOKUP(Tabla96[[#This Row],[Id]]+1,TablaEquipos[],3,FALSE))</f>
        <v/>
      </c>
      <c r="C163" s="45" t="str">
        <f>IF(Tabla96[[#This Row],[Id]]="","",VLOOKUP(Tabla96[[#This Row],[Id]]+1,TablaEquipos[],4,FALSE))</f>
        <v/>
      </c>
      <c r="D163" s="13" t="str">
        <f>IF(Tabla96[[#This Row],[Id]]="","",COUNTIF(TablaTiempos[Club],Tabla96[[#This Row],[Pos]]))</f>
        <v/>
      </c>
      <c r="E163" s="47" t="str">
        <f>IF(Tabla96[[#This Row],[Id]]="","",Tabla96[[#This Row],[Total Llegados a Meta]]/Tabla96[[#This Row],[Total Inscritos]])</f>
        <v/>
      </c>
      <c r="F16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63" s="43">
        <f ca="1">NOW()-'LOS TIEMPOS'!$K$2</f>
        <v>42368.075526157409</v>
      </c>
    </row>
    <row r="164" spans="1:8" x14ac:dyDescent="0.2">
      <c r="A164" s="13" t="str">
        <f>IF(ROW()-5&lt;=COUNTA(TablaEquipos[Compite]),ROW()-7,"")</f>
        <v/>
      </c>
      <c r="B164" s="10" t="str">
        <f>IF(Tabla96[[#This Row],[Id]]="","",VLOOKUP(Tabla96[[#This Row],[Id]]+1,TablaEquipos[],3,FALSE))</f>
        <v/>
      </c>
      <c r="C164" s="45" t="str">
        <f>IF(Tabla96[[#This Row],[Id]]="","",VLOOKUP(Tabla96[[#This Row],[Id]]+1,TablaEquipos[],4,FALSE))</f>
        <v/>
      </c>
      <c r="D164" s="13" t="str">
        <f>IF(Tabla96[[#This Row],[Id]]="","",COUNTIF(TablaTiempos[Club],Tabla96[[#This Row],[Pos]]))</f>
        <v/>
      </c>
      <c r="E164" s="47" t="str">
        <f>IF(Tabla96[[#This Row],[Id]]="","",Tabla96[[#This Row],[Total Llegados a Meta]]/Tabla96[[#This Row],[Total Inscritos]])</f>
        <v/>
      </c>
      <c r="F16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64" s="43">
        <f ca="1">NOW()-'LOS TIEMPOS'!$K$2</f>
        <v>42368.075526157409</v>
      </c>
    </row>
    <row r="165" spans="1:8" x14ac:dyDescent="0.2">
      <c r="A165" s="13" t="str">
        <f>IF(ROW()-5&lt;=COUNTA(TablaEquipos[Compite]),ROW()-7,"")</f>
        <v/>
      </c>
      <c r="B165" s="10" t="str">
        <f>IF(Tabla96[[#This Row],[Id]]="","",VLOOKUP(Tabla96[[#This Row],[Id]]+1,TablaEquipos[],3,FALSE))</f>
        <v/>
      </c>
      <c r="C165" s="45" t="str">
        <f>IF(Tabla96[[#This Row],[Id]]="","",VLOOKUP(Tabla96[[#This Row],[Id]]+1,TablaEquipos[],4,FALSE))</f>
        <v/>
      </c>
      <c r="D165" s="13" t="str">
        <f>IF(Tabla96[[#This Row],[Id]]="","",COUNTIF(TablaTiempos[Club],Tabla96[[#This Row],[Pos]]))</f>
        <v/>
      </c>
      <c r="E165" s="47" t="str">
        <f>IF(Tabla96[[#This Row],[Id]]="","",Tabla96[[#This Row],[Total Llegados a Meta]]/Tabla96[[#This Row],[Total Inscritos]])</f>
        <v/>
      </c>
      <c r="F16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65" s="43">
        <f ca="1">NOW()-'LOS TIEMPOS'!$K$2</f>
        <v>42368.075526157409</v>
      </c>
    </row>
    <row r="166" spans="1:8" x14ac:dyDescent="0.2">
      <c r="A166" s="13" t="str">
        <f>IF(ROW()-5&lt;=COUNTA(TablaEquipos[Compite]),ROW()-7,"")</f>
        <v/>
      </c>
      <c r="B166" s="10" t="str">
        <f>IF(Tabla96[[#This Row],[Id]]="","",VLOOKUP(Tabla96[[#This Row],[Id]]+1,TablaEquipos[],3,FALSE))</f>
        <v/>
      </c>
      <c r="C166" s="45" t="str">
        <f>IF(Tabla96[[#This Row],[Id]]="","",VLOOKUP(Tabla96[[#This Row],[Id]]+1,TablaEquipos[],4,FALSE))</f>
        <v/>
      </c>
      <c r="D166" s="13" t="str">
        <f>IF(Tabla96[[#This Row],[Id]]="","",COUNTIF(TablaTiempos[Club],Tabla96[[#This Row],[Pos]]))</f>
        <v/>
      </c>
      <c r="E166" s="47" t="str">
        <f>IF(Tabla96[[#This Row],[Id]]="","",Tabla96[[#This Row],[Total Llegados a Meta]]/Tabla96[[#This Row],[Total Inscritos]])</f>
        <v/>
      </c>
      <c r="F16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66" s="43">
        <f ca="1">NOW()-'LOS TIEMPOS'!$K$2</f>
        <v>42368.075526157409</v>
      </c>
    </row>
    <row r="167" spans="1:8" x14ac:dyDescent="0.2">
      <c r="A167" s="13" t="str">
        <f>IF(ROW()-5&lt;=COUNTA(TablaEquipos[Compite]),ROW()-7,"")</f>
        <v/>
      </c>
      <c r="B167" s="10" t="str">
        <f>IF(Tabla96[[#This Row],[Id]]="","",VLOOKUP(Tabla96[[#This Row],[Id]]+1,TablaEquipos[],3,FALSE))</f>
        <v/>
      </c>
      <c r="C167" s="45" t="str">
        <f>IF(Tabla96[[#This Row],[Id]]="","",VLOOKUP(Tabla96[[#This Row],[Id]]+1,TablaEquipos[],4,FALSE))</f>
        <v/>
      </c>
      <c r="D167" s="13" t="str">
        <f>IF(Tabla96[[#This Row],[Id]]="","",COUNTIF(TablaTiempos[Club],Tabla96[[#This Row],[Pos]]))</f>
        <v/>
      </c>
      <c r="E167" s="47" t="str">
        <f>IF(Tabla96[[#This Row],[Id]]="","",Tabla96[[#This Row],[Total Llegados a Meta]]/Tabla96[[#This Row],[Total Inscritos]])</f>
        <v/>
      </c>
      <c r="F16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67" s="43">
        <f ca="1">NOW()-'LOS TIEMPOS'!$K$2</f>
        <v>42368.075526157409</v>
      </c>
    </row>
    <row r="168" spans="1:8" x14ac:dyDescent="0.2">
      <c r="A168" s="13" t="str">
        <f>IF(ROW()-5&lt;=COUNTA(TablaEquipos[Compite]),ROW()-7,"")</f>
        <v/>
      </c>
      <c r="B168" s="10" t="str">
        <f>IF(Tabla96[[#This Row],[Id]]="","",VLOOKUP(Tabla96[[#This Row],[Id]]+1,TablaEquipos[],3,FALSE))</f>
        <v/>
      </c>
      <c r="C168" s="45" t="str">
        <f>IF(Tabla96[[#This Row],[Id]]="","",VLOOKUP(Tabla96[[#This Row],[Id]]+1,TablaEquipos[],4,FALSE))</f>
        <v/>
      </c>
      <c r="D168" s="13" t="str">
        <f>IF(Tabla96[[#This Row],[Id]]="","",COUNTIF(TablaTiempos[Club],Tabla96[[#This Row],[Pos]]))</f>
        <v/>
      </c>
      <c r="E168" s="47" t="str">
        <f>IF(Tabla96[[#This Row],[Id]]="","",Tabla96[[#This Row],[Total Llegados a Meta]]/Tabla96[[#This Row],[Total Inscritos]])</f>
        <v/>
      </c>
      <c r="F16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68" s="43">
        <f ca="1">NOW()-'LOS TIEMPOS'!$K$2</f>
        <v>42368.075526157409</v>
      </c>
    </row>
    <row r="169" spans="1:8" x14ac:dyDescent="0.2">
      <c r="A169" s="13" t="str">
        <f>IF(ROW()-5&lt;=COUNTA(TablaEquipos[Compite]),ROW()-7,"")</f>
        <v/>
      </c>
      <c r="B169" s="10" t="str">
        <f>IF(Tabla96[[#This Row],[Id]]="","",VLOOKUP(Tabla96[[#This Row],[Id]]+1,TablaEquipos[],3,FALSE))</f>
        <v/>
      </c>
      <c r="C169" s="45" t="str">
        <f>IF(Tabla96[[#This Row],[Id]]="","",VLOOKUP(Tabla96[[#This Row],[Id]]+1,TablaEquipos[],4,FALSE))</f>
        <v/>
      </c>
      <c r="D169" s="13" t="str">
        <f>IF(Tabla96[[#This Row],[Id]]="","",COUNTIF(TablaTiempos[Club],Tabla96[[#This Row],[Pos]]))</f>
        <v/>
      </c>
      <c r="E169" s="47" t="str">
        <f>IF(Tabla96[[#This Row],[Id]]="","",Tabla96[[#This Row],[Total Llegados a Meta]]/Tabla96[[#This Row],[Total Inscritos]])</f>
        <v/>
      </c>
      <c r="F16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69" s="43">
        <f ca="1">NOW()-'LOS TIEMPOS'!$K$2</f>
        <v>42368.075526157409</v>
      </c>
    </row>
    <row r="170" spans="1:8" x14ac:dyDescent="0.2">
      <c r="A170" s="13" t="str">
        <f>IF(ROW()-5&lt;=COUNTA(TablaEquipos[Compite]),ROW()-7,"")</f>
        <v/>
      </c>
      <c r="B170" s="10" t="str">
        <f>IF(Tabla96[[#This Row],[Id]]="","",VLOOKUP(Tabla96[[#This Row],[Id]]+1,TablaEquipos[],3,FALSE))</f>
        <v/>
      </c>
      <c r="C170" s="45" t="str">
        <f>IF(Tabla96[[#This Row],[Id]]="","",VLOOKUP(Tabla96[[#This Row],[Id]]+1,TablaEquipos[],4,FALSE))</f>
        <v/>
      </c>
      <c r="D170" s="13" t="str">
        <f>IF(Tabla96[[#This Row],[Id]]="","",COUNTIF(TablaTiempos[Club],Tabla96[[#This Row],[Pos]]))</f>
        <v/>
      </c>
      <c r="E170" s="47" t="str">
        <f>IF(Tabla96[[#This Row],[Id]]="","",Tabla96[[#This Row],[Total Llegados a Meta]]/Tabla96[[#This Row],[Total Inscritos]])</f>
        <v/>
      </c>
      <c r="F17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70" s="43">
        <f ca="1">NOW()-'LOS TIEMPOS'!$K$2</f>
        <v>42368.075526157409</v>
      </c>
    </row>
    <row r="171" spans="1:8" x14ac:dyDescent="0.2">
      <c r="A171" s="13" t="str">
        <f>IF(ROW()-5&lt;=COUNTA(TablaEquipos[Compite]),ROW()-7,"")</f>
        <v/>
      </c>
      <c r="B171" s="10" t="str">
        <f>IF(Tabla96[[#This Row],[Id]]="","",VLOOKUP(Tabla96[[#This Row],[Id]]+1,TablaEquipos[],3,FALSE))</f>
        <v/>
      </c>
      <c r="C171" s="45" t="str">
        <f>IF(Tabla96[[#This Row],[Id]]="","",VLOOKUP(Tabla96[[#This Row],[Id]]+1,TablaEquipos[],4,FALSE))</f>
        <v/>
      </c>
      <c r="D171" s="13" t="str">
        <f>IF(Tabla96[[#This Row],[Id]]="","",COUNTIF(TablaTiempos[Club],Tabla96[[#This Row],[Pos]]))</f>
        <v/>
      </c>
      <c r="E171" s="47" t="str">
        <f>IF(Tabla96[[#This Row],[Id]]="","",Tabla96[[#This Row],[Total Llegados a Meta]]/Tabla96[[#This Row],[Total Inscritos]])</f>
        <v/>
      </c>
      <c r="F17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71" s="43">
        <f ca="1">NOW()-'LOS TIEMPOS'!$K$2</f>
        <v>42368.075526157409</v>
      </c>
    </row>
    <row r="172" spans="1:8" x14ac:dyDescent="0.2">
      <c r="A172" s="13" t="str">
        <f>IF(ROW()-5&lt;=COUNTA(TablaEquipos[Compite]),ROW()-7,"")</f>
        <v/>
      </c>
      <c r="B172" s="10" t="str">
        <f>IF(Tabla96[[#This Row],[Id]]="","",VLOOKUP(Tabla96[[#This Row],[Id]]+1,TablaEquipos[],3,FALSE))</f>
        <v/>
      </c>
      <c r="C172" s="45" t="str">
        <f>IF(Tabla96[[#This Row],[Id]]="","",VLOOKUP(Tabla96[[#This Row],[Id]]+1,TablaEquipos[],4,FALSE))</f>
        <v/>
      </c>
      <c r="D172" s="13" t="str">
        <f>IF(Tabla96[[#This Row],[Id]]="","",COUNTIF(TablaTiempos[Club],Tabla96[[#This Row],[Pos]]))</f>
        <v/>
      </c>
      <c r="E172" s="47" t="str">
        <f>IF(Tabla96[[#This Row],[Id]]="","",Tabla96[[#This Row],[Total Llegados a Meta]]/Tabla96[[#This Row],[Total Inscritos]])</f>
        <v/>
      </c>
      <c r="F17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72" s="43">
        <f ca="1">NOW()-'LOS TIEMPOS'!$K$2</f>
        <v>42368.075526157409</v>
      </c>
    </row>
    <row r="173" spans="1:8" x14ac:dyDescent="0.2">
      <c r="A173" s="13" t="str">
        <f>IF(ROW()-5&lt;=COUNTA(TablaEquipos[Compite]),ROW()-7,"")</f>
        <v/>
      </c>
      <c r="B173" s="10" t="str">
        <f>IF(Tabla96[[#This Row],[Id]]="","",VLOOKUP(Tabla96[[#This Row],[Id]]+1,TablaEquipos[],3,FALSE))</f>
        <v/>
      </c>
      <c r="C173" s="45" t="str">
        <f>IF(Tabla96[[#This Row],[Id]]="","",VLOOKUP(Tabla96[[#This Row],[Id]]+1,TablaEquipos[],4,FALSE))</f>
        <v/>
      </c>
      <c r="D173" s="13" t="str">
        <f>IF(Tabla96[[#This Row],[Id]]="","",COUNTIF(TablaTiempos[Club],Tabla96[[#This Row],[Pos]]))</f>
        <v/>
      </c>
      <c r="E173" s="47" t="str">
        <f>IF(Tabla96[[#This Row],[Id]]="","",Tabla96[[#This Row],[Total Llegados a Meta]]/Tabla96[[#This Row],[Total Inscritos]])</f>
        <v/>
      </c>
      <c r="F17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73" s="43">
        <f ca="1">NOW()-'LOS TIEMPOS'!$K$2</f>
        <v>42368.075526157409</v>
      </c>
    </row>
    <row r="174" spans="1:8" x14ac:dyDescent="0.2">
      <c r="A174" s="13" t="str">
        <f>IF(ROW()-5&lt;=COUNTA(TablaEquipos[Compite]),ROW()-7,"")</f>
        <v/>
      </c>
      <c r="B174" s="10" t="str">
        <f>IF(Tabla96[[#This Row],[Id]]="","",VLOOKUP(Tabla96[[#This Row],[Id]]+1,TablaEquipos[],3,FALSE))</f>
        <v/>
      </c>
      <c r="C174" s="45" t="str">
        <f>IF(Tabla96[[#This Row],[Id]]="","",VLOOKUP(Tabla96[[#This Row],[Id]]+1,TablaEquipos[],4,FALSE))</f>
        <v/>
      </c>
      <c r="D174" s="13" t="str">
        <f>IF(Tabla96[[#This Row],[Id]]="","",COUNTIF(TablaTiempos[Club],Tabla96[[#This Row],[Pos]]))</f>
        <v/>
      </c>
      <c r="E174" s="47" t="str">
        <f>IF(Tabla96[[#This Row],[Id]]="","",Tabla96[[#This Row],[Total Llegados a Meta]]/Tabla96[[#This Row],[Total Inscritos]])</f>
        <v/>
      </c>
      <c r="F17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74" s="43">
        <f ca="1">NOW()-'LOS TIEMPOS'!$K$2</f>
        <v>42368.075526157409</v>
      </c>
    </row>
    <row r="175" spans="1:8" x14ac:dyDescent="0.2">
      <c r="A175" s="13" t="str">
        <f>IF(ROW()-5&lt;=COUNTA(TablaEquipos[Compite]),ROW()-7,"")</f>
        <v/>
      </c>
      <c r="B175" s="10" t="str">
        <f>IF(Tabla96[[#This Row],[Id]]="","",VLOOKUP(Tabla96[[#This Row],[Id]]+1,TablaEquipos[],3,FALSE))</f>
        <v/>
      </c>
      <c r="C175" s="45" t="str">
        <f>IF(Tabla96[[#This Row],[Id]]="","",VLOOKUP(Tabla96[[#This Row],[Id]]+1,TablaEquipos[],4,FALSE))</f>
        <v/>
      </c>
      <c r="D175" s="13" t="str">
        <f>IF(Tabla96[[#This Row],[Id]]="","",COUNTIF(TablaTiempos[Club],Tabla96[[#This Row],[Pos]]))</f>
        <v/>
      </c>
      <c r="E175" s="47" t="str">
        <f>IF(Tabla96[[#This Row],[Id]]="","",Tabla96[[#This Row],[Total Llegados a Meta]]/Tabla96[[#This Row],[Total Inscritos]])</f>
        <v/>
      </c>
      <c r="F17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75" s="43">
        <f ca="1">NOW()-'LOS TIEMPOS'!$K$2</f>
        <v>42368.075526157409</v>
      </c>
    </row>
    <row r="176" spans="1:8" x14ac:dyDescent="0.2">
      <c r="A176" s="13" t="str">
        <f>IF(ROW()-5&lt;=COUNTA(TablaEquipos[Compite]),ROW()-7,"")</f>
        <v/>
      </c>
      <c r="B176" s="10" t="str">
        <f>IF(Tabla96[[#This Row],[Id]]="","",VLOOKUP(Tabla96[[#This Row],[Id]]+1,TablaEquipos[],3,FALSE))</f>
        <v/>
      </c>
      <c r="C176" s="45" t="str">
        <f>IF(Tabla96[[#This Row],[Id]]="","",VLOOKUP(Tabla96[[#This Row],[Id]]+1,TablaEquipos[],4,FALSE))</f>
        <v/>
      </c>
      <c r="D176" s="13" t="str">
        <f>IF(Tabla96[[#This Row],[Id]]="","",COUNTIF(TablaTiempos[Club],Tabla96[[#This Row],[Pos]]))</f>
        <v/>
      </c>
      <c r="E176" s="47" t="str">
        <f>IF(Tabla96[[#This Row],[Id]]="","",Tabla96[[#This Row],[Total Llegados a Meta]]/Tabla96[[#This Row],[Total Inscritos]])</f>
        <v/>
      </c>
      <c r="F17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76" s="43">
        <f ca="1">NOW()-'LOS TIEMPOS'!$K$2</f>
        <v>42368.075526157409</v>
      </c>
    </row>
    <row r="177" spans="1:8" x14ac:dyDescent="0.2">
      <c r="A177" s="13" t="str">
        <f>IF(ROW()-5&lt;=COUNTA(TablaEquipos[Compite]),ROW()-7,"")</f>
        <v/>
      </c>
      <c r="B177" s="10" t="str">
        <f>IF(Tabla96[[#This Row],[Id]]="","",VLOOKUP(Tabla96[[#This Row],[Id]]+1,TablaEquipos[],3,FALSE))</f>
        <v/>
      </c>
      <c r="C177" s="45" t="str">
        <f>IF(Tabla96[[#This Row],[Id]]="","",VLOOKUP(Tabla96[[#This Row],[Id]]+1,TablaEquipos[],4,FALSE))</f>
        <v/>
      </c>
      <c r="D177" s="13" t="str">
        <f>IF(Tabla96[[#This Row],[Id]]="","",COUNTIF(TablaTiempos[Club],Tabla96[[#This Row],[Pos]]))</f>
        <v/>
      </c>
      <c r="E177" s="47" t="str">
        <f>IF(Tabla96[[#This Row],[Id]]="","",Tabla96[[#This Row],[Total Llegados a Meta]]/Tabla96[[#This Row],[Total Inscritos]])</f>
        <v/>
      </c>
      <c r="F17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77" s="43">
        <f ca="1">NOW()-'LOS TIEMPOS'!$K$2</f>
        <v>42368.075526157409</v>
      </c>
    </row>
    <row r="178" spans="1:8" x14ac:dyDescent="0.2">
      <c r="A178" s="13" t="str">
        <f>IF(ROW()-5&lt;=COUNTA(TablaEquipos[Compite]),ROW()-7,"")</f>
        <v/>
      </c>
      <c r="B178" s="10" t="str">
        <f>IF(Tabla96[[#This Row],[Id]]="","",VLOOKUP(Tabla96[[#This Row],[Id]]+1,TablaEquipos[],3,FALSE))</f>
        <v/>
      </c>
      <c r="C178" s="45" t="str">
        <f>IF(Tabla96[[#This Row],[Id]]="","",VLOOKUP(Tabla96[[#This Row],[Id]]+1,TablaEquipos[],4,FALSE))</f>
        <v/>
      </c>
      <c r="D178" s="13" t="str">
        <f>IF(Tabla96[[#This Row],[Id]]="","",COUNTIF(TablaTiempos[Club],Tabla96[[#This Row],[Pos]]))</f>
        <v/>
      </c>
      <c r="E178" s="47" t="str">
        <f>IF(Tabla96[[#This Row],[Id]]="","",Tabla96[[#This Row],[Total Llegados a Meta]]/Tabla96[[#This Row],[Total Inscritos]])</f>
        <v/>
      </c>
      <c r="F17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78" s="43">
        <f ca="1">NOW()-'LOS TIEMPOS'!$K$2</f>
        <v>42368.075526157409</v>
      </c>
    </row>
    <row r="179" spans="1:8" x14ac:dyDescent="0.2">
      <c r="A179" s="13" t="str">
        <f>IF(ROW()-5&lt;=COUNTA(TablaEquipos[Compite]),ROW()-7,"")</f>
        <v/>
      </c>
      <c r="B179" s="10" t="str">
        <f>IF(Tabla96[[#This Row],[Id]]="","",VLOOKUP(Tabla96[[#This Row],[Id]]+1,TablaEquipos[],3,FALSE))</f>
        <v/>
      </c>
      <c r="C179" s="45" t="str">
        <f>IF(Tabla96[[#This Row],[Id]]="","",VLOOKUP(Tabla96[[#This Row],[Id]]+1,TablaEquipos[],4,FALSE))</f>
        <v/>
      </c>
      <c r="D179" s="13" t="str">
        <f>IF(Tabla96[[#This Row],[Id]]="","",COUNTIF(TablaTiempos[Club],Tabla96[[#This Row],[Pos]]))</f>
        <v/>
      </c>
      <c r="E179" s="47" t="str">
        <f>IF(Tabla96[[#This Row],[Id]]="","",Tabla96[[#This Row],[Total Llegados a Meta]]/Tabla96[[#This Row],[Total Inscritos]])</f>
        <v/>
      </c>
      <c r="F17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79" s="43">
        <f ca="1">NOW()-'LOS TIEMPOS'!$K$2</f>
        <v>42368.075526157409</v>
      </c>
    </row>
    <row r="180" spans="1:8" x14ac:dyDescent="0.2">
      <c r="A180" s="13" t="str">
        <f>IF(ROW()-5&lt;=COUNTA(TablaEquipos[Compite]),ROW()-7,"")</f>
        <v/>
      </c>
      <c r="B180" s="10" t="str">
        <f>IF(Tabla96[[#This Row],[Id]]="","",VLOOKUP(Tabla96[[#This Row],[Id]]+1,TablaEquipos[],3,FALSE))</f>
        <v/>
      </c>
      <c r="C180" s="45" t="str">
        <f>IF(Tabla96[[#This Row],[Id]]="","",VLOOKUP(Tabla96[[#This Row],[Id]]+1,TablaEquipos[],4,FALSE))</f>
        <v/>
      </c>
      <c r="D180" s="13" t="str">
        <f>IF(Tabla96[[#This Row],[Id]]="","",COUNTIF(TablaTiempos[Club],Tabla96[[#This Row],[Pos]]))</f>
        <v/>
      </c>
      <c r="E180" s="47" t="str">
        <f>IF(Tabla96[[#This Row],[Id]]="","",Tabla96[[#This Row],[Total Llegados a Meta]]/Tabla96[[#This Row],[Total Inscritos]])</f>
        <v/>
      </c>
      <c r="F18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80" s="43">
        <f ca="1">NOW()-'LOS TIEMPOS'!$K$2</f>
        <v>42368.075526157409</v>
      </c>
    </row>
    <row r="181" spans="1:8" x14ac:dyDescent="0.2">
      <c r="A181" s="13" t="str">
        <f>IF(ROW()-5&lt;=COUNTA(TablaEquipos[Compite]),ROW()-7,"")</f>
        <v/>
      </c>
      <c r="B181" s="10" t="str">
        <f>IF(Tabla96[[#This Row],[Id]]="","",VLOOKUP(Tabla96[[#This Row],[Id]]+1,TablaEquipos[],3,FALSE))</f>
        <v/>
      </c>
      <c r="C181" s="45" t="str">
        <f>IF(Tabla96[[#This Row],[Id]]="","",VLOOKUP(Tabla96[[#This Row],[Id]]+1,TablaEquipos[],4,FALSE))</f>
        <v/>
      </c>
      <c r="D181" s="13" t="str">
        <f>IF(Tabla96[[#This Row],[Id]]="","",COUNTIF(TablaTiempos[Club],Tabla96[[#This Row],[Pos]]))</f>
        <v/>
      </c>
      <c r="E181" s="47" t="str">
        <f>IF(Tabla96[[#This Row],[Id]]="","",Tabla96[[#This Row],[Total Llegados a Meta]]/Tabla96[[#This Row],[Total Inscritos]])</f>
        <v/>
      </c>
      <c r="F18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81" s="43">
        <f ca="1">NOW()-'LOS TIEMPOS'!$K$2</f>
        <v>42368.075526157409</v>
      </c>
    </row>
    <row r="182" spans="1:8" x14ac:dyDescent="0.2">
      <c r="A182" s="13" t="str">
        <f>IF(ROW()-5&lt;=COUNTA(TablaEquipos[Compite]),ROW()-7,"")</f>
        <v/>
      </c>
      <c r="B182" s="10" t="str">
        <f>IF(Tabla96[[#This Row],[Id]]="","",VLOOKUP(Tabla96[[#This Row],[Id]]+1,TablaEquipos[],3,FALSE))</f>
        <v/>
      </c>
      <c r="C182" s="45" t="str">
        <f>IF(Tabla96[[#This Row],[Id]]="","",VLOOKUP(Tabla96[[#This Row],[Id]]+1,TablaEquipos[],4,FALSE))</f>
        <v/>
      </c>
      <c r="D182" s="13" t="str">
        <f>IF(Tabla96[[#This Row],[Id]]="","",COUNTIF(TablaTiempos[Club],Tabla96[[#This Row],[Pos]]))</f>
        <v/>
      </c>
      <c r="E182" s="47" t="str">
        <f>IF(Tabla96[[#This Row],[Id]]="","",Tabla96[[#This Row],[Total Llegados a Meta]]/Tabla96[[#This Row],[Total Inscritos]])</f>
        <v/>
      </c>
      <c r="F18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82" s="43">
        <f ca="1">NOW()-'LOS TIEMPOS'!$K$2</f>
        <v>42368.075526157409</v>
      </c>
    </row>
    <row r="183" spans="1:8" x14ac:dyDescent="0.2">
      <c r="A183" s="13" t="str">
        <f>IF(ROW()-5&lt;=COUNTA(TablaEquipos[Compite]),ROW()-7,"")</f>
        <v/>
      </c>
      <c r="B183" s="10" t="str">
        <f>IF(Tabla96[[#This Row],[Id]]="","",VLOOKUP(Tabla96[[#This Row],[Id]]+1,TablaEquipos[],3,FALSE))</f>
        <v/>
      </c>
      <c r="C183" s="45" t="str">
        <f>IF(Tabla96[[#This Row],[Id]]="","",VLOOKUP(Tabla96[[#This Row],[Id]]+1,TablaEquipos[],4,FALSE))</f>
        <v/>
      </c>
      <c r="D183" s="13" t="str">
        <f>IF(Tabla96[[#This Row],[Id]]="","",COUNTIF(TablaTiempos[Club],Tabla96[[#This Row],[Pos]]))</f>
        <v/>
      </c>
      <c r="E183" s="47" t="str">
        <f>IF(Tabla96[[#This Row],[Id]]="","",Tabla96[[#This Row],[Total Llegados a Meta]]/Tabla96[[#This Row],[Total Inscritos]])</f>
        <v/>
      </c>
      <c r="F18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83" s="43">
        <f ca="1">NOW()-'LOS TIEMPOS'!$K$2</f>
        <v>42368.075526157409</v>
      </c>
    </row>
    <row r="184" spans="1:8" x14ac:dyDescent="0.2">
      <c r="A184" s="13" t="str">
        <f>IF(ROW()-5&lt;=COUNTA(TablaEquipos[Compite]),ROW()-7,"")</f>
        <v/>
      </c>
      <c r="B184" s="10" t="str">
        <f>IF(Tabla96[[#This Row],[Id]]="","",VLOOKUP(Tabla96[[#This Row],[Id]]+1,TablaEquipos[],3,FALSE))</f>
        <v/>
      </c>
      <c r="C184" s="45" t="str">
        <f>IF(Tabla96[[#This Row],[Id]]="","",VLOOKUP(Tabla96[[#This Row],[Id]]+1,TablaEquipos[],4,FALSE))</f>
        <v/>
      </c>
      <c r="D184" s="13" t="str">
        <f>IF(Tabla96[[#This Row],[Id]]="","",COUNTIF(TablaTiempos[Club],Tabla96[[#This Row],[Pos]]))</f>
        <v/>
      </c>
      <c r="E184" s="47" t="str">
        <f>IF(Tabla96[[#This Row],[Id]]="","",Tabla96[[#This Row],[Total Llegados a Meta]]/Tabla96[[#This Row],[Total Inscritos]])</f>
        <v/>
      </c>
      <c r="F18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84" s="43">
        <f ca="1">NOW()-'LOS TIEMPOS'!$K$2</f>
        <v>42368.075526157409</v>
      </c>
    </row>
    <row r="185" spans="1:8" x14ac:dyDescent="0.2">
      <c r="A185" s="13" t="str">
        <f>IF(ROW()-5&lt;=COUNTA(TablaEquipos[Compite]),ROW()-7,"")</f>
        <v/>
      </c>
      <c r="B185" s="10" t="str">
        <f>IF(Tabla96[[#This Row],[Id]]="","",VLOOKUP(Tabla96[[#This Row],[Id]]+1,TablaEquipos[],3,FALSE))</f>
        <v/>
      </c>
      <c r="C185" s="45" t="str">
        <f>IF(Tabla96[[#This Row],[Id]]="","",VLOOKUP(Tabla96[[#This Row],[Id]]+1,TablaEquipos[],4,FALSE))</f>
        <v/>
      </c>
      <c r="D185" s="13" t="str">
        <f>IF(Tabla96[[#This Row],[Id]]="","",COUNTIF(TablaTiempos[Club],Tabla96[[#This Row],[Pos]]))</f>
        <v/>
      </c>
      <c r="E185" s="47" t="str">
        <f>IF(Tabla96[[#This Row],[Id]]="","",Tabla96[[#This Row],[Total Llegados a Meta]]/Tabla96[[#This Row],[Total Inscritos]])</f>
        <v/>
      </c>
      <c r="F18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85" s="43">
        <f ca="1">NOW()-'LOS TIEMPOS'!$K$2</f>
        <v>42368.075526157409</v>
      </c>
    </row>
    <row r="186" spans="1:8" x14ac:dyDescent="0.2">
      <c r="A186" s="13" t="str">
        <f>IF(ROW()-5&lt;=COUNTA(TablaEquipos[Compite]),ROW()-7,"")</f>
        <v/>
      </c>
      <c r="B186" s="10" t="str">
        <f>IF(Tabla96[[#This Row],[Id]]="","",VLOOKUP(Tabla96[[#This Row],[Id]]+1,TablaEquipos[],3,FALSE))</f>
        <v/>
      </c>
      <c r="C186" s="45" t="str">
        <f>IF(Tabla96[[#This Row],[Id]]="","",VLOOKUP(Tabla96[[#This Row],[Id]]+1,TablaEquipos[],4,FALSE))</f>
        <v/>
      </c>
      <c r="D186" s="13" t="str">
        <f>IF(Tabla96[[#This Row],[Id]]="","",COUNTIF(TablaTiempos[Club],Tabla96[[#This Row],[Pos]]))</f>
        <v/>
      </c>
      <c r="E186" s="47" t="str">
        <f>IF(Tabla96[[#This Row],[Id]]="","",Tabla96[[#This Row],[Total Llegados a Meta]]/Tabla96[[#This Row],[Total Inscritos]])</f>
        <v/>
      </c>
      <c r="F18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86" s="43">
        <f ca="1">NOW()-'LOS TIEMPOS'!$K$2</f>
        <v>42368.075526157409</v>
      </c>
    </row>
    <row r="187" spans="1:8" x14ac:dyDescent="0.2">
      <c r="A187" s="13" t="str">
        <f>IF(ROW()-5&lt;=COUNTA(TablaEquipos[Compite]),ROW()-7,"")</f>
        <v/>
      </c>
      <c r="B187" s="10" t="str">
        <f>IF(Tabla96[[#This Row],[Id]]="","",VLOOKUP(Tabla96[[#This Row],[Id]]+1,TablaEquipos[],3,FALSE))</f>
        <v/>
      </c>
      <c r="C187" s="45" t="str">
        <f>IF(Tabla96[[#This Row],[Id]]="","",VLOOKUP(Tabla96[[#This Row],[Id]]+1,TablaEquipos[],4,FALSE))</f>
        <v/>
      </c>
      <c r="D187" s="13" t="str">
        <f>IF(Tabla96[[#This Row],[Id]]="","",COUNTIF(TablaTiempos[Club],Tabla96[[#This Row],[Pos]]))</f>
        <v/>
      </c>
      <c r="E187" s="47" t="str">
        <f>IF(Tabla96[[#This Row],[Id]]="","",Tabla96[[#This Row],[Total Llegados a Meta]]/Tabla96[[#This Row],[Total Inscritos]])</f>
        <v/>
      </c>
      <c r="F18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87" s="43">
        <f ca="1">NOW()-'LOS TIEMPOS'!$K$2</f>
        <v>42368.075526157409</v>
      </c>
    </row>
    <row r="188" spans="1:8" x14ac:dyDescent="0.2">
      <c r="A188" s="13" t="str">
        <f>IF(ROW()-5&lt;=COUNTA(TablaEquipos[Compite]),ROW()-7,"")</f>
        <v/>
      </c>
      <c r="B188" s="10" t="str">
        <f>IF(Tabla96[[#This Row],[Id]]="","",VLOOKUP(Tabla96[[#This Row],[Id]]+1,TablaEquipos[],3,FALSE))</f>
        <v/>
      </c>
      <c r="C188" s="45" t="str">
        <f>IF(Tabla96[[#This Row],[Id]]="","",VLOOKUP(Tabla96[[#This Row],[Id]]+1,TablaEquipos[],4,FALSE))</f>
        <v/>
      </c>
      <c r="D188" s="13" t="str">
        <f>IF(Tabla96[[#This Row],[Id]]="","",COUNTIF(TablaTiempos[Club],Tabla96[[#This Row],[Pos]]))</f>
        <v/>
      </c>
      <c r="E188" s="47" t="str">
        <f>IF(Tabla96[[#This Row],[Id]]="","",Tabla96[[#This Row],[Total Llegados a Meta]]/Tabla96[[#This Row],[Total Inscritos]])</f>
        <v/>
      </c>
      <c r="F18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88" s="43">
        <f ca="1">NOW()-'LOS TIEMPOS'!$K$2</f>
        <v>42368.075526157409</v>
      </c>
    </row>
    <row r="189" spans="1:8" x14ac:dyDescent="0.2">
      <c r="A189" s="13" t="str">
        <f>IF(ROW()-5&lt;=COUNTA(TablaEquipos[Compite]),ROW()-7,"")</f>
        <v/>
      </c>
      <c r="B189" s="10" t="str">
        <f>IF(Tabla96[[#This Row],[Id]]="","",VLOOKUP(Tabla96[[#This Row],[Id]]+1,TablaEquipos[],3,FALSE))</f>
        <v/>
      </c>
      <c r="C189" s="45" t="str">
        <f>IF(Tabla96[[#This Row],[Id]]="","",VLOOKUP(Tabla96[[#This Row],[Id]]+1,TablaEquipos[],4,FALSE))</f>
        <v/>
      </c>
      <c r="D189" s="13" t="str">
        <f>IF(Tabla96[[#This Row],[Id]]="","",COUNTIF(TablaTiempos[Club],Tabla96[[#This Row],[Pos]]))</f>
        <v/>
      </c>
      <c r="E189" s="47" t="str">
        <f>IF(Tabla96[[#This Row],[Id]]="","",Tabla96[[#This Row],[Total Llegados a Meta]]/Tabla96[[#This Row],[Total Inscritos]])</f>
        <v/>
      </c>
      <c r="F18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89" s="43">
        <f ca="1">NOW()-'LOS TIEMPOS'!$K$2</f>
        <v>42368.075526157409</v>
      </c>
    </row>
    <row r="190" spans="1:8" x14ac:dyDescent="0.2">
      <c r="A190" s="13" t="str">
        <f>IF(ROW()-5&lt;=COUNTA(TablaEquipos[Compite]),ROW()-7,"")</f>
        <v/>
      </c>
      <c r="B190" s="10" t="str">
        <f>IF(Tabla96[[#This Row],[Id]]="","",VLOOKUP(Tabla96[[#This Row],[Id]]+1,TablaEquipos[],3,FALSE))</f>
        <v/>
      </c>
      <c r="C190" s="45" t="str">
        <f>IF(Tabla96[[#This Row],[Id]]="","",VLOOKUP(Tabla96[[#This Row],[Id]]+1,TablaEquipos[],4,FALSE))</f>
        <v/>
      </c>
      <c r="D190" s="13" t="str">
        <f>IF(Tabla96[[#This Row],[Id]]="","",COUNTIF(TablaTiempos[Club],Tabla96[[#This Row],[Pos]]))</f>
        <v/>
      </c>
      <c r="E190" s="47" t="str">
        <f>IF(Tabla96[[#This Row],[Id]]="","",Tabla96[[#This Row],[Total Llegados a Meta]]/Tabla96[[#This Row],[Total Inscritos]])</f>
        <v/>
      </c>
      <c r="F19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90" s="43">
        <f ca="1">NOW()-'LOS TIEMPOS'!$K$2</f>
        <v>42368.075526157409</v>
      </c>
    </row>
    <row r="191" spans="1:8" x14ac:dyDescent="0.2">
      <c r="A191" s="13" t="str">
        <f>IF(ROW()-5&lt;=COUNTA(TablaEquipos[Compite]),ROW()-7,"")</f>
        <v/>
      </c>
      <c r="B191" s="10" t="str">
        <f>IF(Tabla96[[#This Row],[Id]]="","",VLOOKUP(Tabla96[[#This Row],[Id]]+1,TablaEquipos[],3,FALSE))</f>
        <v/>
      </c>
      <c r="C191" s="45" t="str">
        <f>IF(Tabla96[[#This Row],[Id]]="","",VLOOKUP(Tabla96[[#This Row],[Id]]+1,TablaEquipos[],4,FALSE))</f>
        <v/>
      </c>
      <c r="D191" s="13" t="str">
        <f>IF(Tabla96[[#This Row],[Id]]="","",COUNTIF(TablaTiempos[Club],Tabla96[[#This Row],[Pos]]))</f>
        <v/>
      </c>
      <c r="E191" s="47" t="str">
        <f>IF(Tabla96[[#This Row],[Id]]="","",Tabla96[[#This Row],[Total Llegados a Meta]]/Tabla96[[#This Row],[Total Inscritos]])</f>
        <v/>
      </c>
      <c r="F19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91" s="43">
        <f ca="1">NOW()-'LOS TIEMPOS'!$K$2</f>
        <v>42368.075526157409</v>
      </c>
    </row>
    <row r="192" spans="1:8" x14ac:dyDescent="0.2">
      <c r="A192" s="13" t="str">
        <f>IF(ROW()-5&lt;=COUNTA(TablaEquipos[Compite]),ROW()-7,"")</f>
        <v/>
      </c>
      <c r="B192" s="10" t="str">
        <f>IF(Tabla96[[#This Row],[Id]]="","",VLOOKUP(Tabla96[[#This Row],[Id]]+1,TablaEquipos[],3,FALSE))</f>
        <v/>
      </c>
      <c r="C192" s="45" t="str">
        <f>IF(Tabla96[[#This Row],[Id]]="","",VLOOKUP(Tabla96[[#This Row],[Id]]+1,TablaEquipos[],4,FALSE))</f>
        <v/>
      </c>
      <c r="D192" s="13" t="str">
        <f>IF(Tabla96[[#This Row],[Id]]="","",COUNTIF(TablaTiempos[Club],Tabla96[[#This Row],[Pos]]))</f>
        <v/>
      </c>
      <c r="E192" s="47" t="str">
        <f>IF(Tabla96[[#This Row],[Id]]="","",Tabla96[[#This Row],[Total Llegados a Meta]]/Tabla96[[#This Row],[Total Inscritos]])</f>
        <v/>
      </c>
      <c r="F19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92" s="43">
        <f ca="1">NOW()-'LOS TIEMPOS'!$K$2</f>
        <v>42368.075526157409</v>
      </c>
    </row>
    <row r="193" spans="1:8" x14ac:dyDescent="0.2">
      <c r="A193" s="13" t="str">
        <f>IF(ROW()-5&lt;=COUNTA(TablaEquipos[Compite]),ROW()-7,"")</f>
        <v/>
      </c>
      <c r="B193" s="10" t="str">
        <f>IF(Tabla96[[#This Row],[Id]]="","",VLOOKUP(Tabla96[[#This Row],[Id]]+1,TablaEquipos[],3,FALSE))</f>
        <v/>
      </c>
      <c r="C193" s="45" t="str">
        <f>IF(Tabla96[[#This Row],[Id]]="","",VLOOKUP(Tabla96[[#This Row],[Id]]+1,TablaEquipos[],4,FALSE))</f>
        <v/>
      </c>
      <c r="D193" s="13" t="str">
        <f>IF(Tabla96[[#This Row],[Id]]="","",COUNTIF(TablaTiempos[Club],Tabla96[[#This Row],[Pos]]))</f>
        <v/>
      </c>
      <c r="E193" s="47" t="str">
        <f>IF(Tabla96[[#This Row],[Id]]="","",Tabla96[[#This Row],[Total Llegados a Meta]]/Tabla96[[#This Row],[Total Inscritos]])</f>
        <v/>
      </c>
      <c r="F19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93" s="43">
        <f ca="1">NOW()-'LOS TIEMPOS'!$K$2</f>
        <v>42368.075526157409</v>
      </c>
    </row>
    <row r="194" spans="1:8" x14ac:dyDescent="0.2">
      <c r="A194" s="13" t="str">
        <f>IF(ROW()-5&lt;=COUNTA(TablaEquipos[Compite]),ROW()-7,"")</f>
        <v/>
      </c>
      <c r="B194" s="10" t="str">
        <f>IF(Tabla96[[#This Row],[Id]]="","",VLOOKUP(Tabla96[[#This Row],[Id]]+1,TablaEquipos[],3,FALSE))</f>
        <v/>
      </c>
      <c r="C194" s="45" t="str">
        <f>IF(Tabla96[[#This Row],[Id]]="","",VLOOKUP(Tabla96[[#This Row],[Id]]+1,TablaEquipos[],4,FALSE))</f>
        <v/>
      </c>
      <c r="D194" s="13" t="str">
        <f>IF(Tabla96[[#This Row],[Id]]="","",COUNTIF(TablaTiempos[Club],Tabla96[[#This Row],[Pos]]))</f>
        <v/>
      </c>
      <c r="E194" s="47" t="str">
        <f>IF(Tabla96[[#This Row],[Id]]="","",Tabla96[[#This Row],[Total Llegados a Meta]]/Tabla96[[#This Row],[Total Inscritos]])</f>
        <v/>
      </c>
      <c r="F19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94" s="43">
        <f ca="1">NOW()-'LOS TIEMPOS'!$K$2</f>
        <v>42368.075526157409</v>
      </c>
    </row>
    <row r="195" spans="1:8" x14ac:dyDescent="0.2">
      <c r="A195" s="13" t="str">
        <f>IF(ROW()-5&lt;=COUNTA(TablaEquipos[Compite]),ROW()-7,"")</f>
        <v/>
      </c>
      <c r="B195" s="10" t="str">
        <f>IF(Tabla96[[#This Row],[Id]]="","",VLOOKUP(Tabla96[[#This Row],[Id]]+1,TablaEquipos[],3,FALSE))</f>
        <v/>
      </c>
      <c r="C195" s="45" t="str">
        <f>IF(Tabla96[[#This Row],[Id]]="","",VLOOKUP(Tabla96[[#This Row],[Id]]+1,TablaEquipos[],4,FALSE))</f>
        <v/>
      </c>
      <c r="D195" s="13" t="str">
        <f>IF(Tabla96[[#This Row],[Id]]="","",COUNTIF(TablaTiempos[Club],Tabla96[[#This Row],[Pos]]))</f>
        <v/>
      </c>
      <c r="E195" s="47" t="str">
        <f>IF(Tabla96[[#This Row],[Id]]="","",Tabla96[[#This Row],[Total Llegados a Meta]]/Tabla96[[#This Row],[Total Inscritos]])</f>
        <v/>
      </c>
      <c r="F19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95" s="43">
        <f ca="1">NOW()-'LOS TIEMPOS'!$K$2</f>
        <v>42368.075526157409</v>
      </c>
    </row>
    <row r="196" spans="1:8" x14ac:dyDescent="0.2">
      <c r="A196" s="13" t="str">
        <f>IF(ROW()-5&lt;=COUNTA(TablaEquipos[Compite]),ROW()-7,"")</f>
        <v/>
      </c>
      <c r="B196" s="10" t="str">
        <f>IF(Tabla96[[#This Row],[Id]]="","",VLOOKUP(Tabla96[[#This Row],[Id]]+1,TablaEquipos[],3,FALSE))</f>
        <v/>
      </c>
      <c r="C196" s="45" t="str">
        <f>IF(Tabla96[[#This Row],[Id]]="","",VLOOKUP(Tabla96[[#This Row],[Id]]+1,TablaEquipos[],4,FALSE))</f>
        <v/>
      </c>
      <c r="D196" s="13" t="str">
        <f>IF(Tabla96[[#This Row],[Id]]="","",COUNTIF(TablaTiempos[Club],Tabla96[[#This Row],[Pos]]))</f>
        <v/>
      </c>
      <c r="E196" s="47" t="str">
        <f>IF(Tabla96[[#This Row],[Id]]="","",Tabla96[[#This Row],[Total Llegados a Meta]]/Tabla96[[#This Row],[Total Inscritos]])</f>
        <v/>
      </c>
      <c r="F19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96" s="43">
        <f ca="1">NOW()-'LOS TIEMPOS'!$K$2</f>
        <v>42368.075526157409</v>
      </c>
    </row>
    <row r="197" spans="1:8" x14ac:dyDescent="0.2">
      <c r="A197" s="13" t="str">
        <f>IF(ROW()-5&lt;=COUNTA(TablaEquipos[Compite]),ROW()-7,"")</f>
        <v/>
      </c>
      <c r="B197" s="10" t="str">
        <f>IF(Tabla96[[#This Row],[Id]]="","",VLOOKUP(Tabla96[[#This Row],[Id]]+1,TablaEquipos[],3,FALSE))</f>
        <v/>
      </c>
      <c r="C197" s="45" t="str">
        <f>IF(Tabla96[[#This Row],[Id]]="","",VLOOKUP(Tabla96[[#This Row],[Id]]+1,TablaEquipos[],4,FALSE))</f>
        <v/>
      </c>
      <c r="D197" s="13" t="str">
        <f>IF(Tabla96[[#This Row],[Id]]="","",COUNTIF(TablaTiempos[Club],Tabla96[[#This Row],[Pos]]))</f>
        <v/>
      </c>
      <c r="E197" s="47" t="str">
        <f>IF(Tabla96[[#This Row],[Id]]="","",Tabla96[[#This Row],[Total Llegados a Meta]]/Tabla96[[#This Row],[Total Inscritos]])</f>
        <v/>
      </c>
      <c r="F19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97" s="43">
        <f ca="1">NOW()-'LOS TIEMPOS'!$K$2</f>
        <v>42368.075526157409</v>
      </c>
    </row>
    <row r="198" spans="1:8" x14ac:dyDescent="0.2">
      <c r="A198" s="13" t="str">
        <f>IF(ROW()-5&lt;=COUNTA(TablaEquipos[Compite]),ROW()-7,"")</f>
        <v/>
      </c>
      <c r="B198" s="10" t="str">
        <f>IF(Tabla96[[#This Row],[Id]]="","",VLOOKUP(Tabla96[[#This Row],[Id]]+1,TablaEquipos[],3,FALSE))</f>
        <v/>
      </c>
      <c r="C198" s="45" t="str">
        <f>IF(Tabla96[[#This Row],[Id]]="","",VLOOKUP(Tabla96[[#This Row],[Id]]+1,TablaEquipos[],4,FALSE))</f>
        <v/>
      </c>
      <c r="D198" s="13" t="str">
        <f>IF(Tabla96[[#This Row],[Id]]="","",COUNTIF(TablaTiempos[Club],Tabla96[[#This Row],[Pos]]))</f>
        <v/>
      </c>
      <c r="E198" s="47" t="str">
        <f>IF(Tabla96[[#This Row],[Id]]="","",Tabla96[[#This Row],[Total Llegados a Meta]]/Tabla96[[#This Row],[Total Inscritos]])</f>
        <v/>
      </c>
      <c r="F19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98" s="43">
        <f ca="1">NOW()-'LOS TIEMPOS'!$K$2</f>
        <v>42368.075526157409</v>
      </c>
    </row>
    <row r="199" spans="1:8" x14ac:dyDescent="0.2">
      <c r="A199" s="13" t="str">
        <f>IF(ROW()-5&lt;=COUNTA(TablaEquipos[Compite]),ROW()-7,"")</f>
        <v/>
      </c>
      <c r="B199" s="10" t="str">
        <f>IF(Tabla96[[#This Row],[Id]]="","",VLOOKUP(Tabla96[[#This Row],[Id]]+1,TablaEquipos[],3,FALSE))</f>
        <v/>
      </c>
      <c r="C199" s="45" t="str">
        <f>IF(Tabla96[[#This Row],[Id]]="","",VLOOKUP(Tabla96[[#This Row],[Id]]+1,TablaEquipos[],4,FALSE))</f>
        <v/>
      </c>
      <c r="D199" s="13" t="str">
        <f>IF(Tabla96[[#This Row],[Id]]="","",COUNTIF(TablaTiempos[Club],Tabla96[[#This Row],[Pos]]))</f>
        <v/>
      </c>
      <c r="E199" s="47" t="str">
        <f>IF(Tabla96[[#This Row],[Id]]="","",Tabla96[[#This Row],[Total Llegados a Meta]]/Tabla96[[#This Row],[Total Inscritos]])</f>
        <v/>
      </c>
      <c r="F19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99" s="43">
        <f ca="1">NOW()-'LOS TIEMPOS'!$K$2</f>
        <v>42368.075526157409</v>
      </c>
    </row>
    <row r="200" spans="1:8" x14ac:dyDescent="0.2">
      <c r="A200" s="13" t="str">
        <f>IF(ROW()-5&lt;=COUNTA(TablaEquipos[Compite]),ROW()-7,"")</f>
        <v/>
      </c>
      <c r="B200" s="10" t="str">
        <f>IF(Tabla96[[#This Row],[Id]]="","",VLOOKUP(Tabla96[[#This Row],[Id]]+1,TablaEquipos[],3,FALSE))</f>
        <v/>
      </c>
      <c r="C200" s="45" t="str">
        <f>IF(Tabla96[[#This Row],[Id]]="","",VLOOKUP(Tabla96[[#This Row],[Id]]+1,TablaEquipos[],4,FALSE))</f>
        <v/>
      </c>
      <c r="D200" s="13" t="str">
        <f>IF(Tabla96[[#This Row],[Id]]="","",COUNTIF(TablaTiempos[Club],Tabla96[[#This Row],[Pos]]))</f>
        <v/>
      </c>
      <c r="E200" s="47" t="str">
        <f>IF(Tabla96[[#This Row],[Id]]="","",Tabla96[[#This Row],[Total Llegados a Meta]]/Tabla96[[#This Row],[Total Inscritos]])</f>
        <v/>
      </c>
      <c r="F20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00" s="43">
        <f ca="1">NOW()-'LOS TIEMPOS'!$K$2</f>
        <v>42368.075526157409</v>
      </c>
    </row>
    <row r="201" spans="1:8" x14ac:dyDescent="0.2">
      <c r="A201" s="13" t="str">
        <f>IF(ROW()-5&lt;=COUNTA(TablaEquipos[Compite]),ROW()-7,"")</f>
        <v/>
      </c>
      <c r="B201" s="10" t="str">
        <f>IF(Tabla96[[#This Row],[Id]]="","",VLOOKUP(Tabla96[[#This Row],[Id]]+1,TablaEquipos[],3,FALSE))</f>
        <v/>
      </c>
      <c r="C201" s="45" t="str">
        <f>IF(Tabla96[[#This Row],[Id]]="","",VLOOKUP(Tabla96[[#This Row],[Id]]+1,TablaEquipos[],4,FALSE))</f>
        <v/>
      </c>
      <c r="D201" s="13" t="str">
        <f>IF(Tabla96[[#This Row],[Id]]="","",COUNTIF(TablaTiempos[Club],Tabla96[[#This Row],[Pos]]))</f>
        <v/>
      </c>
      <c r="E201" s="47" t="str">
        <f>IF(Tabla96[[#This Row],[Id]]="","",Tabla96[[#This Row],[Total Llegados a Meta]]/Tabla96[[#This Row],[Total Inscritos]])</f>
        <v/>
      </c>
      <c r="F20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01" s="43">
        <f ca="1">NOW()-'LOS TIEMPOS'!$K$2</f>
        <v>42368.075526157409</v>
      </c>
    </row>
    <row r="202" spans="1:8" x14ac:dyDescent="0.2">
      <c r="A202" s="13" t="str">
        <f>IF(ROW()-5&lt;=COUNTA(TablaEquipos[Compite]),ROW()-7,"")</f>
        <v/>
      </c>
      <c r="B202" s="10" t="str">
        <f>IF(Tabla96[[#This Row],[Id]]="","",VLOOKUP(Tabla96[[#This Row],[Id]]+1,TablaEquipos[],3,FALSE))</f>
        <v/>
      </c>
      <c r="C202" s="45" t="str">
        <f>IF(Tabla96[[#This Row],[Id]]="","",VLOOKUP(Tabla96[[#This Row],[Id]]+1,TablaEquipos[],4,FALSE))</f>
        <v/>
      </c>
      <c r="D202" s="13" t="str">
        <f>IF(Tabla96[[#This Row],[Id]]="","",COUNTIF(TablaTiempos[Club],Tabla96[[#This Row],[Pos]]))</f>
        <v/>
      </c>
      <c r="E202" s="47" t="str">
        <f>IF(Tabla96[[#This Row],[Id]]="","",Tabla96[[#This Row],[Total Llegados a Meta]]/Tabla96[[#This Row],[Total Inscritos]])</f>
        <v/>
      </c>
      <c r="F20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02" s="43">
        <f ca="1">NOW()-'LOS TIEMPOS'!$K$2</f>
        <v>42368.075526157409</v>
      </c>
    </row>
    <row r="203" spans="1:8" x14ac:dyDescent="0.2">
      <c r="A203" s="13" t="str">
        <f>IF(ROW()-5&lt;=COUNTA(TablaEquipos[Compite]),ROW()-7,"")</f>
        <v/>
      </c>
      <c r="B203" s="10" t="str">
        <f>IF(Tabla96[[#This Row],[Id]]="","",VLOOKUP(Tabla96[[#This Row],[Id]]+1,TablaEquipos[],3,FALSE))</f>
        <v/>
      </c>
      <c r="C203" s="45" t="str">
        <f>IF(Tabla96[[#This Row],[Id]]="","",VLOOKUP(Tabla96[[#This Row],[Id]]+1,TablaEquipos[],4,FALSE))</f>
        <v/>
      </c>
      <c r="D203" s="13" t="str">
        <f>IF(Tabla96[[#This Row],[Id]]="","",COUNTIF(TablaTiempos[Club],Tabla96[[#This Row],[Pos]]))</f>
        <v/>
      </c>
      <c r="E203" s="47" t="str">
        <f>IF(Tabla96[[#This Row],[Id]]="","",Tabla96[[#This Row],[Total Llegados a Meta]]/Tabla96[[#This Row],[Total Inscritos]])</f>
        <v/>
      </c>
      <c r="F20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03" s="43">
        <f ca="1">NOW()-'LOS TIEMPOS'!$K$2</f>
        <v>42368.075526157409</v>
      </c>
    </row>
    <row r="204" spans="1:8" x14ac:dyDescent="0.2">
      <c r="A204" s="13" t="str">
        <f>IF(ROW()-5&lt;=COUNTA(TablaEquipos[Compite]),ROW()-7,"")</f>
        <v/>
      </c>
      <c r="B204" s="10" t="str">
        <f>IF(Tabla96[[#This Row],[Id]]="","",VLOOKUP(Tabla96[[#This Row],[Id]]+1,TablaEquipos[],3,FALSE))</f>
        <v/>
      </c>
      <c r="C204" s="45" t="str">
        <f>IF(Tabla96[[#This Row],[Id]]="","",VLOOKUP(Tabla96[[#This Row],[Id]]+1,TablaEquipos[],4,FALSE))</f>
        <v/>
      </c>
      <c r="D204" s="13" t="str">
        <f>IF(Tabla96[[#This Row],[Id]]="","",COUNTIF(TablaTiempos[Club],Tabla96[[#This Row],[Pos]]))</f>
        <v/>
      </c>
      <c r="E204" s="47" t="str">
        <f>IF(Tabla96[[#This Row],[Id]]="","",Tabla96[[#This Row],[Total Llegados a Meta]]/Tabla96[[#This Row],[Total Inscritos]])</f>
        <v/>
      </c>
      <c r="F20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04" s="43">
        <f ca="1">NOW()-'LOS TIEMPOS'!$K$2</f>
        <v>42368.075526157409</v>
      </c>
    </row>
    <row r="205" spans="1:8" x14ac:dyDescent="0.2">
      <c r="A205" s="13" t="str">
        <f>IF(ROW()-5&lt;=COUNTA(TablaEquipos[Compite]),ROW()-7,"")</f>
        <v/>
      </c>
      <c r="B205" s="10" t="str">
        <f>IF(Tabla96[[#This Row],[Id]]="","",VLOOKUP(Tabla96[[#This Row],[Id]]+1,TablaEquipos[],3,FALSE))</f>
        <v/>
      </c>
      <c r="C205" s="45" t="str">
        <f>IF(Tabla96[[#This Row],[Id]]="","",VLOOKUP(Tabla96[[#This Row],[Id]]+1,TablaEquipos[],4,FALSE))</f>
        <v/>
      </c>
      <c r="D205" s="13" t="str">
        <f>IF(Tabla96[[#This Row],[Id]]="","",COUNTIF(TablaTiempos[Club],Tabla96[[#This Row],[Pos]]))</f>
        <v/>
      </c>
      <c r="E205" s="47" t="str">
        <f>IF(Tabla96[[#This Row],[Id]]="","",Tabla96[[#This Row],[Total Llegados a Meta]]/Tabla96[[#This Row],[Total Inscritos]])</f>
        <v/>
      </c>
      <c r="F20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05" s="43">
        <f ca="1">NOW()-'LOS TIEMPOS'!$K$2</f>
        <v>42368.075526157409</v>
      </c>
    </row>
    <row r="206" spans="1:8" x14ac:dyDescent="0.2">
      <c r="A206" s="13" t="str">
        <f>IF(ROW()-5&lt;=COUNTA(TablaEquipos[Compite]),ROW()-7,"")</f>
        <v/>
      </c>
      <c r="B206" s="10" t="str">
        <f>IF(Tabla96[[#This Row],[Id]]="","",VLOOKUP(Tabla96[[#This Row],[Id]]+1,TablaEquipos[],3,FALSE))</f>
        <v/>
      </c>
      <c r="C206" s="45" t="str">
        <f>IF(Tabla96[[#This Row],[Id]]="","",VLOOKUP(Tabla96[[#This Row],[Id]]+1,TablaEquipos[],4,FALSE))</f>
        <v/>
      </c>
      <c r="D206" s="13" t="str">
        <f>IF(Tabla96[[#This Row],[Id]]="","",COUNTIF(TablaTiempos[Club],Tabla96[[#This Row],[Pos]]))</f>
        <v/>
      </c>
      <c r="E206" s="47" t="str">
        <f>IF(Tabla96[[#This Row],[Id]]="","",Tabla96[[#This Row],[Total Llegados a Meta]]/Tabla96[[#This Row],[Total Inscritos]])</f>
        <v/>
      </c>
      <c r="F20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06" s="43">
        <f ca="1">NOW()-'LOS TIEMPOS'!$K$2</f>
        <v>42368.075526157409</v>
      </c>
    </row>
    <row r="207" spans="1:8" x14ac:dyDescent="0.2">
      <c r="A207" s="13" t="str">
        <f>IF(ROW()-5&lt;=COUNTA(TablaEquipos[Compite]),ROW()-7,"")</f>
        <v/>
      </c>
      <c r="B207" s="10" t="str">
        <f>IF(Tabla96[[#This Row],[Id]]="","",VLOOKUP(Tabla96[[#This Row],[Id]]+1,TablaEquipos[],3,FALSE))</f>
        <v/>
      </c>
      <c r="C207" s="45" t="str">
        <f>IF(Tabla96[[#This Row],[Id]]="","",VLOOKUP(Tabla96[[#This Row],[Id]]+1,TablaEquipos[],4,FALSE))</f>
        <v/>
      </c>
      <c r="D207" s="13" t="str">
        <f>IF(Tabla96[[#This Row],[Id]]="","",COUNTIF(TablaTiempos[Club],Tabla96[[#This Row],[Pos]]))</f>
        <v/>
      </c>
      <c r="E207" s="47" t="str">
        <f>IF(Tabla96[[#This Row],[Id]]="","",Tabla96[[#This Row],[Total Llegados a Meta]]/Tabla96[[#This Row],[Total Inscritos]])</f>
        <v/>
      </c>
      <c r="F20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07" s="43">
        <f ca="1">NOW()-'LOS TIEMPOS'!$K$2</f>
        <v>42368.075526157409</v>
      </c>
    </row>
    <row r="208" spans="1:8" x14ac:dyDescent="0.2">
      <c r="A208" s="13" t="str">
        <f>IF(ROW()-5&lt;=COUNTA(TablaEquipos[Compite]),ROW()-7,"")</f>
        <v/>
      </c>
      <c r="B208" s="10" t="str">
        <f>IF(Tabla96[[#This Row],[Id]]="","",VLOOKUP(Tabla96[[#This Row],[Id]]+1,TablaEquipos[],3,FALSE))</f>
        <v/>
      </c>
      <c r="C208" s="45" t="str">
        <f>IF(Tabla96[[#This Row],[Id]]="","",VLOOKUP(Tabla96[[#This Row],[Id]]+1,TablaEquipos[],4,FALSE))</f>
        <v/>
      </c>
      <c r="D208" s="13" t="str">
        <f>IF(Tabla96[[#This Row],[Id]]="","",COUNTIF(TablaTiempos[Club],Tabla96[[#This Row],[Pos]]))</f>
        <v/>
      </c>
      <c r="E208" s="47" t="str">
        <f>IF(Tabla96[[#This Row],[Id]]="","",Tabla96[[#This Row],[Total Llegados a Meta]]/Tabla96[[#This Row],[Total Inscritos]])</f>
        <v/>
      </c>
      <c r="F20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08" s="43">
        <f ca="1">NOW()-'LOS TIEMPOS'!$K$2</f>
        <v>42368.075526157409</v>
      </c>
    </row>
    <row r="209" spans="1:8" x14ac:dyDescent="0.2">
      <c r="A209" s="13" t="str">
        <f>IF(ROW()-5&lt;=COUNTA(TablaEquipos[Compite]),ROW()-7,"")</f>
        <v/>
      </c>
      <c r="B209" s="10" t="str">
        <f>IF(Tabla96[[#This Row],[Id]]="","",VLOOKUP(Tabla96[[#This Row],[Id]]+1,TablaEquipos[],3,FALSE))</f>
        <v/>
      </c>
      <c r="C209" s="45" t="str">
        <f>IF(Tabla96[[#This Row],[Id]]="","",VLOOKUP(Tabla96[[#This Row],[Id]]+1,TablaEquipos[],4,FALSE))</f>
        <v/>
      </c>
      <c r="D209" s="13" t="str">
        <f>IF(Tabla96[[#This Row],[Id]]="","",COUNTIF(TablaTiempos[Club],Tabla96[[#This Row],[Pos]]))</f>
        <v/>
      </c>
      <c r="E209" s="47" t="str">
        <f>IF(Tabla96[[#This Row],[Id]]="","",Tabla96[[#This Row],[Total Llegados a Meta]]/Tabla96[[#This Row],[Total Inscritos]])</f>
        <v/>
      </c>
      <c r="F20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09" s="43">
        <f ca="1">NOW()-'LOS TIEMPOS'!$K$2</f>
        <v>42368.075526157409</v>
      </c>
    </row>
    <row r="210" spans="1:8" x14ac:dyDescent="0.2">
      <c r="A210" s="13" t="str">
        <f>IF(ROW()-5&lt;=COUNTA(TablaEquipos[Compite]),ROW()-7,"")</f>
        <v/>
      </c>
      <c r="B210" s="10" t="str">
        <f>IF(Tabla96[[#This Row],[Id]]="","",VLOOKUP(Tabla96[[#This Row],[Id]]+1,TablaEquipos[],3,FALSE))</f>
        <v/>
      </c>
      <c r="C210" s="45" t="str">
        <f>IF(Tabla96[[#This Row],[Id]]="","",VLOOKUP(Tabla96[[#This Row],[Id]]+1,TablaEquipos[],4,FALSE))</f>
        <v/>
      </c>
      <c r="D210" s="13" t="str">
        <f>IF(Tabla96[[#This Row],[Id]]="","",COUNTIF(TablaTiempos[Club],Tabla96[[#This Row],[Pos]]))</f>
        <v/>
      </c>
      <c r="E210" s="47" t="str">
        <f>IF(Tabla96[[#This Row],[Id]]="","",Tabla96[[#This Row],[Total Llegados a Meta]]/Tabla96[[#This Row],[Total Inscritos]])</f>
        <v/>
      </c>
      <c r="F21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10" s="43">
        <f ca="1">NOW()-'LOS TIEMPOS'!$K$2</f>
        <v>42368.075526157409</v>
      </c>
    </row>
    <row r="211" spans="1:8" x14ac:dyDescent="0.2">
      <c r="A211" s="13" t="str">
        <f>IF(ROW()-5&lt;=COUNTA(TablaEquipos[Compite]),ROW()-7,"")</f>
        <v/>
      </c>
      <c r="B211" s="10" t="str">
        <f>IF(Tabla96[[#This Row],[Id]]="","",VLOOKUP(Tabla96[[#This Row],[Id]]+1,TablaEquipos[],3,FALSE))</f>
        <v/>
      </c>
      <c r="C211" s="45" t="str">
        <f>IF(Tabla96[[#This Row],[Id]]="","",VLOOKUP(Tabla96[[#This Row],[Id]]+1,TablaEquipos[],4,FALSE))</f>
        <v/>
      </c>
      <c r="D211" s="13" t="str">
        <f>IF(Tabla96[[#This Row],[Id]]="","",COUNTIF(TablaTiempos[Club],Tabla96[[#This Row],[Pos]]))</f>
        <v/>
      </c>
      <c r="E211" s="47" t="str">
        <f>IF(Tabla96[[#This Row],[Id]]="","",Tabla96[[#This Row],[Total Llegados a Meta]]/Tabla96[[#This Row],[Total Inscritos]])</f>
        <v/>
      </c>
      <c r="F21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11" s="43">
        <f ca="1">NOW()-'LOS TIEMPOS'!$K$2</f>
        <v>42368.075526157409</v>
      </c>
    </row>
    <row r="212" spans="1:8" x14ac:dyDescent="0.2">
      <c r="A212" s="13" t="str">
        <f>IF(ROW()-5&lt;=COUNTA(TablaEquipos[Compite]),ROW()-7,"")</f>
        <v/>
      </c>
      <c r="B212" s="10" t="str">
        <f>IF(Tabla96[[#This Row],[Id]]="","",VLOOKUP(Tabla96[[#This Row],[Id]]+1,TablaEquipos[],3,FALSE))</f>
        <v/>
      </c>
      <c r="C212" s="45" t="str">
        <f>IF(Tabla96[[#This Row],[Id]]="","",VLOOKUP(Tabla96[[#This Row],[Id]]+1,TablaEquipos[],4,FALSE))</f>
        <v/>
      </c>
      <c r="D212" s="13" t="str">
        <f>IF(Tabla96[[#This Row],[Id]]="","",COUNTIF(TablaTiempos[Club],Tabla96[[#This Row],[Pos]]))</f>
        <v/>
      </c>
      <c r="E212" s="47" t="str">
        <f>IF(Tabla96[[#This Row],[Id]]="","",Tabla96[[#This Row],[Total Llegados a Meta]]/Tabla96[[#This Row],[Total Inscritos]])</f>
        <v/>
      </c>
      <c r="F21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12" s="43">
        <f ca="1">NOW()-'LOS TIEMPOS'!$K$2</f>
        <v>42368.075526157409</v>
      </c>
    </row>
    <row r="213" spans="1:8" x14ac:dyDescent="0.2">
      <c r="A213" s="13" t="str">
        <f>IF(ROW()-5&lt;=COUNTA(TablaEquipos[Compite]),ROW()-7,"")</f>
        <v/>
      </c>
      <c r="B213" s="10" t="str">
        <f>IF(Tabla96[[#This Row],[Id]]="","",VLOOKUP(Tabla96[[#This Row],[Id]]+1,TablaEquipos[],3,FALSE))</f>
        <v/>
      </c>
      <c r="C213" s="45" t="str">
        <f>IF(Tabla96[[#This Row],[Id]]="","",VLOOKUP(Tabla96[[#This Row],[Id]]+1,TablaEquipos[],4,FALSE))</f>
        <v/>
      </c>
      <c r="D213" s="13" t="str">
        <f>IF(Tabla96[[#This Row],[Id]]="","",COUNTIF(TablaTiempos[Club],Tabla96[[#This Row],[Pos]]))</f>
        <v/>
      </c>
      <c r="E213" s="47" t="str">
        <f>IF(Tabla96[[#This Row],[Id]]="","",Tabla96[[#This Row],[Total Llegados a Meta]]/Tabla96[[#This Row],[Total Inscritos]])</f>
        <v/>
      </c>
      <c r="F21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13" s="43">
        <f ca="1">NOW()-'LOS TIEMPOS'!$K$2</f>
        <v>42368.075526157409</v>
      </c>
    </row>
    <row r="214" spans="1:8" x14ac:dyDescent="0.2">
      <c r="A214" s="13" t="str">
        <f>IF(ROW()-5&lt;=COUNTA(TablaEquipos[Compite]),ROW()-7,"")</f>
        <v/>
      </c>
      <c r="B214" s="10" t="str">
        <f>IF(Tabla96[[#This Row],[Id]]="","",VLOOKUP(Tabla96[[#This Row],[Id]]+1,TablaEquipos[],3,FALSE))</f>
        <v/>
      </c>
      <c r="C214" s="45" t="str">
        <f>IF(Tabla96[[#This Row],[Id]]="","",VLOOKUP(Tabla96[[#This Row],[Id]]+1,TablaEquipos[],4,FALSE))</f>
        <v/>
      </c>
      <c r="D214" s="13" t="str">
        <f>IF(Tabla96[[#This Row],[Id]]="","",COUNTIF(TablaTiempos[Club],Tabla96[[#This Row],[Pos]]))</f>
        <v/>
      </c>
      <c r="E214" s="47" t="str">
        <f>IF(Tabla96[[#This Row],[Id]]="","",Tabla96[[#This Row],[Total Llegados a Meta]]/Tabla96[[#This Row],[Total Inscritos]])</f>
        <v/>
      </c>
      <c r="F21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14" s="43">
        <f ca="1">NOW()-'LOS TIEMPOS'!$K$2</f>
        <v>42368.075526157409</v>
      </c>
    </row>
    <row r="215" spans="1:8" x14ac:dyDescent="0.2">
      <c r="A215" s="13" t="str">
        <f>IF(ROW()-5&lt;=COUNTA(TablaEquipos[Compite]),ROW()-7,"")</f>
        <v/>
      </c>
      <c r="B215" s="10" t="str">
        <f>IF(Tabla96[[#This Row],[Id]]="","",VLOOKUP(Tabla96[[#This Row],[Id]]+1,TablaEquipos[],3,FALSE))</f>
        <v/>
      </c>
      <c r="C215" s="45" t="str">
        <f>IF(Tabla96[[#This Row],[Id]]="","",VLOOKUP(Tabla96[[#This Row],[Id]]+1,TablaEquipos[],4,FALSE))</f>
        <v/>
      </c>
      <c r="D215" s="13" t="str">
        <f>IF(Tabla96[[#This Row],[Id]]="","",COUNTIF(TablaTiempos[Club],Tabla96[[#This Row],[Pos]]))</f>
        <v/>
      </c>
      <c r="E215" s="47" t="str">
        <f>IF(Tabla96[[#This Row],[Id]]="","",Tabla96[[#This Row],[Total Llegados a Meta]]/Tabla96[[#This Row],[Total Inscritos]])</f>
        <v/>
      </c>
      <c r="F21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15" s="43">
        <f ca="1">NOW()-'LOS TIEMPOS'!$K$2</f>
        <v>42368.075526157409</v>
      </c>
    </row>
    <row r="216" spans="1:8" x14ac:dyDescent="0.2">
      <c r="A216" s="13" t="str">
        <f>IF(ROW()-5&lt;=COUNTA(TablaEquipos[Compite]),ROW()-7,"")</f>
        <v/>
      </c>
      <c r="B216" s="10" t="str">
        <f>IF(Tabla96[[#This Row],[Id]]="","",VLOOKUP(Tabla96[[#This Row],[Id]]+1,TablaEquipos[],3,FALSE))</f>
        <v/>
      </c>
      <c r="C216" s="45" t="str">
        <f>IF(Tabla96[[#This Row],[Id]]="","",VLOOKUP(Tabla96[[#This Row],[Id]]+1,TablaEquipos[],4,FALSE))</f>
        <v/>
      </c>
      <c r="D216" s="13" t="str">
        <f>IF(Tabla96[[#This Row],[Id]]="","",COUNTIF(TablaTiempos[Club],Tabla96[[#This Row],[Pos]]))</f>
        <v/>
      </c>
      <c r="E216" s="47" t="str">
        <f>IF(Tabla96[[#This Row],[Id]]="","",Tabla96[[#This Row],[Total Llegados a Meta]]/Tabla96[[#This Row],[Total Inscritos]])</f>
        <v/>
      </c>
      <c r="F21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16" s="43">
        <f ca="1">NOW()-'LOS TIEMPOS'!$K$2</f>
        <v>42368.075526157409</v>
      </c>
    </row>
    <row r="217" spans="1:8" x14ac:dyDescent="0.2">
      <c r="A217" s="13" t="str">
        <f>IF(ROW()-5&lt;=COUNTA(TablaEquipos[Compite]),ROW()-7,"")</f>
        <v/>
      </c>
      <c r="B217" s="10" t="str">
        <f>IF(Tabla96[[#This Row],[Id]]="","",VLOOKUP(Tabla96[[#This Row],[Id]]+1,TablaEquipos[],3,FALSE))</f>
        <v/>
      </c>
      <c r="C217" s="45" t="str">
        <f>IF(Tabla96[[#This Row],[Id]]="","",VLOOKUP(Tabla96[[#This Row],[Id]]+1,TablaEquipos[],4,FALSE))</f>
        <v/>
      </c>
      <c r="D217" s="13" t="str">
        <f>IF(Tabla96[[#This Row],[Id]]="","",COUNTIF(TablaTiempos[Club],Tabla96[[#This Row],[Pos]]))</f>
        <v/>
      </c>
      <c r="E217" s="47" t="str">
        <f>IF(Tabla96[[#This Row],[Id]]="","",Tabla96[[#This Row],[Total Llegados a Meta]]/Tabla96[[#This Row],[Total Inscritos]])</f>
        <v/>
      </c>
      <c r="F21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17" s="43">
        <f ca="1">NOW()-'LOS TIEMPOS'!$K$2</f>
        <v>42368.075526157409</v>
      </c>
    </row>
    <row r="218" spans="1:8" x14ac:dyDescent="0.2">
      <c r="A218" s="13" t="str">
        <f>IF(ROW()-5&lt;=COUNTA(TablaEquipos[Compite]),ROW()-7,"")</f>
        <v/>
      </c>
      <c r="B218" s="10" t="str">
        <f>IF(Tabla96[[#This Row],[Id]]="","",VLOOKUP(Tabla96[[#This Row],[Id]]+1,TablaEquipos[],3,FALSE))</f>
        <v/>
      </c>
      <c r="C218" s="45" t="str">
        <f>IF(Tabla96[[#This Row],[Id]]="","",VLOOKUP(Tabla96[[#This Row],[Id]]+1,TablaEquipos[],4,FALSE))</f>
        <v/>
      </c>
      <c r="D218" s="13" t="str">
        <f>IF(Tabla96[[#This Row],[Id]]="","",COUNTIF(TablaTiempos[Club],Tabla96[[#This Row],[Pos]]))</f>
        <v/>
      </c>
      <c r="E218" s="47" t="str">
        <f>IF(Tabla96[[#This Row],[Id]]="","",Tabla96[[#This Row],[Total Llegados a Meta]]/Tabla96[[#This Row],[Total Inscritos]])</f>
        <v/>
      </c>
      <c r="F21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18" s="43">
        <f ca="1">NOW()-'LOS TIEMPOS'!$K$2</f>
        <v>42368.075526157409</v>
      </c>
    </row>
    <row r="219" spans="1:8" x14ac:dyDescent="0.2">
      <c r="A219" s="13" t="str">
        <f>IF(ROW()-5&lt;=COUNTA(TablaEquipos[Compite]),ROW()-7,"")</f>
        <v/>
      </c>
      <c r="B219" s="10" t="str">
        <f>IF(Tabla96[[#This Row],[Id]]="","",VLOOKUP(Tabla96[[#This Row],[Id]]+1,TablaEquipos[],3,FALSE))</f>
        <v/>
      </c>
      <c r="C219" s="45" t="str">
        <f>IF(Tabla96[[#This Row],[Id]]="","",VLOOKUP(Tabla96[[#This Row],[Id]]+1,TablaEquipos[],4,FALSE))</f>
        <v/>
      </c>
      <c r="D219" s="13" t="str">
        <f>IF(Tabla96[[#This Row],[Id]]="","",COUNTIF(TablaTiempos[Club],Tabla96[[#This Row],[Pos]]))</f>
        <v/>
      </c>
      <c r="E219" s="47" t="str">
        <f>IF(Tabla96[[#This Row],[Id]]="","",Tabla96[[#This Row],[Total Llegados a Meta]]/Tabla96[[#This Row],[Total Inscritos]])</f>
        <v/>
      </c>
      <c r="F21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19" s="43">
        <f ca="1">NOW()-'LOS TIEMPOS'!$K$2</f>
        <v>42368.075526157409</v>
      </c>
    </row>
    <row r="220" spans="1:8" x14ac:dyDescent="0.2">
      <c r="A220" s="13" t="str">
        <f>IF(ROW()-5&lt;=COUNTA(TablaEquipos[Compite]),ROW()-7,"")</f>
        <v/>
      </c>
      <c r="B220" s="10" t="str">
        <f>IF(Tabla96[[#This Row],[Id]]="","",VLOOKUP(Tabla96[[#This Row],[Id]]+1,TablaEquipos[],3,FALSE))</f>
        <v/>
      </c>
      <c r="C220" s="45" t="str">
        <f>IF(Tabla96[[#This Row],[Id]]="","",VLOOKUP(Tabla96[[#This Row],[Id]]+1,TablaEquipos[],4,FALSE))</f>
        <v/>
      </c>
      <c r="D220" s="13" t="str">
        <f>IF(Tabla96[[#This Row],[Id]]="","",COUNTIF(TablaTiempos[Club],Tabla96[[#This Row],[Pos]]))</f>
        <v/>
      </c>
      <c r="E220" s="47" t="str">
        <f>IF(Tabla96[[#This Row],[Id]]="","",Tabla96[[#This Row],[Total Llegados a Meta]]/Tabla96[[#This Row],[Total Inscritos]])</f>
        <v/>
      </c>
      <c r="F22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20" s="43">
        <f ca="1">NOW()-'LOS TIEMPOS'!$K$2</f>
        <v>42368.075526157409</v>
      </c>
    </row>
    <row r="221" spans="1:8" x14ac:dyDescent="0.2">
      <c r="A221" s="13" t="str">
        <f>IF(ROW()-5&lt;=COUNTA(TablaEquipos[Compite]),ROW()-7,"")</f>
        <v/>
      </c>
      <c r="B221" s="10" t="str">
        <f>IF(Tabla96[[#This Row],[Id]]="","",VLOOKUP(Tabla96[[#This Row],[Id]]+1,TablaEquipos[],3,FALSE))</f>
        <v/>
      </c>
      <c r="C221" s="45" t="str">
        <f>IF(Tabla96[[#This Row],[Id]]="","",VLOOKUP(Tabla96[[#This Row],[Id]]+1,TablaEquipos[],4,FALSE))</f>
        <v/>
      </c>
      <c r="D221" s="13" t="str">
        <f>IF(Tabla96[[#This Row],[Id]]="","",COUNTIF(TablaTiempos[Club],Tabla96[[#This Row],[Pos]]))</f>
        <v/>
      </c>
      <c r="E221" s="47" t="str">
        <f>IF(Tabla96[[#This Row],[Id]]="","",Tabla96[[#This Row],[Total Llegados a Meta]]/Tabla96[[#This Row],[Total Inscritos]])</f>
        <v/>
      </c>
      <c r="F22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21" s="43">
        <f ca="1">NOW()-'LOS TIEMPOS'!$K$2</f>
        <v>42368.075526157409</v>
      </c>
    </row>
    <row r="222" spans="1:8" x14ac:dyDescent="0.2">
      <c r="A222" s="13" t="str">
        <f>IF(ROW()-5&lt;=COUNTA(TablaEquipos[Compite]),ROW()-7,"")</f>
        <v/>
      </c>
      <c r="B222" s="10" t="str">
        <f>IF(Tabla96[[#This Row],[Id]]="","",VLOOKUP(Tabla96[[#This Row],[Id]]+1,TablaEquipos[],3,FALSE))</f>
        <v/>
      </c>
      <c r="C222" s="45" t="str">
        <f>IF(Tabla96[[#This Row],[Id]]="","",VLOOKUP(Tabla96[[#This Row],[Id]]+1,TablaEquipos[],4,FALSE))</f>
        <v/>
      </c>
      <c r="D222" s="13" t="str">
        <f>IF(Tabla96[[#This Row],[Id]]="","",COUNTIF(TablaTiempos[Club],Tabla96[[#This Row],[Pos]]))</f>
        <v/>
      </c>
      <c r="E222" s="47" t="str">
        <f>IF(Tabla96[[#This Row],[Id]]="","",Tabla96[[#This Row],[Total Llegados a Meta]]/Tabla96[[#This Row],[Total Inscritos]])</f>
        <v/>
      </c>
      <c r="F22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22" s="43">
        <f ca="1">NOW()-'LOS TIEMPOS'!$K$2</f>
        <v>42368.075526157409</v>
      </c>
    </row>
    <row r="223" spans="1:8" x14ac:dyDescent="0.2">
      <c r="A223" s="13" t="str">
        <f>IF(ROW()-5&lt;=COUNTA(TablaEquipos[Compite]),ROW()-7,"")</f>
        <v/>
      </c>
      <c r="B223" s="10" t="str">
        <f>IF(Tabla96[[#This Row],[Id]]="","",VLOOKUP(Tabla96[[#This Row],[Id]]+1,TablaEquipos[],3,FALSE))</f>
        <v/>
      </c>
      <c r="C223" s="45" t="str">
        <f>IF(Tabla96[[#This Row],[Id]]="","",VLOOKUP(Tabla96[[#This Row],[Id]]+1,TablaEquipos[],4,FALSE))</f>
        <v/>
      </c>
      <c r="D223" s="13" t="str">
        <f>IF(Tabla96[[#This Row],[Id]]="","",COUNTIF(TablaTiempos[Club],Tabla96[[#This Row],[Pos]]))</f>
        <v/>
      </c>
      <c r="E223" s="47" t="str">
        <f>IF(Tabla96[[#This Row],[Id]]="","",Tabla96[[#This Row],[Total Llegados a Meta]]/Tabla96[[#This Row],[Total Inscritos]])</f>
        <v/>
      </c>
      <c r="F22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23" s="43">
        <f ca="1">NOW()-'LOS TIEMPOS'!$K$2</f>
        <v>42368.075526157409</v>
      </c>
    </row>
    <row r="224" spans="1:8" x14ac:dyDescent="0.2">
      <c r="A224" s="13" t="str">
        <f>IF(ROW()-5&lt;=COUNTA(TablaEquipos[Compite]),ROW()-7,"")</f>
        <v/>
      </c>
      <c r="B224" s="10" t="str">
        <f>IF(Tabla96[[#This Row],[Id]]="","",VLOOKUP(Tabla96[[#This Row],[Id]]+1,TablaEquipos[],3,FALSE))</f>
        <v/>
      </c>
      <c r="C224" s="45" t="str">
        <f>IF(Tabla96[[#This Row],[Id]]="","",VLOOKUP(Tabla96[[#This Row],[Id]]+1,TablaEquipos[],4,FALSE))</f>
        <v/>
      </c>
      <c r="D224" s="13" t="str">
        <f>IF(Tabla96[[#This Row],[Id]]="","",COUNTIF(TablaTiempos[Club],Tabla96[[#This Row],[Pos]]))</f>
        <v/>
      </c>
      <c r="E224" s="47" t="str">
        <f>IF(Tabla96[[#This Row],[Id]]="","",Tabla96[[#This Row],[Total Llegados a Meta]]/Tabla96[[#This Row],[Total Inscritos]])</f>
        <v/>
      </c>
      <c r="F22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24" s="43">
        <f ca="1">NOW()-'LOS TIEMPOS'!$K$2</f>
        <v>42368.075526157409</v>
      </c>
    </row>
    <row r="225" spans="1:8" x14ac:dyDescent="0.2">
      <c r="A225" s="13" t="str">
        <f>IF(ROW()-5&lt;=COUNTA(TablaEquipos[Compite]),ROW()-7,"")</f>
        <v/>
      </c>
      <c r="B225" s="10" t="str">
        <f>IF(Tabla96[[#This Row],[Id]]="","",VLOOKUP(Tabla96[[#This Row],[Id]]+1,TablaEquipos[],3,FALSE))</f>
        <v/>
      </c>
      <c r="C225" s="45" t="str">
        <f>IF(Tabla96[[#This Row],[Id]]="","",VLOOKUP(Tabla96[[#This Row],[Id]]+1,TablaEquipos[],4,FALSE))</f>
        <v/>
      </c>
      <c r="D225" s="13" t="str">
        <f>IF(Tabla96[[#This Row],[Id]]="","",COUNTIF(TablaTiempos[Club],Tabla96[[#This Row],[Pos]]))</f>
        <v/>
      </c>
      <c r="E225" s="47" t="str">
        <f>IF(Tabla96[[#This Row],[Id]]="","",Tabla96[[#This Row],[Total Llegados a Meta]]/Tabla96[[#This Row],[Total Inscritos]])</f>
        <v/>
      </c>
      <c r="F22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25" s="43">
        <f ca="1">NOW()-'LOS TIEMPOS'!$K$2</f>
        <v>42368.075526157409</v>
      </c>
    </row>
    <row r="226" spans="1:8" x14ac:dyDescent="0.2">
      <c r="A226" s="13" t="str">
        <f>IF(ROW()-5&lt;=COUNTA(TablaEquipos[Compite]),ROW()-7,"")</f>
        <v/>
      </c>
      <c r="B226" s="10" t="str">
        <f>IF(Tabla96[[#This Row],[Id]]="","",VLOOKUP(Tabla96[[#This Row],[Id]]+1,TablaEquipos[],3,FALSE))</f>
        <v/>
      </c>
      <c r="C226" s="45" t="str">
        <f>IF(Tabla96[[#This Row],[Id]]="","",VLOOKUP(Tabla96[[#This Row],[Id]]+1,TablaEquipos[],4,FALSE))</f>
        <v/>
      </c>
      <c r="D226" s="13" t="str">
        <f>IF(Tabla96[[#This Row],[Id]]="","",COUNTIF(TablaTiempos[Club],Tabla96[[#This Row],[Pos]]))</f>
        <v/>
      </c>
      <c r="E226" s="47" t="str">
        <f>IF(Tabla96[[#This Row],[Id]]="","",Tabla96[[#This Row],[Total Llegados a Meta]]/Tabla96[[#This Row],[Total Inscritos]])</f>
        <v/>
      </c>
      <c r="F22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26" s="43">
        <f ca="1">NOW()-'LOS TIEMPOS'!$K$2</f>
        <v>42368.075526157409</v>
      </c>
    </row>
    <row r="227" spans="1:8" x14ac:dyDescent="0.2">
      <c r="A227" s="13" t="str">
        <f>IF(ROW()-5&lt;=COUNTA(TablaEquipos[Compite]),ROW()-7,"")</f>
        <v/>
      </c>
      <c r="B227" s="10" t="str">
        <f>IF(Tabla96[[#This Row],[Id]]="","",VLOOKUP(Tabla96[[#This Row],[Id]]+1,TablaEquipos[],3,FALSE))</f>
        <v/>
      </c>
      <c r="C227" s="45" t="str">
        <f>IF(Tabla96[[#This Row],[Id]]="","",VLOOKUP(Tabla96[[#This Row],[Id]]+1,TablaEquipos[],4,FALSE))</f>
        <v/>
      </c>
      <c r="D227" s="13" t="str">
        <f>IF(Tabla96[[#This Row],[Id]]="","",COUNTIF(TablaTiempos[Club],Tabla96[[#This Row],[Pos]]))</f>
        <v/>
      </c>
      <c r="E227" s="47" t="str">
        <f>IF(Tabla96[[#This Row],[Id]]="","",Tabla96[[#This Row],[Total Llegados a Meta]]/Tabla96[[#This Row],[Total Inscritos]])</f>
        <v/>
      </c>
      <c r="F22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27" s="43">
        <f ca="1">NOW()-'LOS TIEMPOS'!$K$2</f>
        <v>42368.075526157409</v>
      </c>
    </row>
    <row r="228" spans="1:8" x14ac:dyDescent="0.2">
      <c r="A228" s="13" t="str">
        <f>IF(ROW()-5&lt;=COUNTA(TablaEquipos[Compite]),ROW()-7,"")</f>
        <v/>
      </c>
      <c r="B228" s="10" t="str">
        <f>IF(Tabla96[[#This Row],[Id]]="","",VLOOKUP(Tabla96[[#This Row],[Id]]+1,TablaEquipos[],3,FALSE))</f>
        <v/>
      </c>
      <c r="C228" s="45" t="str">
        <f>IF(Tabla96[[#This Row],[Id]]="","",VLOOKUP(Tabla96[[#This Row],[Id]]+1,TablaEquipos[],4,FALSE))</f>
        <v/>
      </c>
      <c r="D228" s="13" t="str">
        <f>IF(Tabla96[[#This Row],[Id]]="","",COUNTIF(TablaTiempos[Club],Tabla96[[#This Row],[Pos]]))</f>
        <v/>
      </c>
      <c r="E228" s="47" t="str">
        <f>IF(Tabla96[[#This Row],[Id]]="","",Tabla96[[#This Row],[Total Llegados a Meta]]/Tabla96[[#This Row],[Total Inscritos]])</f>
        <v/>
      </c>
      <c r="F22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28" s="43">
        <f ca="1">NOW()-'LOS TIEMPOS'!$K$2</f>
        <v>42368.075526157409</v>
      </c>
    </row>
    <row r="229" spans="1:8" x14ac:dyDescent="0.2">
      <c r="A229" s="13" t="str">
        <f>IF(ROW()-5&lt;=COUNTA(TablaEquipos[Compite]),ROW()-7,"")</f>
        <v/>
      </c>
      <c r="B229" s="10" t="str">
        <f>IF(Tabla96[[#This Row],[Id]]="","",VLOOKUP(Tabla96[[#This Row],[Id]]+1,TablaEquipos[],3,FALSE))</f>
        <v/>
      </c>
      <c r="C229" s="45" t="str">
        <f>IF(Tabla96[[#This Row],[Id]]="","",VLOOKUP(Tabla96[[#This Row],[Id]]+1,TablaEquipos[],4,FALSE))</f>
        <v/>
      </c>
      <c r="D229" s="13" t="str">
        <f>IF(Tabla96[[#This Row],[Id]]="","",COUNTIF(TablaTiempos[Club],Tabla96[[#This Row],[Pos]]))</f>
        <v/>
      </c>
      <c r="E229" s="47" t="str">
        <f>IF(Tabla96[[#This Row],[Id]]="","",Tabla96[[#This Row],[Total Llegados a Meta]]/Tabla96[[#This Row],[Total Inscritos]])</f>
        <v/>
      </c>
      <c r="F22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29" s="43">
        <f ca="1">NOW()-'LOS TIEMPOS'!$K$2</f>
        <v>42368.075526157409</v>
      </c>
    </row>
    <row r="230" spans="1:8" x14ac:dyDescent="0.2">
      <c r="A230" s="13" t="str">
        <f>IF(ROW()-5&lt;=COUNTA(TablaEquipos[Compite]),ROW()-7,"")</f>
        <v/>
      </c>
      <c r="B230" s="10" t="str">
        <f>IF(Tabla96[[#This Row],[Id]]="","",VLOOKUP(Tabla96[[#This Row],[Id]]+1,TablaEquipos[],3,FALSE))</f>
        <v/>
      </c>
      <c r="C230" s="45" t="str">
        <f>IF(Tabla96[[#This Row],[Id]]="","",VLOOKUP(Tabla96[[#This Row],[Id]]+1,TablaEquipos[],4,FALSE))</f>
        <v/>
      </c>
      <c r="D230" s="13" t="str">
        <f>IF(Tabla96[[#This Row],[Id]]="","",COUNTIF(TablaTiempos[Club],Tabla96[[#This Row],[Pos]]))</f>
        <v/>
      </c>
      <c r="E230" s="47" t="str">
        <f>IF(Tabla96[[#This Row],[Id]]="","",Tabla96[[#This Row],[Total Llegados a Meta]]/Tabla96[[#This Row],[Total Inscritos]])</f>
        <v/>
      </c>
      <c r="F23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30" s="43">
        <f ca="1">NOW()-'LOS TIEMPOS'!$K$2</f>
        <v>42368.075526157409</v>
      </c>
    </row>
    <row r="231" spans="1:8" x14ac:dyDescent="0.2">
      <c r="A231" s="13" t="str">
        <f>IF(ROW()-5&lt;=COUNTA(TablaEquipos[Compite]),ROW()-7,"")</f>
        <v/>
      </c>
      <c r="B231" s="10" t="str">
        <f>IF(Tabla96[[#This Row],[Id]]="","",VLOOKUP(Tabla96[[#This Row],[Id]]+1,TablaEquipos[],3,FALSE))</f>
        <v/>
      </c>
      <c r="C231" s="45" t="str">
        <f>IF(Tabla96[[#This Row],[Id]]="","",VLOOKUP(Tabla96[[#This Row],[Id]]+1,TablaEquipos[],4,FALSE))</f>
        <v/>
      </c>
      <c r="D231" s="13" t="str">
        <f>IF(Tabla96[[#This Row],[Id]]="","",COUNTIF(TablaTiempos[Club],Tabla96[[#This Row],[Pos]]))</f>
        <v/>
      </c>
      <c r="E231" s="47" t="str">
        <f>IF(Tabla96[[#This Row],[Id]]="","",Tabla96[[#This Row],[Total Llegados a Meta]]/Tabla96[[#This Row],[Total Inscritos]])</f>
        <v/>
      </c>
      <c r="F23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31" s="43">
        <f ca="1">NOW()-'LOS TIEMPOS'!$K$2</f>
        <v>42368.075526157409</v>
      </c>
    </row>
    <row r="232" spans="1:8" x14ac:dyDescent="0.2">
      <c r="A232" s="13" t="str">
        <f>IF(ROW()-5&lt;=COUNTA(TablaEquipos[Compite]),ROW()-7,"")</f>
        <v/>
      </c>
      <c r="B232" s="10" t="str">
        <f>IF(Tabla96[[#This Row],[Id]]="","",VLOOKUP(Tabla96[[#This Row],[Id]]+1,TablaEquipos[],3,FALSE))</f>
        <v/>
      </c>
      <c r="C232" s="45" t="str">
        <f>IF(Tabla96[[#This Row],[Id]]="","",VLOOKUP(Tabla96[[#This Row],[Id]]+1,TablaEquipos[],4,FALSE))</f>
        <v/>
      </c>
      <c r="D232" s="13" t="str">
        <f>IF(Tabla96[[#This Row],[Id]]="","",COUNTIF(TablaTiempos[Club],Tabla96[[#This Row],[Pos]]))</f>
        <v/>
      </c>
      <c r="E232" s="47" t="str">
        <f>IF(Tabla96[[#This Row],[Id]]="","",Tabla96[[#This Row],[Total Llegados a Meta]]/Tabla96[[#This Row],[Total Inscritos]])</f>
        <v/>
      </c>
      <c r="F23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32" s="43">
        <f ca="1">NOW()-'LOS TIEMPOS'!$K$2</f>
        <v>42368.075526157409</v>
      </c>
    </row>
    <row r="233" spans="1:8" x14ac:dyDescent="0.2">
      <c r="A233" s="13" t="str">
        <f>IF(ROW()-5&lt;=COUNTA(TablaEquipos[Compite]),ROW()-7,"")</f>
        <v/>
      </c>
      <c r="B233" s="10" t="str">
        <f>IF(Tabla96[[#This Row],[Id]]="","",VLOOKUP(Tabla96[[#This Row],[Id]]+1,TablaEquipos[],3,FALSE))</f>
        <v/>
      </c>
      <c r="C233" s="45" t="str">
        <f>IF(Tabla96[[#This Row],[Id]]="","",VLOOKUP(Tabla96[[#This Row],[Id]]+1,TablaEquipos[],4,FALSE))</f>
        <v/>
      </c>
      <c r="D233" s="13" t="str">
        <f>IF(Tabla96[[#This Row],[Id]]="","",COUNTIF(TablaTiempos[Club],Tabla96[[#This Row],[Pos]]))</f>
        <v/>
      </c>
      <c r="E233" s="47" t="str">
        <f>IF(Tabla96[[#This Row],[Id]]="","",Tabla96[[#This Row],[Total Llegados a Meta]]/Tabla96[[#This Row],[Total Inscritos]])</f>
        <v/>
      </c>
      <c r="F23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33" s="43">
        <f ca="1">NOW()-'LOS TIEMPOS'!$K$2</f>
        <v>42368.075526157409</v>
      </c>
    </row>
    <row r="234" spans="1:8" x14ac:dyDescent="0.2">
      <c r="A234" s="13" t="str">
        <f>IF(ROW()-5&lt;=COUNTA(TablaEquipos[Compite]),ROW()-7,"")</f>
        <v/>
      </c>
      <c r="B234" s="10" t="str">
        <f>IF(Tabla96[[#This Row],[Id]]="","",VLOOKUP(Tabla96[[#This Row],[Id]]+1,TablaEquipos[],3,FALSE))</f>
        <v/>
      </c>
      <c r="C234" s="45" t="str">
        <f>IF(Tabla96[[#This Row],[Id]]="","",VLOOKUP(Tabla96[[#This Row],[Id]]+1,TablaEquipos[],4,FALSE))</f>
        <v/>
      </c>
      <c r="D234" s="13" t="str">
        <f>IF(Tabla96[[#This Row],[Id]]="","",COUNTIF(TablaTiempos[Club],Tabla96[[#This Row],[Pos]]))</f>
        <v/>
      </c>
      <c r="E234" s="47" t="str">
        <f>IF(Tabla96[[#This Row],[Id]]="","",Tabla96[[#This Row],[Total Llegados a Meta]]/Tabla96[[#This Row],[Total Inscritos]])</f>
        <v/>
      </c>
      <c r="F23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34" s="43">
        <f ca="1">NOW()-'LOS TIEMPOS'!$K$2</f>
        <v>42368.075526157409</v>
      </c>
    </row>
    <row r="235" spans="1:8" x14ac:dyDescent="0.2">
      <c r="A235" s="13" t="str">
        <f>IF(ROW()-5&lt;=COUNTA(TablaEquipos[Compite]),ROW()-7,"")</f>
        <v/>
      </c>
      <c r="B235" s="10" t="str">
        <f>IF(Tabla96[[#This Row],[Id]]="","",VLOOKUP(Tabla96[[#This Row],[Id]]+1,TablaEquipos[],3,FALSE))</f>
        <v/>
      </c>
      <c r="C235" s="45" t="str">
        <f>IF(Tabla96[[#This Row],[Id]]="","",VLOOKUP(Tabla96[[#This Row],[Id]]+1,TablaEquipos[],4,FALSE))</f>
        <v/>
      </c>
      <c r="D235" s="13" t="str">
        <f>IF(Tabla96[[#This Row],[Id]]="","",COUNTIF(TablaTiempos[Club],Tabla96[[#This Row],[Pos]]))</f>
        <v/>
      </c>
      <c r="E235" s="47" t="str">
        <f>IF(Tabla96[[#This Row],[Id]]="","",Tabla96[[#This Row],[Total Llegados a Meta]]/Tabla96[[#This Row],[Total Inscritos]])</f>
        <v/>
      </c>
      <c r="F23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35" s="43">
        <f ca="1">NOW()-'LOS TIEMPOS'!$K$2</f>
        <v>42368.075526157409</v>
      </c>
    </row>
    <row r="236" spans="1:8" x14ac:dyDescent="0.2">
      <c r="A236" s="13" t="str">
        <f>IF(ROW()-5&lt;=COUNTA(TablaEquipos[Compite]),ROW()-7,"")</f>
        <v/>
      </c>
      <c r="B236" s="10" t="str">
        <f>IF(Tabla96[[#This Row],[Id]]="","",VLOOKUP(Tabla96[[#This Row],[Id]]+1,TablaEquipos[],3,FALSE))</f>
        <v/>
      </c>
      <c r="C236" s="45" t="str">
        <f>IF(Tabla96[[#This Row],[Id]]="","",VLOOKUP(Tabla96[[#This Row],[Id]]+1,TablaEquipos[],4,FALSE))</f>
        <v/>
      </c>
      <c r="D236" s="13" t="str">
        <f>IF(Tabla96[[#This Row],[Id]]="","",COUNTIF(TablaTiempos[Club],Tabla96[[#This Row],[Pos]]))</f>
        <v/>
      </c>
      <c r="E236" s="47" t="str">
        <f>IF(Tabla96[[#This Row],[Id]]="","",Tabla96[[#This Row],[Total Llegados a Meta]]/Tabla96[[#This Row],[Total Inscritos]])</f>
        <v/>
      </c>
      <c r="F23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36" s="43">
        <f ca="1">NOW()-'LOS TIEMPOS'!$K$2</f>
        <v>42368.075526157409</v>
      </c>
    </row>
    <row r="237" spans="1:8" x14ac:dyDescent="0.2">
      <c r="A237" s="13" t="str">
        <f>IF(ROW()-5&lt;=COUNTA(TablaEquipos[Compite]),ROW()-7,"")</f>
        <v/>
      </c>
      <c r="B237" s="10" t="str">
        <f>IF(Tabla96[[#This Row],[Id]]="","",VLOOKUP(Tabla96[[#This Row],[Id]]+1,TablaEquipos[],3,FALSE))</f>
        <v/>
      </c>
      <c r="C237" s="45" t="str">
        <f>IF(Tabla96[[#This Row],[Id]]="","",VLOOKUP(Tabla96[[#This Row],[Id]]+1,TablaEquipos[],4,FALSE))</f>
        <v/>
      </c>
      <c r="D237" s="13" t="str">
        <f>IF(Tabla96[[#This Row],[Id]]="","",COUNTIF(TablaTiempos[Club],Tabla96[[#This Row],[Pos]]))</f>
        <v/>
      </c>
      <c r="E237" s="47" t="str">
        <f>IF(Tabla96[[#This Row],[Id]]="","",Tabla96[[#This Row],[Total Llegados a Meta]]/Tabla96[[#This Row],[Total Inscritos]])</f>
        <v/>
      </c>
      <c r="F23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37" s="43">
        <f ca="1">NOW()-'LOS TIEMPOS'!$K$2</f>
        <v>42368.075526157409</v>
      </c>
    </row>
    <row r="238" spans="1:8" x14ac:dyDescent="0.2">
      <c r="A238" s="13" t="str">
        <f>IF(ROW()-5&lt;=COUNTA(TablaEquipos[Compite]),ROW()-7,"")</f>
        <v/>
      </c>
      <c r="B238" s="10" t="str">
        <f>IF(Tabla96[[#This Row],[Id]]="","",VLOOKUP(Tabla96[[#This Row],[Id]]+1,TablaEquipos[],3,FALSE))</f>
        <v/>
      </c>
      <c r="C238" s="45" t="str">
        <f>IF(Tabla96[[#This Row],[Id]]="","",VLOOKUP(Tabla96[[#This Row],[Id]]+1,TablaEquipos[],4,FALSE))</f>
        <v/>
      </c>
      <c r="D238" s="13" t="str">
        <f>IF(Tabla96[[#This Row],[Id]]="","",COUNTIF(TablaTiempos[Club],Tabla96[[#This Row],[Pos]]))</f>
        <v/>
      </c>
      <c r="E238" s="47" t="str">
        <f>IF(Tabla96[[#This Row],[Id]]="","",Tabla96[[#This Row],[Total Llegados a Meta]]/Tabla96[[#This Row],[Total Inscritos]])</f>
        <v/>
      </c>
      <c r="F23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38" s="43">
        <f ca="1">NOW()-'LOS TIEMPOS'!$K$2</f>
        <v>42368.075526157409</v>
      </c>
    </row>
    <row r="239" spans="1:8" x14ac:dyDescent="0.2">
      <c r="A239" s="13" t="str">
        <f>IF(ROW()-5&lt;=COUNTA(TablaEquipos[Compite]),ROW()-7,"")</f>
        <v/>
      </c>
      <c r="B239" s="10" t="str">
        <f>IF(Tabla96[[#This Row],[Id]]="","",VLOOKUP(Tabla96[[#This Row],[Id]]+1,TablaEquipos[],3,FALSE))</f>
        <v/>
      </c>
      <c r="C239" s="45" t="str">
        <f>IF(Tabla96[[#This Row],[Id]]="","",VLOOKUP(Tabla96[[#This Row],[Id]]+1,TablaEquipos[],4,FALSE))</f>
        <v/>
      </c>
      <c r="D239" s="13" t="str">
        <f>IF(Tabla96[[#This Row],[Id]]="","",COUNTIF(TablaTiempos[Club],Tabla96[[#This Row],[Pos]]))</f>
        <v/>
      </c>
      <c r="E239" s="47" t="str">
        <f>IF(Tabla96[[#This Row],[Id]]="","",Tabla96[[#This Row],[Total Llegados a Meta]]/Tabla96[[#This Row],[Total Inscritos]])</f>
        <v/>
      </c>
      <c r="F23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39" s="43">
        <f ca="1">NOW()-'LOS TIEMPOS'!$K$2</f>
        <v>42368.075526157409</v>
      </c>
    </row>
    <row r="240" spans="1:8" x14ac:dyDescent="0.2">
      <c r="A240" s="13" t="str">
        <f>IF(ROW()-5&lt;=COUNTA(TablaEquipos[Compite]),ROW()-7,"")</f>
        <v/>
      </c>
      <c r="B240" s="10" t="str">
        <f>IF(Tabla96[[#This Row],[Id]]="","",VLOOKUP(Tabla96[[#This Row],[Id]]+1,TablaEquipos[],3,FALSE))</f>
        <v/>
      </c>
      <c r="C240" s="45" t="str">
        <f>IF(Tabla96[[#This Row],[Id]]="","",VLOOKUP(Tabla96[[#This Row],[Id]]+1,TablaEquipos[],4,FALSE))</f>
        <v/>
      </c>
      <c r="D240" s="13" t="str">
        <f>IF(Tabla96[[#This Row],[Id]]="","",COUNTIF(TablaTiempos[Club],Tabla96[[#This Row],[Pos]]))</f>
        <v/>
      </c>
      <c r="E240" s="47" t="str">
        <f>IF(Tabla96[[#This Row],[Id]]="","",Tabla96[[#This Row],[Total Llegados a Meta]]/Tabla96[[#This Row],[Total Inscritos]])</f>
        <v/>
      </c>
      <c r="F24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40" s="43">
        <f ca="1">NOW()-'LOS TIEMPOS'!$K$2</f>
        <v>42368.075526157409</v>
      </c>
    </row>
    <row r="241" spans="1:8" x14ac:dyDescent="0.2">
      <c r="A241" s="13" t="str">
        <f>IF(ROW()-5&lt;=COUNTA(TablaEquipos[Compite]),ROW()-7,"")</f>
        <v/>
      </c>
      <c r="B241" s="10" t="str">
        <f>IF(Tabla96[[#This Row],[Id]]="","",VLOOKUP(Tabla96[[#This Row],[Id]]+1,TablaEquipos[],3,FALSE))</f>
        <v/>
      </c>
      <c r="C241" s="45" t="str">
        <f>IF(Tabla96[[#This Row],[Id]]="","",VLOOKUP(Tabla96[[#This Row],[Id]]+1,TablaEquipos[],4,FALSE))</f>
        <v/>
      </c>
      <c r="D241" s="13" t="str">
        <f>IF(Tabla96[[#This Row],[Id]]="","",COUNTIF(TablaTiempos[Club],Tabla96[[#This Row],[Pos]]))</f>
        <v/>
      </c>
      <c r="E241" s="47" t="str">
        <f>IF(Tabla96[[#This Row],[Id]]="","",Tabla96[[#This Row],[Total Llegados a Meta]]/Tabla96[[#This Row],[Total Inscritos]])</f>
        <v/>
      </c>
      <c r="F24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41" s="43">
        <f ca="1">NOW()-'LOS TIEMPOS'!$K$2</f>
        <v>42368.075526157409</v>
      </c>
    </row>
    <row r="242" spans="1:8" x14ac:dyDescent="0.2">
      <c r="A242" s="13" t="str">
        <f>IF(ROW()-5&lt;=COUNTA(TablaEquipos[Compite]),ROW()-7,"")</f>
        <v/>
      </c>
      <c r="B242" s="10" t="str">
        <f>IF(Tabla96[[#This Row],[Id]]="","",VLOOKUP(Tabla96[[#This Row],[Id]]+1,TablaEquipos[],3,FALSE))</f>
        <v/>
      </c>
      <c r="C242" s="45" t="str">
        <f>IF(Tabla96[[#This Row],[Id]]="","",VLOOKUP(Tabla96[[#This Row],[Id]]+1,TablaEquipos[],4,FALSE))</f>
        <v/>
      </c>
      <c r="D242" s="13" t="str">
        <f>IF(Tabla96[[#This Row],[Id]]="","",COUNTIF(TablaTiempos[Club],Tabla96[[#This Row],[Pos]]))</f>
        <v/>
      </c>
      <c r="E242" s="47" t="str">
        <f>IF(Tabla96[[#This Row],[Id]]="","",Tabla96[[#This Row],[Total Llegados a Meta]]/Tabla96[[#This Row],[Total Inscritos]])</f>
        <v/>
      </c>
      <c r="F24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42" s="43">
        <f ca="1">NOW()-'LOS TIEMPOS'!$K$2</f>
        <v>42368.075526157409</v>
      </c>
    </row>
    <row r="243" spans="1:8" x14ac:dyDescent="0.2">
      <c r="A243" s="13" t="str">
        <f>IF(ROW()-5&lt;=COUNTA(TablaEquipos[Compite]),ROW()-7,"")</f>
        <v/>
      </c>
      <c r="B243" s="10" t="str">
        <f>IF(Tabla96[[#This Row],[Id]]="","",VLOOKUP(Tabla96[[#This Row],[Id]]+1,TablaEquipos[],3,FALSE))</f>
        <v/>
      </c>
      <c r="C243" s="45" t="str">
        <f>IF(Tabla96[[#This Row],[Id]]="","",VLOOKUP(Tabla96[[#This Row],[Id]]+1,TablaEquipos[],4,FALSE))</f>
        <v/>
      </c>
      <c r="D243" s="13" t="str">
        <f>IF(Tabla96[[#This Row],[Id]]="","",COUNTIF(TablaTiempos[Club],Tabla96[[#This Row],[Pos]]))</f>
        <v/>
      </c>
      <c r="E243" s="47" t="str">
        <f>IF(Tabla96[[#This Row],[Id]]="","",Tabla96[[#This Row],[Total Llegados a Meta]]/Tabla96[[#This Row],[Total Inscritos]])</f>
        <v/>
      </c>
      <c r="F24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43" s="43">
        <f ca="1">NOW()-'LOS TIEMPOS'!$K$2</f>
        <v>42368.075526157409</v>
      </c>
    </row>
    <row r="244" spans="1:8" x14ac:dyDescent="0.2">
      <c r="A244" s="13" t="str">
        <f>IF(ROW()-5&lt;=COUNTA(TablaEquipos[Compite]),ROW()-7,"")</f>
        <v/>
      </c>
      <c r="B244" s="10" t="str">
        <f>IF(Tabla96[[#This Row],[Id]]="","",VLOOKUP(Tabla96[[#This Row],[Id]]+1,TablaEquipos[],3,FALSE))</f>
        <v/>
      </c>
      <c r="C244" s="45" t="str">
        <f>IF(Tabla96[[#This Row],[Id]]="","",VLOOKUP(Tabla96[[#This Row],[Id]]+1,TablaEquipos[],4,FALSE))</f>
        <v/>
      </c>
      <c r="D244" s="13" t="str">
        <f>IF(Tabla96[[#This Row],[Id]]="","",COUNTIF(TablaTiempos[Club],Tabla96[[#This Row],[Pos]]))</f>
        <v/>
      </c>
      <c r="E244" s="47" t="str">
        <f>IF(Tabla96[[#This Row],[Id]]="","",Tabla96[[#This Row],[Total Llegados a Meta]]/Tabla96[[#This Row],[Total Inscritos]])</f>
        <v/>
      </c>
      <c r="F24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44" s="43">
        <f ca="1">NOW()-'LOS TIEMPOS'!$K$2</f>
        <v>42368.075526157409</v>
      </c>
    </row>
    <row r="245" spans="1:8" x14ac:dyDescent="0.2">
      <c r="A245" s="13" t="str">
        <f>IF(ROW()-5&lt;=COUNTA(TablaEquipos[Compite]),ROW()-7,"")</f>
        <v/>
      </c>
      <c r="B245" s="10" t="str">
        <f>IF(Tabla96[[#This Row],[Id]]="","",VLOOKUP(Tabla96[[#This Row],[Id]]+1,TablaEquipos[],3,FALSE))</f>
        <v/>
      </c>
      <c r="C245" s="45" t="str">
        <f>IF(Tabla96[[#This Row],[Id]]="","",VLOOKUP(Tabla96[[#This Row],[Id]]+1,TablaEquipos[],4,FALSE))</f>
        <v/>
      </c>
      <c r="D245" s="13" t="str">
        <f>IF(Tabla96[[#This Row],[Id]]="","",COUNTIF(TablaTiempos[Club],Tabla96[[#This Row],[Pos]]))</f>
        <v/>
      </c>
      <c r="E245" s="47" t="str">
        <f>IF(Tabla96[[#This Row],[Id]]="","",Tabla96[[#This Row],[Total Llegados a Meta]]/Tabla96[[#This Row],[Total Inscritos]])</f>
        <v/>
      </c>
      <c r="F24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45" s="43">
        <f ca="1">NOW()-'LOS TIEMPOS'!$K$2</f>
        <v>42368.075526157409</v>
      </c>
    </row>
    <row r="246" spans="1:8" x14ac:dyDescent="0.2">
      <c r="A246" s="13" t="str">
        <f>IF(ROW()-5&lt;=COUNTA(TablaEquipos[Compite]),ROW()-7,"")</f>
        <v/>
      </c>
      <c r="B246" s="10" t="str">
        <f>IF(Tabla96[[#This Row],[Id]]="","",VLOOKUP(Tabla96[[#This Row],[Id]]+1,TablaEquipos[],3,FALSE))</f>
        <v/>
      </c>
      <c r="C246" s="45" t="str">
        <f>IF(Tabla96[[#This Row],[Id]]="","",VLOOKUP(Tabla96[[#This Row],[Id]]+1,TablaEquipos[],4,FALSE))</f>
        <v/>
      </c>
      <c r="D246" s="13" t="str">
        <f>IF(Tabla96[[#This Row],[Id]]="","",COUNTIF(TablaTiempos[Club],Tabla96[[#This Row],[Pos]]))</f>
        <v/>
      </c>
      <c r="E246" s="47" t="str">
        <f>IF(Tabla96[[#This Row],[Id]]="","",Tabla96[[#This Row],[Total Llegados a Meta]]/Tabla96[[#This Row],[Total Inscritos]])</f>
        <v/>
      </c>
      <c r="F24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46" s="43">
        <f ca="1">NOW()-'LOS TIEMPOS'!$K$2</f>
        <v>42368.075526157409</v>
      </c>
    </row>
    <row r="247" spans="1:8" x14ac:dyDescent="0.2">
      <c r="A247" s="13" t="str">
        <f>IF(ROW()-5&lt;=COUNTA(TablaEquipos[Compite]),ROW()-7,"")</f>
        <v/>
      </c>
      <c r="B247" s="10" t="str">
        <f>IF(Tabla96[[#This Row],[Id]]="","",VLOOKUP(Tabla96[[#This Row],[Id]]+1,TablaEquipos[],3,FALSE))</f>
        <v/>
      </c>
      <c r="C247" s="45" t="str">
        <f>IF(Tabla96[[#This Row],[Id]]="","",VLOOKUP(Tabla96[[#This Row],[Id]]+1,TablaEquipos[],4,FALSE))</f>
        <v/>
      </c>
      <c r="D247" s="13" t="str">
        <f>IF(Tabla96[[#This Row],[Id]]="","",COUNTIF(TablaTiempos[Club],Tabla96[[#This Row],[Pos]]))</f>
        <v/>
      </c>
      <c r="E247" s="47" t="str">
        <f>IF(Tabla96[[#This Row],[Id]]="","",Tabla96[[#This Row],[Total Llegados a Meta]]/Tabla96[[#This Row],[Total Inscritos]])</f>
        <v/>
      </c>
      <c r="F24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47" s="43">
        <f ca="1">NOW()-'LOS TIEMPOS'!$K$2</f>
        <v>42368.075526157409</v>
      </c>
    </row>
    <row r="248" spans="1:8" x14ac:dyDescent="0.2">
      <c r="A248" s="13" t="str">
        <f>IF(ROW()-5&lt;=COUNTA(TablaEquipos[Compite]),ROW()-7,"")</f>
        <v/>
      </c>
      <c r="B248" s="10" t="str">
        <f>IF(Tabla96[[#This Row],[Id]]="","",VLOOKUP(Tabla96[[#This Row],[Id]]+1,TablaEquipos[],3,FALSE))</f>
        <v/>
      </c>
      <c r="C248" s="45" t="str">
        <f>IF(Tabla96[[#This Row],[Id]]="","",VLOOKUP(Tabla96[[#This Row],[Id]]+1,TablaEquipos[],4,FALSE))</f>
        <v/>
      </c>
      <c r="D248" s="13" t="str">
        <f>IF(Tabla96[[#This Row],[Id]]="","",COUNTIF(TablaTiempos[Club],Tabla96[[#This Row],[Pos]]))</f>
        <v/>
      </c>
      <c r="E248" s="47" t="str">
        <f>IF(Tabla96[[#This Row],[Id]]="","",Tabla96[[#This Row],[Total Llegados a Meta]]/Tabla96[[#This Row],[Total Inscritos]])</f>
        <v/>
      </c>
      <c r="F24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48" s="43">
        <f ca="1">NOW()-'LOS TIEMPOS'!$K$2</f>
        <v>42368.075526157409</v>
      </c>
    </row>
    <row r="249" spans="1:8" x14ac:dyDescent="0.2">
      <c r="A249" s="13" t="str">
        <f>IF(ROW()-5&lt;=COUNTA(TablaEquipos[Compite]),ROW()-7,"")</f>
        <v/>
      </c>
      <c r="B249" s="10" t="str">
        <f>IF(Tabla96[[#This Row],[Id]]="","",VLOOKUP(Tabla96[[#This Row],[Id]]+1,TablaEquipos[],3,FALSE))</f>
        <v/>
      </c>
      <c r="C249" s="45" t="str">
        <f>IF(Tabla96[[#This Row],[Id]]="","",VLOOKUP(Tabla96[[#This Row],[Id]]+1,TablaEquipos[],4,FALSE))</f>
        <v/>
      </c>
      <c r="D249" s="13" t="str">
        <f>IF(Tabla96[[#This Row],[Id]]="","",COUNTIF(TablaTiempos[Club],Tabla96[[#This Row],[Pos]]))</f>
        <v/>
      </c>
      <c r="E249" s="47" t="str">
        <f>IF(Tabla96[[#This Row],[Id]]="","",Tabla96[[#This Row],[Total Llegados a Meta]]/Tabla96[[#This Row],[Total Inscritos]])</f>
        <v/>
      </c>
      <c r="F24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49" s="43">
        <f ca="1">NOW()-'LOS TIEMPOS'!$K$2</f>
        <v>42368.075526157409</v>
      </c>
    </row>
    <row r="250" spans="1:8" x14ac:dyDescent="0.2">
      <c r="A250" s="13" t="str">
        <f>IF(ROW()-5&lt;=COUNTA(TablaEquipos[Compite]),ROW()-7,"")</f>
        <v/>
      </c>
      <c r="B250" s="10" t="str">
        <f>IF(Tabla96[[#This Row],[Id]]="","",VLOOKUP(Tabla96[[#This Row],[Id]]+1,TablaEquipos[],3,FALSE))</f>
        <v/>
      </c>
      <c r="C250" s="45" t="str">
        <f>IF(Tabla96[[#This Row],[Id]]="","",VLOOKUP(Tabla96[[#This Row],[Id]]+1,TablaEquipos[],4,FALSE))</f>
        <v/>
      </c>
      <c r="D250" s="13" t="str">
        <f>IF(Tabla96[[#This Row],[Id]]="","",COUNTIF(TablaTiempos[Club],Tabla96[[#This Row],[Pos]]))</f>
        <v/>
      </c>
      <c r="E250" s="47" t="str">
        <f>IF(Tabla96[[#This Row],[Id]]="","",Tabla96[[#This Row],[Total Llegados a Meta]]/Tabla96[[#This Row],[Total Inscritos]])</f>
        <v/>
      </c>
      <c r="F25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50" s="43">
        <f ca="1">NOW()-'LOS TIEMPOS'!$K$2</f>
        <v>42368.075526157409</v>
      </c>
    </row>
    <row r="251" spans="1:8" x14ac:dyDescent="0.2">
      <c r="A251" s="13" t="str">
        <f>IF(ROW()-5&lt;=COUNTA(TablaEquipos[Compite]),ROW()-7,"")</f>
        <v/>
      </c>
      <c r="B251" s="10" t="str">
        <f>IF(Tabla96[[#This Row],[Id]]="","",VLOOKUP(Tabla96[[#This Row],[Id]]+1,TablaEquipos[],3,FALSE))</f>
        <v/>
      </c>
      <c r="C251" s="45" t="str">
        <f>IF(Tabla96[[#This Row],[Id]]="","",VLOOKUP(Tabla96[[#This Row],[Id]]+1,TablaEquipos[],4,FALSE))</f>
        <v/>
      </c>
      <c r="D251" s="13" t="str">
        <f>IF(Tabla96[[#This Row],[Id]]="","",COUNTIF(TablaTiempos[Club],Tabla96[[#This Row],[Pos]]))</f>
        <v/>
      </c>
      <c r="E251" s="47" t="str">
        <f>IF(Tabla96[[#This Row],[Id]]="","",Tabla96[[#This Row],[Total Llegados a Meta]]/Tabla96[[#This Row],[Total Inscritos]])</f>
        <v/>
      </c>
      <c r="F25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51" s="43">
        <f ca="1">NOW()-'LOS TIEMPOS'!$K$2</f>
        <v>42368.075526157409</v>
      </c>
    </row>
    <row r="252" spans="1:8" x14ac:dyDescent="0.2">
      <c r="A252" s="13" t="str">
        <f>IF(ROW()-5&lt;=COUNTA(TablaEquipos[Compite]),ROW()-7,"")</f>
        <v/>
      </c>
      <c r="B252" s="10" t="str">
        <f>IF(Tabla96[[#This Row],[Id]]="","",VLOOKUP(Tabla96[[#This Row],[Id]]+1,TablaEquipos[],3,FALSE))</f>
        <v/>
      </c>
      <c r="C252" s="45" t="str">
        <f>IF(Tabla96[[#This Row],[Id]]="","",VLOOKUP(Tabla96[[#This Row],[Id]]+1,TablaEquipos[],4,FALSE))</f>
        <v/>
      </c>
      <c r="D252" s="13" t="str">
        <f>IF(Tabla96[[#This Row],[Id]]="","",COUNTIF(TablaTiempos[Club],Tabla96[[#This Row],[Pos]]))</f>
        <v/>
      </c>
      <c r="E252" s="47" t="str">
        <f>IF(Tabla96[[#This Row],[Id]]="","",Tabla96[[#This Row],[Total Llegados a Meta]]/Tabla96[[#This Row],[Total Inscritos]])</f>
        <v/>
      </c>
      <c r="F25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52" s="43">
        <f ca="1">NOW()-'LOS TIEMPOS'!$K$2</f>
        <v>42368.075526157409</v>
      </c>
    </row>
    <row r="253" spans="1:8" x14ac:dyDescent="0.2">
      <c r="A253" s="13" t="str">
        <f>IF(ROW()-5&lt;=COUNTA(TablaEquipos[Compite]),ROW()-7,"")</f>
        <v/>
      </c>
      <c r="B253" s="10" t="str">
        <f>IF(Tabla96[[#This Row],[Id]]="","",VLOOKUP(Tabla96[[#This Row],[Id]]+1,TablaEquipos[],3,FALSE))</f>
        <v/>
      </c>
      <c r="C253" s="45" t="str">
        <f>IF(Tabla96[[#This Row],[Id]]="","",VLOOKUP(Tabla96[[#This Row],[Id]]+1,TablaEquipos[],4,FALSE))</f>
        <v/>
      </c>
      <c r="D253" s="13" t="str">
        <f>IF(Tabla96[[#This Row],[Id]]="","",COUNTIF(TablaTiempos[Club],Tabla96[[#This Row],[Pos]]))</f>
        <v/>
      </c>
      <c r="E253" s="47" t="str">
        <f>IF(Tabla96[[#This Row],[Id]]="","",Tabla96[[#This Row],[Total Llegados a Meta]]/Tabla96[[#This Row],[Total Inscritos]])</f>
        <v/>
      </c>
      <c r="F25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53" s="43">
        <f ca="1">NOW()-'LOS TIEMPOS'!$K$2</f>
        <v>42368.075526157409</v>
      </c>
    </row>
    <row r="254" spans="1:8" x14ac:dyDescent="0.2">
      <c r="A254" s="13" t="str">
        <f>IF(ROW()-5&lt;=COUNTA(TablaEquipos[Compite]),ROW()-7,"")</f>
        <v/>
      </c>
      <c r="B254" s="10" t="str">
        <f>IF(Tabla96[[#This Row],[Id]]="","",VLOOKUP(Tabla96[[#This Row],[Id]]+1,TablaEquipos[],3,FALSE))</f>
        <v/>
      </c>
      <c r="C254" s="45" t="str">
        <f>IF(Tabla96[[#This Row],[Id]]="","",VLOOKUP(Tabla96[[#This Row],[Id]]+1,TablaEquipos[],4,FALSE))</f>
        <v/>
      </c>
      <c r="D254" s="13" t="str">
        <f>IF(Tabla96[[#This Row],[Id]]="","",COUNTIF(TablaTiempos[Club],Tabla96[[#This Row],[Pos]]))</f>
        <v/>
      </c>
      <c r="E254" s="47" t="str">
        <f>IF(Tabla96[[#This Row],[Id]]="","",Tabla96[[#This Row],[Total Llegados a Meta]]/Tabla96[[#This Row],[Total Inscritos]])</f>
        <v/>
      </c>
      <c r="F25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54" s="43">
        <f ca="1">NOW()-'LOS TIEMPOS'!$K$2</f>
        <v>42368.075526157409</v>
      </c>
    </row>
    <row r="255" spans="1:8" x14ac:dyDescent="0.2">
      <c r="A255" s="13" t="str">
        <f>IF(ROW()-5&lt;=COUNTA(TablaEquipos[Compite]),ROW()-7,"")</f>
        <v/>
      </c>
      <c r="B255" s="10" t="str">
        <f>IF(Tabla96[[#This Row],[Id]]="","",VLOOKUP(Tabla96[[#This Row],[Id]]+1,TablaEquipos[],3,FALSE))</f>
        <v/>
      </c>
      <c r="C255" s="45" t="str">
        <f>IF(Tabla96[[#This Row],[Id]]="","",VLOOKUP(Tabla96[[#This Row],[Id]]+1,TablaEquipos[],4,FALSE))</f>
        <v/>
      </c>
      <c r="D255" s="13" t="str">
        <f>IF(Tabla96[[#This Row],[Id]]="","",COUNTIF(TablaTiempos[Club],Tabla96[[#This Row],[Pos]]))</f>
        <v/>
      </c>
      <c r="E255" s="47" t="str">
        <f>IF(Tabla96[[#This Row],[Id]]="","",Tabla96[[#This Row],[Total Llegados a Meta]]/Tabla96[[#This Row],[Total Inscritos]])</f>
        <v/>
      </c>
      <c r="F25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55" s="43">
        <f ca="1">NOW()-'LOS TIEMPOS'!$K$2</f>
        <v>42368.075526157409</v>
      </c>
    </row>
    <row r="256" spans="1:8" x14ac:dyDescent="0.2">
      <c r="A256" s="13" t="str">
        <f>IF(ROW()-5&lt;=COUNTA(TablaEquipos[Compite]),ROW()-7,"")</f>
        <v/>
      </c>
      <c r="B256" s="10" t="str">
        <f>IF(Tabla96[[#This Row],[Id]]="","",VLOOKUP(Tabla96[[#This Row],[Id]]+1,TablaEquipos[],3,FALSE))</f>
        <v/>
      </c>
      <c r="C256" s="45" t="str">
        <f>IF(Tabla96[[#This Row],[Id]]="","",VLOOKUP(Tabla96[[#This Row],[Id]]+1,TablaEquipos[],4,FALSE))</f>
        <v/>
      </c>
      <c r="D256" s="13" t="str">
        <f>IF(Tabla96[[#This Row],[Id]]="","",COUNTIF(TablaTiempos[Club],Tabla96[[#This Row],[Pos]]))</f>
        <v/>
      </c>
      <c r="E256" s="47" t="str">
        <f>IF(Tabla96[[#This Row],[Id]]="","",Tabla96[[#This Row],[Total Llegados a Meta]]/Tabla96[[#This Row],[Total Inscritos]])</f>
        <v/>
      </c>
      <c r="F25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56" s="43">
        <f ca="1">NOW()-'LOS TIEMPOS'!$K$2</f>
        <v>42368.075526157409</v>
      </c>
    </row>
    <row r="257" spans="1:8" x14ac:dyDescent="0.2">
      <c r="A257" s="13" t="str">
        <f>IF(ROW()-5&lt;=COUNTA(TablaEquipos[Compite]),ROW()-7,"")</f>
        <v/>
      </c>
      <c r="B257" s="10" t="str">
        <f>IF(Tabla96[[#This Row],[Id]]="","",VLOOKUP(Tabla96[[#This Row],[Id]]+1,TablaEquipos[],3,FALSE))</f>
        <v/>
      </c>
      <c r="C257" s="45" t="str">
        <f>IF(Tabla96[[#This Row],[Id]]="","",VLOOKUP(Tabla96[[#This Row],[Id]]+1,TablaEquipos[],4,FALSE))</f>
        <v/>
      </c>
      <c r="D257" s="13" t="str">
        <f>IF(Tabla96[[#This Row],[Id]]="","",COUNTIF(TablaTiempos[Club],Tabla96[[#This Row],[Pos]]))</f>
        <v/>
      </c>
      <c r="E257" s="47" t="str">
        <f>IF(Tabla96[[#This Row],[Id]]="","",Tabla96[[#This Row],[Total Llegados a Meta]]/Tabla96[[#This Row],[Total Inscritos]])</f>
        <v/>
      </c>
      <c r="F25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57" s="43">
        <f ca="1">NOW()-'LOS TIEMPOS'!$K$2</f>
        <v>42368.075526157409</v>
      </c>
    </row>
    <row r="258" spans="1:8" x14ac:dyDescent="0.2">
      <c r="A258" s="13" t="str">
        <f>IF(ROW()-5&lt;=COUNTA(TablaEquipos[Compite]),ROW()-7,"")</f>
        <v/>
      </c>
      <c r="B258" s="10" t="str">
        <f>IF(Tabla96[[#This Row],[Id]]="","",VLOOKUP(Tabla96[[#This Row],[Id]]+1,TablaEquipos[],3,FALSE))</f>
        <v/>
      </c>
      <c r="C258" s="45" t="str">
        <f>IF(Tabla96[[#This Row],[Id]]="","",VLOOKUP(Tabla96[[#This Row],[Id]]+1,TablaEquipos[],4,FALSE))</f>
        <v/>
      </c>
      <c r="D258" s="13" t="str">
        <f>IF(Tabla96[[#This Row],[Id]]="","",COUNTIF(TablaTiempos[Club],Tabla96[[#This Row],[Pos]]))</f>
        <v/>
      </c>
      <c r="E258" s="47" t="str">
        <f>IF(Tabla96[[#This Row],[Id]]="","",Tabla96[[#This Row],[Total Llegados a Meta]]/Tabla96[[#This Row],[Total Inscritos]])</f>
        <v/>
      </c>
      <c r="F25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58" s="43">
        <f ca="1">NOW()-'LOS TIEMPOS'!$K$2</f>
        <v>42368.075526157409</v>
      </c>
    </row>
    <row r="259" spans="1:8" x14ac:dyDescent="0.2">
      <c r="A259" s="13" t="str">
        <f>IF(ROW()-5&lt;=COUNTA(TablaEquipos[Compite]),ROW()-7,"")</f>
        <v/>
      </c>
      <c r="B259" s="10" t="str">
        <f>IF(Tabla96[[#This Row],[Id]]="","",VLOOKUP(Tabla96[[#This Row],[Id]]+1,TablaEquipos[],3,FALSE))</f>
        <v/>
      </c>
      <c r="C259" s="45" t="str">
        <f>IF(Tabla96[[#This Row],[Id]]="","",VLOOKUP(Tabla96[[#This Row],[Id]]+1,TablaEquipos[],4,FALSE))</f>
        <v/>
      </c>
      <c r="D259" s="13" t="str">
        <f>IF(Tabla96[[#This Row],[Id]]="","",COUNTIF(TablaTiempos[Club],Tabla96[[#This Row],[Pos]]))</f>
        <v/>
      </c>
      <c r="E259" s="47" t="str">
        <f>IF(Tabla96[[#This Row],[Id]]="","",Tabla96[[#This Row],[Total Llegados a Meta]]/Tabla96[[#This Row],[Total Inscritos]])</f>
        <v/>
      </c>
      <c r="F25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59" s="43">
        <f ca="1">NOW()-'LOS TIEMPOS'!$K$2</f>
        <v>42368.075526157409</v>
      </c>
    </row>
    <row r="260" spans="1:8" x14ac:dyDescent="0.2">
      <c r="A260" s="13" t="str">
        <f>IF(ROW()-5&lt;=COUNTA(TablaEquipos[Compite]),ROW()-7,"")</f>
        <v/>
      </c>
      <c r="B260" s="10" t="str">
        <f>IF(Tabla96[[#This Row],[Id]]="","",VLOOKUP(Tabla96[[#This Row],[Id]]+1,TablaEquipos[],3,FALSE))</f>
        <v/>
      </c>
      <c r="C260" s="45" t="str">
        <f>IF(Tabla96[[#This Row],[Id]]="","",VLOOKUP(Tabla96[[#This Row],[Id]]+1,TablaEquipos[],4,FALSE))</f>
        <v/>
      </c>
      <c r="D260" s="13" t="str">
        <f>IF(Tabla96[[#This Row],[Id]]="","",COUNTIF(TablaTiempos[Club],Tabla96[[#This Row],[Pos]]))</f>
        <v/>
      </c>
      <c r="E260" s="47" t="str">
        <f>IF(Tabla96[[#This Row],[Id]]="","",Tabla96[[#This Row],[Total Llegados a Meta]]/Tabla96[[#This Row],[Total Inscritos]])</f>
        <v/>
      </c>
      <c r="F26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60" s="43">
        <f ca="1">NOW()-'LOS TIEMPOS'!$K$2</f>
        <v>42368.075526157409</v>
      </c>
    </row>
    <row r="261" spans="1:8" x14ac:dyDescent="0.2">
      <c r="A261" s="13" t="str">
        <f>IF(ROW()-5&lt;=COUNTA(TablaEquipos[Compite]),ROW()-7,"")</f>
        <v/>
      </c>
      <c r="B261" s="10" t="str">
        <f>IF(Tabla96[[#This Row],[Id]]="","",VLOOKUP(Tabla96[[#This Row],[Id]]+1,TablaEquipos[],3,FALSE))</f>
        <v/>
      </c>
      <c r="C261" s="45" t="str">
        <f>IF(Tabla96[[#This Row],[Id]]="","",VLOOKUP(Tabla96[[#This Row],[Id]]+1,TablaEquipos[],4,FALSE))</f>
        <v/>
      </c>
      <c r="D261" s="13" t="str">
        <f>IF(Tabla96[[#This Row],[Id]]="","",COUNTIF(TablaTiempos[Club],Tabla96[[#This Row],[Pos]]))</f>
        <v/>
      </c>
      <c r="E261" s="47" t="str">
        <f>IF(Tabla96[[#This Row],[Id]]="","",Tabla96[[#This Row],[Total Llegados a Meta]]/Tabla96[[#This Row],[Total Inscritos]])</f>
        <v/>
      </c>
      <c r="F26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61" s="43">
        <f ca="1">NOW()-'LOS TIEMPOS'!$K$2</f>
        <v>42368.075526157409</v>
      </c>
    </row>
    <row r="262" spans="1:8" x14ac:dyDescent="0.2">
      <c r="A262" s="13" t="str">
        <f>IF(ROW()-5&lt;=COUNTA(TablaEquipos[Compite]),ROW()-7,"")</f>
        <v/>
      </c>
      <c r="B262" s="10" t="str">
        <f>IF(Tabla96[[#This Row],[Id]]="","",VLOOKUP(Tabla96[[#This Row],[Id]]+1,TablaEquipos[],3,FALSE))</f>
        <v/>
      </c>
      <c r="C262" s="45" t="str">
        <f>IF(Tabla96[[#This Row],[Id]]="","",VLOOKUP(Tabla96[[#This Row],[Id]]+1,TablaEquipos[],4,FALSE))</f>
        <v/>
      </c>
      <c r="D262" s="13" t="str">
        <f>IF(Tabla96[[#This Row],[Id]]="","",COUNTIF(TablaTiempos[Club],Tabla96[[#This Row],[Pos]]))</f>
        <v/>
      </c>
      <c r="E262" s="47" t="str">
        <f>IF(Tabla96[[#This Row],[Id]]="","",Tabla96[[#This Row],[Total Llegados a Meta]]/Tabla96[[#This Row],[Total Inscritos]])</f>
        <v/>
      </c>
      <c r="F26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62" s="43">
        <f ca="1">NOW()-'LOS TIEMPOS'!$K$2</f>
        <v>42368.075526157409</v>
      </c>
    </row>
    <row r="263" spans="1:8" x14ac:dyDescent="0.2">
      <c r="A263" s="13" t="str">
        <f>IF(ROW()-5&lt;=COUNTA(TablaEquipos[Compite]),ROW()-7,"")</f>
        <v/>
      </c>
      <c r="B263" s="10" t="str">
        <f>IF(Tabla96[[#This Row],[Id]]="","",VLOOKUP(Tabla96[[#This Row],[Id]]+1,TablaEquipos[],3,FALSE))</f>
        <v/>
      </c>
      <c r="C263" s="45" t="str">
        <f>IF(Tabla96[[#This Row],[Id]]="","",VLOOKUP(Tabla96[[#This Row],[Id]]+1,TablaEquipos[],4,FALSE))</f>
        <v/>
      </c>
      <c r="D263" s="13" t="str">
        <f>IF(Tabla96[[#This Row],[Id]]="","",COUNTIF(TablaTiempos[Club],Tabla96[[#This Row],[Pos]]))</f>
        <v/>
      </c>
      <c r="E263" s="47" t="str">
        <f>IF(Tabla96[[#This Row],[Id]]="","",Tabla96[[#This Row],[Total Llegados a Meta]]/Tabla96[[#This Row],[Total Inscritos]])</f>
        <v/>
      </c>
      <c r="F26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63" s="43">
        <f ca="1">NOW()-'LOS TIEMPOS'!$K$2</f>
        <v>42368.075526157409</v>
      </c>
    </row>
    <row r="264" spans="1:8" x14ac:dyDescent="0.2">
      <c r="A264" s="13" t="str">
        <f>IF(ROW()-5&lt;=COUNTA(TablaEquipos[Compite]),ROW()-7,"")</f>
        <v/>
      </c>
      <c r="B264" s="10" t="str">
        <f>IF(Tabla96[[#This Row],[Id]]="","",VLOOKUP(Tabla96[[#This Row],[Id]]+1,TablaEquipos[],3,FALSE))</f>
        <v/>
      </c>
      <c r="C264" s="45" t="str">
        <f>IF(Tabla96[[#This Row],[Id]]="","",VLOOKUP(Tabla96[[#This Row],[Id]]+1,TablaEquipos[],4,FALSE))</f>
        <v/>
      </c>
      <c r="D264" s="13" t="str">
        <f>IF(Tabla96[[#This Row],[Id]]="","",COUNTIF(TablaTiempos[Club],Tabla96[[#This Row],[Pos]]))</f>
        <v/>
      </c>
      <c r="E264" s="47" t="str">
        <f>IF(Tabla96[[#This Row],[Id]]="","",Tabla96[[#This Row],[Total Llegados a Meta]]/Tabla96[[#This Row],[Total Inscritos]])</f>
        <v/>
      </c>
      <c r="F26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64" s="43">
        <f ca="1">NOW()-'LOS TIEMPOS'!$K$2</f>
        <v>42368.075526157409</v>
      </c>
    </row>
    <row r="265" spans="1:8" x14ac:dyDescent="0.2">
      <c r="A265" s="13" t="str">
        <f>IF(ROW()-5&lt;=COUNTA(TablaEquipos[Compite]),ROW()-7,"")</f>
        <v/>
      </c>
      <c r="B265" s="10" t="str">
        <f>IF(Tabla96[[#This Row],[Id]]="","",VLOOKUP(Tabla96[[#This Row],[Id]]+1,TablaEquipos[],3,FALSE))</f>
        <v/>
      </c>
      <c r="C265" s="45" t="str">
        <f>IF(Tabla96[[#This Row],[Id]]="","",VLOOKUP(Tabla96[[#This Row],[Id]]+1,TablaEquipos[],4,FALSE))</f>
        <v/>
      </c>
      <c r="D265" s="13" t="str">
        <f>IF(Tabla96[[#This Row],[Id]]="","",COUNTIF(TablaTiempos[Club],Tabla96[[#This Row],[Pos]]))</f>
        <v/>
      </c>
      <c r="E265" s="47" t="str">
        <f>IF(Tabla96[[#This Row],[Id]]="","",Tabla96[[#This Row],[Total Llegados a Meta]]/Tabla96[[#This Row],[Total Inscritos]])</f>
        <v/>
      </c>
      <c r="F26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65" s="43">
        <f ca="1">NOW()-'LOS TIEMPOS'!$K$2</f>
        <v>42368.075526157409</v>
      </c>
    </row>
    <row r="266" spans="1:8" x14ac:dyDescent="0.2">
      <c r="A266" s="13" t="str">
        <f>IF(ROW()-5&lt;=COUNTA(TablaEquipos[Compite]),ROW()-7,"")</f>
        <v/>
      </c>
      <c r="B266" s="10" t="str">
        <f>IF(Tabla96[[#This Row],[Id]]="","",VLOOKUP(Tabla96[[#This Row],[Id]]+1,TablaEquipos[],3,FALSE))</f>
        <v/>
      </c>
      <c r="C266" s="45" t="str">
        <f>IF(Tabla96[[#This Row],[Id]]="","",VLOOKUP(Tabla96[[#This Row],[Id]]+1,TablaEquipos[],4,FALSE))</f>
        <v/>
      </c>
      <c r="D266" s="13" t="str">
        <f>IF(Tabla96[[#This Row],[Id]]="","",COUNTIF(TablaTiempos[Club],Tabla96[[#This Row],[Pos]]))</f>
        <v/>
      </c>
      <c r="E266" s="47" t="str">
        <f>IF(Tabla96[[#This Row],[Id]]="","",Tabla96[[#This Row],[Total Llegados a Meta]]/Tabla96[[#This Row],[Total Inscritos]])</f>
        <v/>
      </c>
      <c r="F26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66" s="43">
        <f ca="1">NOW()-'LOS TIEMPOS'!$K$2</f>
        <v>42368.075526157409</v>
      </c>
    </row>
    <row r="267" spans="1:8" x14ac:dyDescent="0.2">
      <c r="A267" s="13" t="str">
        <f>IF(ROW()-5&lt;=COUNTA(TablaEquipos[Compite]),ROW()-7,"")</f>
        <v/>
      </c>
      <c r="B267" s="10" t="str">
        <f>IF(Tabla96[[#This Row],[Id]]="","",VLOOKUP(Tabla96[[#This Row],[Id]]+1,TablaEquipos[],3,FALSE))</f>
        <v/>
      </c>
      <c r="C267" s="45" t="str">
        <f>IF(Tabla96[[#This Row],[Id]]="","",VLOOKUP(Tabla96[[#This Row],[Id]]+1,TablaEquipos[],4,FALSE))</f>
        <v/>
      </c>
      <c r="D267" s="13" t="str">
        <f>IF(Tabla96[[#This Row],[Id]]="","",COUNTIF(TablaTiempos[Club],Tabla96[[#This Row],[Pos]]))</f>
        <v/>
      </c>
      <c r="E267" s="47" t="str">
        <f>IF(Tabla96[[#This Row],[Id]]="","",Tabla96[[#This Row],[Total Llegados a Meta]]/Tabla96[[#This Row],[Total Inscritos]])</f>
        <v/>
      </c>
      <c r="F26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67" s="43">
        <f ca="1">NOW()-'LOS TIEMPOS'!$K$2</f>
        <v>42368.075526157409</v>
      </c>
    </row>
    <row r="268" spans="1:8" x14ac:dyDescent="0.2">
      <c r="A268" s="13" t="str">
        <f>IF(ROW()-5&lt;=COUNTA(TablaEquipos[Compite]),ROW()-7,"")</f>
        <v/>
      </c>
      <c r="B268" s="10" t="str">
        <f>IF(Tabla96[[#This Row],[Id]]="","",VLOOKUP(Tabla96[[#This Row],[Id]]+1,TablaEquipos[],3,FALSE))</f>
        <v/>
      </c>
      <c r="C268" s="45" t="str">
        <f>IF(Tabla96[[#This Row],[Id]]="","",VLOOKUP(Tabla96[[#This Row],[Id]]+1,TablaEquipos[],4,FALSE))</f>
        <v/>
      </c>
      <c r="D268" s="13" t="str">
        <f>IF(Tabla96[[#This Row],[Id]]="","",COUNTIF(TablaTiempos[Club],Tabla96[[#This Row],[Pos]]))</f>
        <v/>
      </c>
      <c r="E268" s="47" t="str">
        <f>IF(Tabla96[[#This Row],[Id]]="","",Tabla96[[#This Row],[Total Llegados a Meta]]/Tabla96[[#This Row],[Total Inscritos]])</f>
        <v/>
      </c>
      <c r="F26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68" s="43">
        <f ca="1">NOW()-'LOS TIEMPOS'!$K$2</f>
        <v>42368.075526157409</v>
      </c>
    </row>
    <row r="269" spans="1:8" x14ac:dyDescent="0.2">
      <c r="A269" s="13" t="str">
        <f>IF(ROW()-5&lt;=COUNTA(TablaEquipos[Compite]),ROW()-7,"")</f>
        <v/>
      </c>
      <c r="B269" s="10" t="str">
        <f>IF(Tabla96[[#This Row],[Id]]="","",VLOOKUP(Tabla96[[#This Row],[Id]]+1,TablaEquipos[],3,FALSE))</f>
        <v/>
      </c>
      <c r="C269" s="45" t="str">
        <f>IF(Tabla96[[#This Row],[Id]]="","",VLOOKUP(Tabla96[[#This Row],[Id]]+1,TablaEquipos[],4,FALSE))</f>
        <v/>
      </c>
      <c r="D269" s="13" t="str">
        <f>IF(Tabla96[[#This Row],[Id]]="","",COUNTIF(TablaTiempos[Club],Tabla96[[#This Row],[Pos]]))</f>
        <v/>
      </c>
      <c r="E269" s="47" t="str">
        <f>IF(Tabla96[[#This Row],[Id]]="","",Tabla96[[#This Row],[Total Llegados a Meta]]/Tabla96[[#This Row],[Total Inscritos]])</f>
        <v/>
      </c>
      <c r="F26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69" s="43">
        <f ca="1">NOW()-'LOS TIEMPOS'!$K$2</f>
        <v>42368.075526157409</v>
      </c>
    </row>
    <row r="270" spans="1:8" x14ac:dyDescent="0.2">
      <c r="A270" s="13" t="str">
        <f>IF(ROW()-5&lt;=COUNTA(TablaEquipos[Compite]),ROW()-7,"")</f>
        <v/>
      </c>
      <c r="B270" s="10" t="str">
        <f>IF(Tabla96[[#This Row],[Id]]="","",VLOOKUP(Tabla96[[#This Row],[Id]]+1,TablaEquipos[],3,FALSE))</f>
        <v/>
      </c>
      <c r="C270" s="45" t="str">
        <f>IF(Tabla96[[#This Row],[Id]]="","",VLOOKUP(Tabla96[[#This Row],[Id]]+1,TablaEquipos[],4,FALSE))</f>
        <v/>
      </c>
      <c r="D270" s="13" t="str">
        <f>IF(Tabla96[[#This Row],[Id]]="","",COUNTIF(TablaTiempos[Club],Tabla96[[#This Row],[Pos]]))</f>
        <v/>
      </c>
      <c r="E270" s="47" t="str">
        <f>IF(Tabla96[[#This Row],[Id]]="","",Tabla96[[#This Row],[Total Llegados a Meta]]/Tabla96[[#This Row],[Total Inscritos]])</f>
        <v/>
      </c>
      <c r="F27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70" s="43">
        <f ca="1">NOW()-'LOS TIEMPOS'!$K$2</f>
        <v>42368.075526157409</v>
      </c>
    </row>
    <row r="271" spans="1:8" x14ac:dyDescent="0.2">
      <c r="A271" s="13" t="str">
        <f>IF(ROW()-5&lt;=COUNTA(TablaEquipos[Compite]),ROW()-7,"")</f>
        <v/>
      </c>
      <c r="B271" s="10" t="str">
        <f>IF(Tabla96[[#This Row],[Id]]="","",VLOOKUP(Tabla96[[#This Row],[Id]]+1,TablaEquipos[],3,FALSE))</f>
        <v/>
      </c>
      <c r="C271" s="45" t="str">
        <f>IF(Tabla96[[#This Row],[Id]]="","",VLOOKUP(Tabla96[[#This Row],[Id]]+1,TablaEquipos[],4,FALSE))</f>
        <v/>
      </c>
      <c r="D271" s="13" t="str">
        <f>IF(Tabla96[[#This Row],[Id]]="","",COUNTIF(TablaTiempos[Club],Tabla96[[#This Row],[Pos]]))</f>
        <v/>
      </c>
      <c r="E271" s="47" t="str">
        <f>IF(Tabla96[[#This Row],[Id]]="","",Tabla96[[#This Row],[Total Llegados a Meta]]/Tabla96[[#This Row],[Total Inscritos]])</f>
        <v/>
      </c>
      <c r="F27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71" s="43">
        <f ca="1">NOW()-'LOS TIEMPOS'!$K$2</f>
        <v>42368.075526157409</v>
      </c>
    </row>
    <row r="272" spans="1:8" x14ac:dyDescent="0.2">
      <c r="A272" s="13" t="str">
        <f>IF(ROW()-5&lt;=COUNTA(TablaEquipos[Compite]),ROW()-7,"")</f>
        <v/>
      </c>
      <c r="B272" s="10" t="str">
        <f>IF(Tabla96[[#This Row],[Id]]="","",VLOOKUP(Tabla96[[#This Row],[Id]]+1,TablaEquipos[],3,FALSE))</f>
        <v/>
      </c>
      <c r="C272" s="45" t="str">
        <f>IF(Tabla96[[#This Row],[Id]]="","",VLOOKUP(Tabla96[[#This Row],[Id]]+1,TablaEquipos[],4,FALSE))</f>
        <v/>
      </c>
      <c r="D272" s="13" t="str">
        <f>IF(Tabla96[[#This Row],[Id]]="","",COUNTIF(TablaTiempos[Club],Tabla96[[#This Row],[Pos]]))</f>
        <v/>
      </c>
      <c r="E272" s="47" t="str">
        <f>IF(Tabla96[[#This Row],[Id]]="","",Tabla96[[#This Row],[Total Llegados a Meta]]/Tabla96[[#This Row],[Total Inscritos]])</f>
        <v/>
      </c>
      <c r="F27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72" s="43">
        <f ca="1">NOW()-'LOS TIEMPOS'!$K$2</f>
        <v>42368.075526157409</v>
      </c>
    </row>
    <row r="273" spans="1:8" x14ac:dyDescent="0.2">
      <c r="A273" s="13" t="str">
        <f>IF(ROW()-5&lt;=COUNTA(TablaEquipos[Compite]),ROW()-7,"")</f>
        <v/>
      </c>
      <c r="B273" s="10" t="str">
        <f>IF(Tabla96[[#This Row],[Id]]="","",VLOOKUP(Tabla96[[#This Row],[Id]]+1,TablaEquipos[],3,FALSE))</f>
        <v/>
      </c>
      <c r="C273" s="45" t="str">
        <f>IF(Tabla96[[#This Row],[Id]]="","",VLOOKUP(Tabla96[[#This Row],[Id]]+1,TablaEquipos[],4,FALSE))</f>
        <v/>
      </c>
      <c r="D273" s="13" t="str">
        <f>IF(Tabla96[[#This Row],[Id]]="","",COUNTIF(TablaTiempos[Club],Tabla96[[#This Row],[Pos]]))</f>
        <v/>
      </c>
      <c r="E273" s="47" t="str">
        <f>IF(Tabla96[[#This Row],[Id]]="","",Tabla96[[#This Row],[Total Llegados a Meta]]/Tabla96[[#This Row],[Total Inscritos]])</f>
        <v/>
      </c>
      <c r="F27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73" s="43">
        <f ca="1">NOW()-'LOS TIEMPOS'!$K$2</f>
        <v>42368.075526157409</v>
      </c>
    </row>
    <row r="274" spans="1:8" x14ac:dyDescent="0.2">
      <c r="A274" s="13" t="str">
        <f>IF(ROW()-5&lt;=COUNTA(TablaEquipos[Compite]),ROW()-7,"")</f>
        <v/>
      </c>
      <c r="B274" s="10" t="str">
        <f>IF(Tabla96[[#This Row],[Id]]="","",VLOOKUP(Tabla96[[#This Row],[Id]]+1,TablaEquipos[],3,FALSE))</f>
        <v/>
      </c>
      <c r="C274" s="45" t="str">
        <f>IF(Tabla96[[#This Row],[Id]]="","",VLOOKUP(Tabla96[[#This Row],[Id]]+1,TablaEquipos[],4,FALSE))</f>
        <v/>
      </c>
      <c r="D274" s="13" t="str">
        <f>IF(Tabla96[[#This Row],[Id]]="","",COUNTIF(TablaTiempos[Club],Tabla96[[#This Row],[Pos]]))</f>
        <v/>
      </c>
      <c r="E274" s="47" t="str">
        <f>IF(Tabla96[[#This Row],[Id]]="","",Tabla96[[#This Row],[Total Llegados a Meta]]/Tabla96[[#This Row],[Total Inscritos]])</f>
        <v/>
      </c>
      <c r="F27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74" s="43">
        <f ca="1">NOW()-'LOS TIEMPOS'!$K$2</f>
        <v>42368.075526157409</v>
      </c>
    </row>
    <row r="275" spans="1:8" x14ac:dyDescent="0.2">
      <c r="A275" s="13" t="str">
        <f>IF(ROW()-5&lt;=COUNTA(TablaEquipos[Compite]),ROW()-7,"")</f>
        <v/>
      </c>
      <c r="B275" s="10" t="str">
        <f>IF(Tabla96[[#This Row],[Id]]="","",VLOOKUP(Tabla96[[#This Row],[Id]]+1,TablaEquipos[],3,FALSE))</f>
        <v/>
      </c>
      <c r="C275" s="45" t="str">
        <f>IF(Tabla96[[#This Row],[Id]]="","",VLOOKUP(Tabla96[[#This Row],[Id]]+1,TablaEquipos[],4,FALSE))</f>
        <v/>
      </c>
      <c r="D275" s="13" t="str">
        <f>IF(Tabla96[[#This Row],[Id]]="","",COUNTIF(TablaTiempos[Club],Tabla96[[#This Row],[Pos]]))</f>
        <v/>
      </c>
      <c r="E275" s="47" t="str">
        <f>IF(Tabla96[[#This Row],[Id]]="","",Tabla96[[#This Row],[Total Llegados a Meta]]/Tabla96[[#This Row],[Total Inscritos]])</f>
        <v/>
      </c>
      <c r="F27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75" s="43">
        <f ca="1">NOW()-'LOS TIEMPOS'!$K$2</f>
        <v>42368.075526157409</v>
      </c>
    </row>
    <row r="276" spans="1:8" x14ac:dyDescent="0.2">
      <c r="A276" s="13" t="str">
        <f>IF(ROW()-5&lt;=COUNTA(TablaEquipos[Compite]),ROW()-7,"")</f>
        <v/>
      </c>
      <c r="B276" s="10" t="str">
        <f>IF(Tabla96[[#This Row],[Id]]="","",VLOOKUP(Tabla96[[#This Row],[Id]]+1,TablaEquipos[],3,FALSE))</f>
        <v/>
      </c>
      <c r="C276" s="45" t="str">
        <f>IF(Tabla96[[#This Row],[Id]]="","",VLOOKUP(Tabla96[[#This Row],[Id]]+1,TablaEquipos[],4,FALSE))</f>
        <v/>
      </c>
      <c r="D276" s="13" t="str">
        <f>IF(Tabla96[[#This Row],[Id]]="","",COUNTIF(TablaTiempos[Club],Tabla96[[#This Row],[Pos]]))</f>
        <v/>
      </c>
      <c r="E276" s="47" t="str">
        <f>IF(Tabla96[[#This Row],[Id]]="","",Tabla96[[#This Row],[Total Llegados a Meta]]/Tabla96[[#This Row],[Total Inscritos]])</f>
        <v/>
      </c>
      <c r="F27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76" s="43">
        <f ca="1">NOW()-'LOS TIEMPOS'!$K$2</f>
        <v>42368.075526157409</v>
      </c>
    </row>
    <row r="277" spans="1:8" x14ac:dyDescent="0.2">
      <c r="A277" s="13" t="str">
        <f>IF(ROW()-5&lt;=COUNTA(TablaEquipos[Compite]),ROW()-7,"")</f>
        <v/>
      </c>
      <c r="B277" s="10" t="str">
        <f>IF(Tabla96[[#This Row],[Id]]="","",VLOOKUP(Tabla96[[#This Row],[Id]]+1,TablaEquipos[],3,FALSE))</f>
        <v/>
      </c>
      <c r="C277" s="45" t="str">
        <f>IF(Tabla96[[#This Row],[Id]]="","",VLOOKUP(Tabla96[[#This Row],[Id]]+1,TablaEquipos[],4,FALSE))</f>
        <v/>
      </c>
      <c r="D277" s="13" t="str">
        <f>IF(Tabla96[[#This Row],[Id]]="","",COUNTIF(TablaTiempos[Club],Tabla96[[#This Row],[Pos]]))</f>
        <v/>
      </c>
      <c r="E277" s="47" t="str">
        <f>IF(Tabla96[[#This Row],[Id]]="","",Tabla96[[#This Row],[Total Llegados a Meta]]/Tabla96[[#This Row],[Total Inscritos]])</f>
        <v/>
      </c>
      <c r="F27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77" s="43">
        <f ca="1">NOW()-'LOS TIEMPOS'!$K$2</f>
        <v>42368.075526157409</v>
      </c>
    </row>
    <row r="278" spans="1:8" x14ac:dyDescent="0.2">
      <c r="A278" s="13" t="str">
        <f>IF(ROW()-5&lt;=COUNTA(TablaEquipos[Compite]),ROW()-7,"")</f>
        <v/>
      </c>
      <c r="B278" s="10" t="str">
        <f>IF(Tabla96[[#This Row],[Id]]="","",VLOOKUP(Tabla96[[#This Row],[Id]]+1,TablaEquipos[],3,FALSE))</f>
        <v/>
      </c>
      <c r="C278" s="45" t="str">
        <f>IF(Tabla96[[#This Row],[Id]]="","",VLOOKUP(Tabla96[[#This Row],[Id]]+1,TablaEquipos[],4,FALSE))</f>
        <v/>
      </c>
      <c r="D278" s="13" t="str">
        <f>IF(Tabla96[[#This Row],[Id]]="","",COUNTIF(TablaTiempos[Club],Tabla96[[#This Row],[Pos]]))</f>
        <v/>
      </c>
      <c r="E278" s="47" t="str">
        <f>IF(Tabla96[[#This Row],[Id]]="","",Tabla96[[#This Row],[Total Llegados a Meta]]/Tabla96[[#This Row],[Total Inscritos]])</f>
        <v/>
      </c>
      <c r="F27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78" s="43">
        <f ca="1">NOW()-'LOS TIEMPOS'!$K$2</f>
        <v>42368.075526157409</v>
      </c>
    </row>
    <row r="279" spans="1:8" x14ac:dyDescent="0.2">
      <c r="A279" s="13" t="str">
        <f>IF(ROW()-5&lt;=COUNTA(TablaEquipos[Compite]),ROW()-7,"")</f>
        <v/>
      </c>
      <c r="B279" s="10" t="str">
        <f>IF(Tabla96[[#This Row],[Id]]="","",VLOOKUP(Tabla96[[#This Row],[Id]]+1,TablaEquipos[],3,FALSE))</f>
        <v/>
      </c>
      <c r="C279" s="45" t="str">
        <f>IF(Tabla96[[#This Row],[Id]]="","",VLOOKUP(Tabla96[[#This Row],[Id]]+1,TablaEquipos[],4,FALSE))</f>
        <v/>
      </c>
      <c r="D279" s="13" t="str">
        <f>IF(Tabla96[[#This Row],[Id]]="","",COUNTIF(TablaTiempos[Club],Tabla96[[#This Row],[Pos]]))</f>
        <v/>
      </c>
      <c r="E279" s="47" t="str">
        <f>IF(Tabla96[[#This Row],[Id]]="","",Tabla96[[#This Row],[Total Llegados a Meta]]/Tabla96[[#This Row],[Total Inscritos]])</f>
        <v/>
      </c>
      <c r="F27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79" s="43">
        <f ca="1">NOW()-'LOS TIEMPOS'!$K$2</f>
        <v>42368.075526157409</v>
      </c>
    </row>
    <row r="280" spans="1:8" x14ac:dyDescent="0.2">
      <c r="A280" s="13" t="str">
        <f>IF(ROW()-5&lt;=COUNTA(TablaEquipos[Compite]),ROW()-7,"")</f>
        <v/>
      </c>
      <c r="B280" s="10" t="str">
        <f>IF(Tabla96[[#This Row],[Id]]="","",VLOOKUP(Tabla96[[#This Row],[Id]]+1,TablaEquipos[],3,FALSE))</f>
        <v/>
      </c>
      <c r="C280" s="45" t="str">
        <f>IF(Tabla96[[#This Row],[Id]]="","",VLOOKUP(Tabla96[[#This Row],[Id]]+1,TablaEquipos[],4,FALSE))</f>
        <v/>
      </c>
      <c r="D280" s="13" t="str">
        <f>IF(Tabla96[[#This Row],[Id]]="","",COUNTIF(TablaTiempos[Club],Tabla96[[#This Row],[Pos]]))</f>
        <v/>
      </c>
      <c r="E280" s="47" t="str">
        <f>IF(Tabla96[[#This Row],[Id]]="","",Tabla96[[#This Row],[Total Llegados a Meta]]/Tabla96[[#This Row],[Total Inscritos]])</f>
        <v/>
      </c>
      <c r="F28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80" s="43">
        <f ca="1">NOW()-'LOS TIEMPOS'!$K$2</f>
        <v>42368.075526157409</v>
      </c>
    </row>
    <row r="281" spans="1:8" x14ac:dyDescent="0.2">
      <c r="A281" s="13" t="str">
        <f>IF(ROW()-5&lt;=COUNTA(TablaEquipos[Compite]),ROW()-7,"")</f>
        <v/>
      </c>
      <c r="B281" s="10" t="str">
        <f>IF(Tabla96[[#This Row],[Id]]="","",VLOOKUP(Tabla96[[#This Row],[Id]]+1,TablaEquipos[],3,FALSE))</f>
        <v/>
      </c>
      <c r="C281" s="45" t="str">
        <f>IF(Tabla96[[#This Row],[Id]]="","",VLOOKUP(Tabla96[[#This Row],[Id]]+1,TablaEquipos[],4,FALSE))</f>
        <v/>
      </c>
      <c r="D281" s="13" t="str">
        <f>IF(Tabla96[[#This Row],[Id]]="","",COUNTIF(TablaTiempos[Club],Tabla96[[#This Row],[Pos]]))</f>
        <v/>
      </c>
      <c r="E281" s="47" t="str">
        <f>IF(Tabla96[[#This Row],[Id]]="","",Tabla96[[#This Row],[Total Llegados a Meta]]/Tabla96[[#This Row],[Total Inscritos]])</f>
        <v/>
      </c>
      <c r="F28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81" s="43">
        <f ca="1">NOW()-'LOS TIEMPOS'!$K$2</f>
        <v>42368.075526157409</v>
      </c>
    </row>
    <row r="282" spans="1:8" x14ac:dyDescent="0.2">
      <c r="A282" s="13" t="str">
        <f>IF(ROW()-5&lt;=COUNTA(TablaEquipos[Compite]),ROW()-7,"")</f>
        <v/>
      </c>
      <c r="B282" s="10" t="str">
        <f>IF(Tabla96[[#This Row],[Id]]="","",VLOOKUP(Tabla96[[#This Row],[Id]]+1,TablaEquipos[],3,FALSE))</f>
        <v/>
      </c>
      <c r="C282" s="45" t="str">
        <f>IF(Tabla96[[#This Row],[Id]]="","",VLOOKUP(Tabla96[[#This Row],[Id]]+1,TablaEquipos[],4,FALSE))</f>
        <v/>
      </c>
      <c r="D282" s="13" t="str">
        <f>IF(Tabla96[[#This Row],[Id]]="","",COUNTIF(TablaTiempos[Club],Tabla96[[#This Row],[Pos]]))</f>
        <v/>
      </c>
      <c r="E282" s="47" t="str">
        <f>IF(Tabla96[[#This Row],[Id]]="","",Tabla96[[#This Row],[Total Llegados a Meta]]/Tabla96[[#This Row],[Total Inscritos]])</f>
        <v/>
      </c>
      <c r="F28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82" s="43">
        <f ca="1">NOW()-'LOS TIEMPOS'!$K$2</f>
        <v>42368.075526157409</v>
      </c>
    </row>
    <row r="283" spans="1:8" x14ac:dyDescent="0.2">
      <c r="A283" s="13" t="str">
        <f>IF(ROW()-5&lt;=COUNTA(TablaEquipos[Compite]),ROW()-7,"")</f>
        <v/>
      </c>
      <c r="B283" s="10" t="str">
        <f>IF(Tabla96[[#This Row],[Id]]="","",VLOOKUP(Tabla96[[#This Row],[Id]]+1,TablaEquipos[],3,FALSE))</f>
        <v/>
      </c>
      <c r="C283" s="45" t="str">
        <f>IF(Tabla96[[#This Row],[Id]]="","",VLOOKUP(Tabla96[[#This Row],[Id]]+1,TablaEquipos[],4,FALSE))</f>
        <v/>
      </c>
      <c r="D283" s="13" t="str">
        <f>IF(Tabla96[[#This Row],[Id]]="","",COUNTIF(TablaTiempos[Club],Tabla96[[#This Row],[Pos]]))</f>
        <v/>
      </c>
      <c r="E283" s="47" t="str">
        <f>IF(Tabla96[[#This Row],[Id]]="","",Tabla96[[#This Row],[Total Llegados a Meta]]/Tabla96[[#This Row],[Total Inscritos]])</f>
        <v/>
      </c>
      <c r="F28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83" s="43">
        <f ca="1">NOW()-'LOS TIEMPOS'!$K$2</f>
        <v>42368.075526157409</v>
      </c>
    </row>
    <row r="284" spans="1:8" x14ac:dyDescent="0.2">
      <c r="A284" s="13" t="str">
        <f>IF(ROW()-5&lt;=COUNTA(TablaEquipos[Compite]),ROW()-7,"")</f>
        <v/>
      </c>
      <c r="B284" s="10" t="str">
        <f>IF(Tabla96[[#This Row],[Id]]="","",VLOOKUP(Tabla96[[#This Row],[Id]]+1,TablaEquipos[],3,FALSE))</f>
        <v/>
      </c>
      <c r="C284" s="45" t="str">
        <f>IF(Tabla96[[#This Row],[Id]]="","",VLOOKUP(Tabla96[[#This Row],[Id]]+1,TablaEquipos[],4,FALSE))</f>
        <v/>
      </c>
      <c r="D284" s="13" t="str">
        <f>IF(Tabla96[[#This Row],[Id]]="","",COUNTIF(TablaTiempos[Club],Tabla96[[#This Row],[Pos]]))</f>
        <v/>
      </c>
      <c r="E284" s="47" t="str">
        <f>IF(Tabla96[[#This Row],[Id]]="","",Tabla96[[#This Row],[Total Llegados a Meta]]/Tabla96[[#This Row],[Total Inscritos]])</f>
        <v/>
      </c>
      <c r="F28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84" s="43">
        <f ca="1">NOW()-'LOS TIEMPOS'!$K$2</f>
        <v>42368.075526157409</v>
      </c>
    </row>
    <row r="285" spans="1:8" x14ac:dyDescent="0.2">
      <c r="A285" s="13" t="str">
        <f>IF(ROW()-5&lt;=COUNTA(TablaEquipos[Compite]),ROW()-7,"")</f>
        <v/>
      </c>
      <c r="B285" s="10" t="str">
        <f>IF(Tabla96[[#This Row],[Id]]="","",VLOOKUP(Tabla96[[#This Row],[Id]]+1,TablaEquipos[],3,FALSE))</f>
        <v/>
      </c>
      <c r="C285" s="45" t="str">
        <f>IF(Tabla96[[#This Row],[Id]]="","",VLOOKUP(Tabla96[[#This Row],[Id]]+1,TablaEquipos[],4,FALSE))</f>
        <v/>
      </c>
      <c r="D285" s="13" t="str">
        <f>IF(Tabla96[[#This Row],[Id]]="","",COUNTIF(TablaTiempos[Club],Tabla96[[#This Row],[Pos]]))</f>
        <v/>
      </c>
      <c r="E285" s="47" t="str">
        <f>IF(Tabla96[[#This Row],[Id]]="","",Tabla96[[#This Row],[Total Llegados a Meta]]/Tabla96[[#This Row],[Total Inscritos]])</f>
        <v/>
      </c>
      <c r="F28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85" s="43">
        <f ca="1">NOW()-'LOS TIEMPOS'!$K$2</f>
        <v>42368.075526157409</v>
      </c>
    </row>
    <row r="286" spans="1:8" x14ac:dyDescent="0.2">
      <c r="A286" s="13" t="str">
        <f>IF(ROW()-5&lt;=COUNTA(TablaEquipos[Compite]),ROW()-7,"")</f>
        <v/>
      </c>
      <c r="B286" s="10" t="str">
        <f>IF(Tabla96[[#This Row],[Id]]="","",VLOOKUP(Tabla96[[#This Row],[Id]]+1,TablaEquipos[],3,FALSE))</f>
        <v/>
      </c>
      <c r="C286" s="45" t="str">
        <f>IF(Tabla96[[#This Row],[Id]]="","",VLOOKUP(Tabla96[[#This Row],[Id]]+1,TablaEquipos[],4,FALSE))</f>
        <v/>
      </c>
      <c r="D286" s="13" t="str">
        <f>IF(Tabla96[[#This Row],[Id]]="","",COUNTIF(TablaTiempos[Club],Tabla96[[#This Row],[Pos]]))</f>
        <v/>
      </c>
      <c r="E286" s="47" t="str">
        <f>IF(Tabla96[[#This Row],[Id]]="","",Tabla96[[#This Row],[Total Llegados a Meta]]/Tabla96[[#This Row],[Total Inscritos]])</f>
        <v/>
      </c>
      <c r="F28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86" s="43">
        <f ca="1">NOW()-'LOS TIEMPOS'!$K$2</f>
        <v>42368.075526157409</v>
      </c>
    </row>
    <row r="287" spans="1:8" x14ac:dyDescent="0.2">
      <c r="A287" s="13" t="str">
        <f>IF(ROW()-5&lt;=COUNTA(TablaEquipos[Compite]),ROW()-7,"")</f>
        <v/>
      </c>
      <c r="B287" s="10" t="str">
        <f>IF(Tabla96[[#This Row],[Id]]="","",VLOOKUP(Tabla96[[#This Row],[Id]]+1,TablaEquipos[],3,FALSE))</f>
        <v/>
      </c>
      <c r="C287" s="45" t="str">
        <f>IF(Tabla96[[#This Row],[Id]]="","",VLOOKUP(Tabla96[[#This Row],[Id]]+1,TablaEquipos[],4,FALSE))</f>
        <v/>
      </c>
      <c r="D287" s="13" t="str">
        <f>IF(Tabla96[[#This Row],[Id]]="","",COUNTIF(TablaTiempos[Club],Tabla96[[#This Row],[Pos]]))</f>
        <v/>
      </c>
      <c r="E287" s="47" t="str">
        <f>IF(Tabla96[[#This Row],[Id]]="","",Tabla96[[#This Row],[Total Llegados a Meta]]/Tabla96[[#This Row],[Total Inscritos]])</f>
        <v/>
      </c>
      <c r="F28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87" s="43">
        <f ca="1">NOW()-'LOS TIEMPOS'!$K$2</f>
        <v>42368.075526157409</v>
      </c>
    </row>
    <row r="288" spans="1:8" x14ac:dyDescent="0.2">
      <c r="A288" s="13" t="str">
        <f>IF(ROW()-5&lt;=COUNTA(TablaEquipos[Compite]),ROW()-7,"")</f>
        <v/>
      </c>
      <c r="B288" s="10" t="str">
        <f>IF(Tabla96[[#This Row],[Id]]="","",VLOOKUP(Tabla96[[#This Row],[Id]]+1,TablaEquipos[],3,FALSE))</f>
        <v/>
      </c>
      <c r="C288" s="45" t="str">
        <f>IF(Tabla96[[#This Row],[Id]]="","",VLOOKUP(Tabla96[[#This Row],[Id]]+1,TablaEquipos[],4,FALSE))</f>
        <v/>
      </c>
      <c r="D288" s="13" t="str">
        <f>IF(Tabla96[[#This Row],[Id]]="","",COUNTIF(TablaTiempos[Club],Tabla96[[#This Row],[Pos]]))</f>
        <v/>
      </c>
      <c r="E288" s="47" t="str">
        <f>IF(Tabla96[[#This Row],[Id]]="","",Tabla96[[#This Row],[Total Llegados a Meta]]/Tabla96[[#This Row],[Total Inscritos]])</f>
        <v/>
      </c>
      <c r="F28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88" s="43">
        <f ca="1">NOW()-'LOS TIEMPOS'!$K$2</f>
        <v>42368.075526157409</v>
      </c>
    </row>
    <row r="289" spans="1:8" x14ac:dyDescent="0.2">
      <c r="A289" s="13" t="str">
        <f>IF(ROW()-5&lt;=COUNTA(TablaEquipos[Compite]),ROW()-7,"")</f>
        <v/>
      </c>
      <c r="B289" s="10" t="str">
        <f>IF(Tabla96[[#This Row],[Id]]="","",VLOOKUP(Tabla96[[#This Row],[Id]]+1,TablaEquipos[],3,FALSE))</f>
        <v/>
      </c>
      <c r="C289" s="45" t="str">
        <f>IF(Tabla96[[#This Row],[Id]]="","",VLOOKUP(Tabla96[[#This Row],[Id]]+1,TablaEquipos[],4,FALSE))</f>
        <v/>
      </c>
      <c r="D289" s="13" t="str">
        <f>IF(Tabla96[[#This Row],[Id]]="","",COUNTIF(TablaTiempos[Club],Tabla96[[#This Row],[Pos]]))</f>
        <v/>
      </c>
      <c r="E289" s="47" t="str">
        <f>IF(Tabla96[[#This Row],[Id]]="","",Tabla96[[#This Row],[Total Llegados a Meta]]/Tabla96[[#This Row],[Total Inscritos]])</f>
        <v/>
      </c>
      <c r="F28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89" s="43">
        <f ca="1">NOW()-'LOS TIEMPOS'!$K$2</f>
        <v>42368.075526157409</v>
      </c>
    </row>
    <row r="290" spans="1:8" x14ac:dyDescent="0.2">
      <c r="A290" s="13" t="str">
        <f>IF(ROW()-5&lt;=COUNTA(TablaEquipos[Compite]),ROW()-7,"")</f>
        <v/>
      </c>
      <c r="B290" s="10" t="str">
        <f>IF(Tabla96[[#This Row],[Id]]="","",VLOOKUP(Tabla96[[#This Row],[Id]]+1,TablaEquipos[],3,FALSE))</f>
        <v/>
      </c>
      <c r="C290" s="45" t="str">
        <f>IF(Tabla96[[#This Row],[Id]]="","",VLOOKUP(Tabla96[[#This Row],[Id]]+1,TablaEquipos[],4,FALSE))</f>
        <v/>
      </c>
      <c r="D290" s="13" t="str">
        <f>IF(Tabla96[[#This Row],[Id]]="","",COUNTIF(TablaTiempos[Club],Tabla96[[#This Row],[Pos]]))</f>
        <v/>
      </c>
      <c r="E290" s="47" t="str">
        <f>IF(Tabla96[[#This Row],[Id]]="","",Tabla96[[#This Row],[Total Llegados a Meta]]/Tabla96[[#This Row],[Total Inscritos]])</f>
        <v/>
      </c>
      <c r="F29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90" s="43">
        <f ca="1">NOW()-'LOS TIEMPOS'!$K$2</f>
        <v>42368.075526157409</v>
      </c>
    </row>
    <row r="291" spans="1:8" x14ac:dyDescent="0.2">
      <c r="A291" s="13" t="str">
        <f>IF(ROW()-5&lt;=COUNTA(TablaEquipos[Compite]),ROW()-7,"")</f>
        <v/>
      </c>
      <c r="B291" s="10" t="str">
        <f>IF(Tabla96[[#This Row],[Id]]="","",VLOOKUP(Tabla96[[#This Row],[Id]]+1,TablaEquipos[],3,FALSE))</f>
        <v/>
      </c>
      <c r="C291" s="45" t="str">
        <f>IF(Tabla96[[#This Row],[Id]]="","",VLOOKUP(Tabla96[[#This Row],[Id]]+1,TablaEquipos[],4,FALSE))</f>
        <v/>
      </c>
      <c r="D291" s="13" t="str">
        <f>IF(Tabla96[[#This Row],[Id]]="","",COUNTIF(TablaTiempos[Club],Tabla96[[#This Row],[Pos]]))</f>
        <v/>
      </c>
      <c r="E291" s="47" t="str">
        <f>IF(Tabla96[[#This Row],[Id]]="","",Tabla96[[#This Row],[Total Llegados a Meta]]/Tabla96[[#This Row],[Total Inscritos]])</f>
        <v/>
      </c>
      <c r="F29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91" s="43">
        <f ca="1">NOW()-'LOS TIEMPOS'!$K$2</f>
        <v>42368.075526157409</v>
      </c>
    </row>
    <row r="292" spans="1:8" x14ac:dyDescent="0.2">
      <c r="A292" s="13" t="str">
        <f>IF(ROW()-5&lt;=COUNTA(TablaEquipos[Compite]),ROW()-7,"")</f>
        <v/>
      </c>
      <c r="B292" s="10" t="str">
        <f>IF(Tabla96[[#This Row],[Id]]="","",VLOOKUP(Tabla96[[#This Row],[Id]]+1,TablaEquipos[],3,FALSE))</f>
        <v/>
      </c>
      <c r="C292" s="45" t="str">
        <f>IF(Tabla96[[#This Row],[Id]]="","",VLOOKUP(Tabla96[[#This Row],[Id]]+1,TablaEquipos[],4,FALSE))</f>
        <v/>
      </c>
      <c r="D292" s="13" t="str">
        <f>IF(Tabla96[[#This Row],[Id]]="","",COUNTIF(TablaTiempos[Club],Tabla96[[#This Row],[Pos]]))</f>
        <v/>
      </c>
      <c r="E292" s="47" t="str">
        <f>IF(Tabla96[[#This Row],[Id]]="","",Tabla96[[#This Row],[Total Llegados a Meta]]/Tabla96[[#This Row],[Total Inscritos]])</f>
        <v/>
      </c>
      <c r="F29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92" s="43">
        <f ca="1">NOW()-'LOS TIEMPOS'!$K$2</f>
        <v>42368.075526157409</v>
      </c>
    </row>
    <row r="293" spans="1:8" x14ac:dyDescent="0.2">
      <c r="A293" s="13" t="str">
        <f>IF(ROW()-5&lt;=COUNTA(TablaEquipos[Compite]),ROW()-7,"")</f>
        <v/>
      </c>
      <c r="B293" s="10" t="str">
        <f>IF(Tabla96[[#This Row],[Id]]="","",VLOOKUP(Tabla96[[#This Row],[Id]]+1,TablaEquipos[],3,FALSE))</f>
        <v/>
      </c>
      <c r="C293" s="45" t="str">
        <f>IF(Tabla96[[#This Row],[Id]]="","",VLOOKUP(Tabla96[[#This Row],[Id]]+1,TablaEquipos[],4,FALSE))</f>
        <v/>
      </c>
      <c r="D293" s="13" t="str">
        <f>IF(Tabla96[[#This Row],[Id]]="","",COUNTIF(TablaTiempos[Club],Tabla96[[#This Row],[Pos]]))</f>
        <v/>
      </c>
      <c r="E293" s="47" t="str">
        <f>IF(Tabla96[[#This Row],[Id]]="","",Tabla96[[#This Row],[Total Llegados a Meta]]/Tabla96[[#This Row],[Total Inscritos]])</f>
        <v/>
      </c>
      <c r="F29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93" s="43">
        <f ca="1">NOW()-'LOS TIEMPOS'!$K$2</f>
        <v>42368.075526157409</v>
      </c>
    </row>
    <row r="294" spans="1:8" x14ac:dyDescent="0.2">
      <c r="A294" s="13" t="str">
        <f>IF(ROW()-5&lt;=COUNTA(TablaEquipos[Compite]),ROW()-7,"")</f>
        <v/>
      </c>
      <c r="B294" s="10" t="str">
        <f>IF(Tabla96[[#This Row],[Id]]="","",VLOOKUP(Tabla96[[#This Row],[Id]]+1,TablaEquipos[],3,FALSE))</f>
        <v/>
      </c>
      <c r="C294" s="45" t="str">
        <f>IF(Tabla96[[#This Row],[Id]]="","",VLOOKUP(Tabla96[[#This Row],[Id]]+1,TablaEquipos[],4,FALSE))</f>
        <v/>
      </c>
      <c r="D294" s="13" t="str">
        <f>IF(Tabla96[[#This Row],[Id]]="","",COUNTIF(TablaTiempos[Club],Tabla96[[#This Row],[Pos]]))</f>
        <v/>
      </c>
      <c r="E294" s="47" t="str">
        <f>IF(Tabla96[[#This Row],[Id]]="","",Tabla96[[#This Row],[Total Llegados a Meta]]/Tabla96[[#This Row],[Total Inscritos]])</f>
        <v/>
      </c>
      <c r="F29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94" s="43">
        <f ca="1">NOW()-'LOS TIEMPOS'!$K$2</f>
        <v>42368.075526157409</v>
      </c>
    </row>
    <row r="295" spans="1:8" x14ac:dyDescent="0.2">
      <c r="A295" s="13" t="str">
        <f>IF(ROW()-5&lt;=COUNTA(TablaEquipos[Compite]),ROW()-7,"")</f>
        <v/>
      </c>
      <c r="B295" s="10" t="str">
        <f>IF(Tabla96[[#This Row],[Id]]="","",VLOOKUP(Tabla96[[#This Row],[Id]]+1,TablaEquipos[],3,FALSE))</f>
        <v/>
      </c>
      <c r="C295" s="45" t="str">
        <f>IF(Tabla96[[#This Row],[Id]]="","",VLOOKUP(Tabla96[[#This Row],[Id]]+1,TablaEquipos[],4,FALSE))</f>
        <v/>
      </c>
      <c r="D295" s="13" t="str">
        <f>IF(Tabla96[[#This Row],[Id]]="","",COUNTIF(TablaTiempos[Club],Tabla96[[#This Row],[Pos]]))</f>
        <v/>
      </c>
      <c r="E295" s="47" t="str">
        <f>IF(Tabla96[[#This Row],[Id]]="","",Tabla96[[#This Row],[Total Llegados a Meta]]/Tabla96[[#This Row],[Total Inscritos]])</f>
        <v/>
      </c>
      <c r="F29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95" s="43">
        <f ca="1">NOW()-'LOS TIEMPOS'!$K$2</f>
        <v>42368.075526157409</v>
      </c>
    </row>
    <row r="296" spans="1:8" x14ac:dyDescent="0.2">
      <c r="A296" s="13" t="str">
        <f>IF(ROW()-5&lt;=COUNTA(TablaEquipos[Compite]),ROW()-7,"")</f>
        <v/>
      </c>
      <c r="B296" s="10" t="str">
        <f>IF(Tabla96[[#This Row],[Id]]="","",VLOOKUP(Tabla96[[#This Row],[Id]]+1,TablaEquipos[],3,FALSE))</f>
        <v/>
      </c>
      <c r="C296" s="45" t="str">
        <f>IF(Tabla96[[#This Row],[Id]]="","",VLOOKUP(Tabla96[[#This Row],[Id]]+1,TablaEquipos[],4,FALSE))</f>
        <v/>
      </c>
      <c r="D296" s="13" t="str">
        <f>IF(Tabla96[[#This Row],[Id]]="","",COUNTIF(TablaTiempos[Club],Tabla96[[#This Row],[Pos]]))</f>
        <v/>
      </c>
      <c r="E296" s="47" t="str">
        <f>IF(Tabla96[[#This Row],[Id]]="","",Tabla96[[#This Row],[Total Llegados a Meta]]/Tabla96[[#This Row],[Total Inscritos]])</f>
        <v/>
      </c>
      <c r="F29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96" s="43">
        <f ca="1">NOW()-'LOS TIEMPOS'!$K$2</f>
        <v>42368.075526157409</v>
      </c>
    </row>
    <row r="297" spans="1:8" x14ac:dyDescent="0.2">
      <c r="A297" s="13" t="str">
        <f>IF(ROW()-5&lt;=COUNTA(TablaEquipos[Compite]),ROW()-7,"")</f>
        <v/>
      </c>
      <c r="B297" s="10" t="str">
        <f>IF(Tabla96[[#This Row],[Id]]="","",VLOOKUP(Tabla96[[#This Row],[Id]]+1,TablaEquipos[],3,FALSE))</f>
        <v/>
      </c>
      <c r="C297" s="45" t="str">
        <f>IF(Tabla96[[#This Row],[Id]]="","",VLOOKUP(Tabla96[[#This Row],[Id]]+1,TablaEquipos[],4,FALSE))</f>
        <v/>
      </c>
      <c r="D297" s="13" t="str">
        <f>IF(Tabla96[[#This Row],[Id]]="","",COUNTIF(TablaTiempos[Club],Tabla96[[#This Row],[Pos]]))</f>
        <v/>
      </c>
      <c r="E297" s="47" t="str">
        <f>IF(Tabla96[[#This Row],[Id]]="","",Tabla96[[#This Row],[Total Llegados a Meta]]/Tabla96[[#This Row],[Total Inscritos]])</f>
        <v/>
      </c>
      <c r="F29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97" s="43">
        <f ca="1">NOW()-'LOS TIEMPOS'!$K$2</f>
        <v>42368.075526157409</v>
      </c>
    </row>
    <row r="298" spans="1:8" x14ac:dyDescent="0.2">
      <c r="A298" s="13" t="str">
        <f>IF(ROW()-5&lt;=COUNTA(TablaEquipos[Compite]),ROW()-7,"")</f>
        <v/>
      </c>
      <c r="B298" s="10" t="str">
        <f>IF(Tabla96[[#This Row],[Id]]="","",VLOOKUP(Tabla96[[#This Row],[Id]]+1,TablaEquipos[],3,FALSE))</f>
        <v/>
      </c>
      <c r="C298" s="45" t="str">
        <f>IF(Tabla96[[#This Row],[Id]]="","",VLOOKUP(Tabla96[[#This Row],[Id]]+1,TablaEquipos[],4,FALSE))</f>
        <v/>
      </c>
      <c r="D298" s="13" t="str">
        <f>IF(Tabla96[[#This Row],[Id]]="","",COUNTIF(TablaTiempos[Club],Tabla96[[#This Row],[Pos]]))</f>
        <v/>
      </c>
      <c r="E298" s="47" t="str">
        <f>IF(Tabla96[[#This Row],[Id]]="","",Tabla96[[#This Row],[Total Llegados a Meta]]/Tabla96[[#This Row],[Total Inscritos]])</f>
        <v/>
      </c>
      <c r="F29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98" s="43">
        <f ca="1">NOW()-'LOS TIEMPOS'!$K$2</f>
        <v>42368.075526157409</v>
      </c>
    </row>
    <row r="299" spans="1:8" x14ac:dyDescent="0.2">
      <c r="A299" s="13" t="str">
        <f>IF(ROW()-5&lt;=COUNTA(TablaEquipos[Compite]),ROW()-7,"")</f>
        <v/>
      </c>
      <c r="B299" s="10" t="str">
        <f>IF(Tabla96[[#This Row],[Id]]="","",VLOOKUP(Tabla96[[#This Row],[Id]]+1,TablaEquipos[],3,FALSE))</f>
        <v/>
      </c>
      <c r="C299" s="45" t="str">
        <f>IF(Tabla96[[#This Row],[Id]]="","",VLOOKUP(Tabla96[[#This Row],[Id]]+1,TablaEquipos[],4,FALSE))</f>
        <v/>
      </c>
      <c r="D299" s="13" t="str">
        <f>IF(Tabla96[[#This Row],[Id]]="","",COUNTIF(TablaTiempos[Club],Tabla96[[#This Row],[Pos]]))</f>
        <v/>
      </c>
      <c r="E299" s="47" t="str">
        <f>IF(Tabla96[[#This Row],[Id]]="","",Tabla96[[#This Row],[Total Llegados a Meta]]/Tabla96[[#This Row],[Total Inscritos]])</f>
        <v/>
      </c>
      <c r="F29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299" s="43">
        <f ca="1">NOW()-'LOS TIEMPOS'!$K$2</f>
        <v>42368.075526157409</v>
      </c>
    </row>
    <row r="300" spans="1:8" x14ac:dyDescent="0.2">
      <c r="A300" s="13" t="str">
        <f>IF(ROW()-5&lt;=COUNTA(TablaEquipos[Compite]),ROW()-7,"")</f>
        <v/>
      </c>
      <c r="B300" s="10" t="str">
        <f>IF(Tabla96[[#This Row],[Id]]="","",VLOOKUP(Tabla96[[#This Row],[Id]]+1,TablaEquipos[],3,FALSE))</f>
        <v/>
      </c>
      <c r="C300" s="45" t="str">
        <f>IF(Tabla96[[#This Row],[Id]]="","",VLOOKUP(Tabla96[[#This Row],[Id]]+1,TablaEquipos[],4,FALSE))</f>
        <v/>
      </c>
      <c r="D300" s="13" t="str">
        <f>IF(Tabla96[[#This Row],[Id]]="","",COUNTIF(TablaTiempos[Club],Tabla96[[#This Row],[Pos]]))</f>
        <v/>
      </c>
      <c r="E300" s="47" t="str">
        <f>IF(Tabla96[[#This Row],[Id]]="","",Tabla96[[#This Row],[Total Llegados a Meta]]/Tabla96[[#This Row],[Total Inscritos]])</f>
        <v/>
      </c>
      <c r="F30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00" s="43">
        <f ca="1">NOW()-'LOS TIEMPOS'!$K$2</f>
        <v>42368.075526157409</v>
      </c>
    </row>
    <row r="301" spans="1:8" x14ac:dyDescent="0.2">
      <c r="A301" s="13" t="str">
        <f>IF(ROW()-5&lt;=COUNTA(TablaEquipos[Compite]),ROW()-7,"")</f>
        <v/>
      </c>
      <c r="B301" s="10" t="str">
        <f>IF(Tabla96[[#This Row],[Id]]="","",VLOOKUP(Tabla96[[#This Row],[Id]]+1,TablaEquipos[],3,FALSE))</f>
        <v/>
      </c>
      <c r="C301" s="45" t="str">
        <f>IF(Tabla96[[#This Row],[Id]]="","",VLOOKUP(Tabla96[[#This Row],[Id]]+1,TablaEquipos[],4,FALSE))</f>
        <v/>
      </c>
      <c r="D301" s="13" t="str">
        <f>IF(Tabla96[[#This Row],[Id]]="","",COUNTIF(TablaTiempos[Club],Tabla96[[#This Row],[Pos]]))</f>
        <v/>
      </c>
      <c r="E301" s="47" t="str">
        <f>IF(Tabla96[[#This Row],[Id]]="","",Tabla96[[#This Row],[Total Llegados a Meta]]/Tabla96[[#This Row],[Total Inscritos]])</f>
        <v/>
      </c>
      <c r="F30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01" s="43">
        <f ca="1">NOW()-'LOS TIEMPOS'!$K$2</f>
        <v>42368.075526157409</v>
      </c>
    </row>
    <row r="302" spans="1:8" x14ac:dyDescent="0.2">
      <c r="A302" s="13" t="str">
        <f>IF(ROW()-5&lt;=COUNTA(TablaEquipos[Compite]),ROW()-7,"")</f>
        <v/>
      </c>
      <c r="B302" s="10" t="str">
        <f>IF(Tabla96[[#This Row],[Id]]="","",VLOOKUP(Tabla96[[#This Row],[Id]]+1,TablaEquipos[],3,FALSE))</f>
        <v/>
      </c>
      <c r="C302" s="45" t="str">
        <f>IF(Tabla96[[#This Row],[Id]]="","",VLOOKUP(Tabla96[[#This Row],[Id]]+1,TablaEquipos[],4,FALSE))</f>
        <v/>
      </c>
      <c r="D302" s="13" t="str">
        <f>IF(Tabla96[[#This Row],[Id]]="","",COUNTIF(TablaTiempos[Club],Tabla96[[#This Row],[Pos]]))</f>
        <v/>
      </c>
      <c r="E302" s="47" t="str">
        <f>IF(Tabla96[[#This Row],[Id]]="","",Tabla96[[#This Row],[Total Llegados a Meta]]/Tabla96[[#This Row],[Total Inscritos]])</f>
        <v/>
      </c>
      <c r="F30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02" s="43">
        <f ca="1">NOW()-'LOS TIEMPOS'!$K$2</f>
        <v>42368.075526157409</v>
      </c>
    </row>
    <row r="303" spans="1:8" x14ac:dyDescent="0.2">
      <c r="A303" s="13" t="str">
        <f>IF(ROW()-5&lt;=COUNTA(TablaEquipos[Compite]),ROW()-7,"")</f>
        <v/>
      </c>
      <c r="B303" s="10" t="str">
        <f>IF(Tabla96[[#This Row],[Id]]="","",VLOOKUP(Tabla96[[#This Row],[Id]]+1,TablaEquipos[],3,FALSE))</f>
        <v/>
      </c>
      <c r="C303" s="45" t="str">
        <f>IF(Tabla96[[#This Row],[Id]]="","",VLOOKUP(Tabla96[[#This Row],[Id]]+1,TablaEquipos[],4,FALSE))</f>
        <v/>
      </c>
      <c r="D303" s="13" t="str">
        <f>IF(Tabla96[[#This Row],[Id]]="","",COUNTIF(TablaTiempos[Club],Tabla96[[#This Row],[Pos]]))</f>
        <v/>
      </c>
      <c r="E303" s="47" t="str">
        <f>IF(Tabla96[[#This Row],[Id]]="","",Tabla96[[#This Row],[Total Llegados a Meta]]/Tabla96[[#This Row],[Total Inscritos]])</f>
        <v/>
      </c>
      <c r="F30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03" s="43">
        <f ca="1">NOW()-'LOS TIEMPOS'!$K$2</f>
        <v>42368.075526157409</v>
      </c>
    </row>
    <row r="304" spans="1:8" x14ac:dyDescent="0.2">
      <c r="A304" s="13" t="str">
        <f>IF(ROW()-5&lt;=COUNTA(TablaEquipos[Compite]),ROW()-7,"")</f>
        <v/>
      </c>
      <c r="B304" s="10" t="str">
        <f>IF(Tabla96[[#This Row],[Id]]="","",VLOOKUP(Tabla96[[#This Row],[Id]]+1,TablaEquipos[],3,FALSE))</f>
        <v/>
      </c>
      <c r="C304" s="45" t="str">
        <f>IF(Tabla96[[#This Row],[Id]]="","",VLOOKUP(Tabla96[[#This Row],[Id]]+1,TablaEquipos[],4,FALSE))</f>
        <v/>
      </c>
      <c r="D304" s="13" t="str">
        <f>IF(Tabla96[[#This Row],[Id]]="","",COUNTIF(TablaTiempos[Club],Tabla96[[#This Row],[Pos]]))</f>
        <v/>
      </c>
      <c r="E304" s="47" t="str">
        <f>IF(Tabla96[[#This Row],[Id]]="","",Tabla96[[#This Row],[Total Llegados a Meta]]/Tabla96[[#This Row],[Total Inscritos]])</f>
        <v/>
      </c>
      <c r="F30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04" s="43">
        <f ca="1">NOW()-'LOS TIEMPOS'!$K$2</f>
        <v>42368.075526157409</v>
      </c>
    </row>
    <row r="305" spans="1:8" x14ac:dyDescent="0.2">
      <c r="A305" s="13" t="str">
        <f>IF(ROW()-5&lt;=COUNTA(TablaEquipos[Compite]),ROW()-7,"")</f>
        <v/>
      </c>
      <c r="B305" s="10" t="str">
        <f>IF(Tabla96[[#This Row],[Id]]="","",VLOOKUP(Tabla96[[#This Row],[Id]]+1,TablaEquipos[],3,FALSE))</f>
        <v/>
      </c>
      <c r="C305" s="45" t="str">
        <f>IF(Tabla96[[#This Row],[Id]]="","",VLOOKUP(Tabla96[[#This Row],[Id]]+1,TablaEquipos[],4,FALSE))</f>
        <v/>
      </c>
      <c r="D305" s="13" t="str">
        <f>IF(Tabla96[[#This Row],[Id]]="","",COUNTIF(TablaTiempos[Club],Tabla96[[#This Row],[Pos]]))</f>
        <v/>
      </c>
      <c r="E305" s="47" t="str">
        <f>IF(Tabla96[[#This Row],[Id]]="","",Tabla96[[#This Row],[Total Llegados a Meta]]/Tabla96[[#This Row],[Total Inscritos]])</f>
        <v/>
      </c>
      <c r="F30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05" s="43">
        <f ca="1">NOW()-'LOS TIEMPOS'!$K$2</f>
        <v>42368.075526157409</v>
      </c>
    </row>
    <row r="306" spans="1:8" x14ac:dyDescent="0.2">
      <c r="A306" s="13" t="str">
        <f>IF(ROW()-5&lt;=COUNTA(TablaEquipos[Compite]),ROW()-7,"")</f>
        <v/>
      </c>
      <c r="B306" s="10" t="str">
        <f>IF(Tabla96[[#This Row],[Id]]="","",VLOOKUP(Tabla96[[#This Row],[Id]]+1,TablaEquipos[],3,FALSE))</f>
        <v/>
      </c>
      <c r="C306" s="45" t="str">
        <f>IF(Tabla96[[#This Row],[Id]]="","",VLOOKUP(Tabla96[[#This Row],[Id]]+1,TablaEquipos[],4,FALSE))</f>
        <v/>
      </c>
      <c r="D306" s="13" t="str">
        <f>IF(Tabla96[[#This Row],[Id]]="","",COUNTIF(TablaTiempos[Club],Tabla96[[#This Row],[Pos]]))</f>
        <v/>
      </c>
      <c r="E306" s="47" t="str">
        <f>IF(Tabla96[[#This Row],[Id]]="","",Tabla96[[#This Row],[Total Llegados a Meta]]/Tabla96[[#This Row],[Total Inscritos]])</f>
        <v/>
      </c>
      <c r="F30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06" s="43">
        <f ca="1">NOW()-'LOS TIEMPOS'!$K$2</f>
        <v>42368.075526157409</v>
      </c>
    </row>
    <row r="307" spans="1:8" x14ac:dyDescent="0.2">
      <c r="A307" s="13" t="str">
        <f>IF(ROW()-5&lt;=COUNTA(TablaEquipos[Compite]),ROW()-7,"")</f>
        <v/>
      </c>
      <c r="B307" s="10" t="str">
        <f>IF(Tabla96[[#This Row],[Id]]="","",VLOOKUP(Tabla96[[#This Row],[Id]]+1,TablaEquipos[],3,FALSE))</f>
        <v/>
      </c>
      <c r="C307" s="45" t="str">
        <f>IF(Tabla96[[#This Row],[Id]]="","",VLOOKUP(Tabla96[[#This Row],[Id]]+1,TablaEquipos[],4,FALSE))</f>
        <v/>
      </c>
      <c r="D307" s="13" t="str">
        <f>IF(Tabla96[[#This Row],[Id]]="","",COUNTIF(TablaTiempos[Club],Tabla96[[#This Row],[Pos]]))</f>
        <v/>
      </c>
      <c r="E307" s="47" t="str">
        <f>IF(Tabla96[[#This Row],[Id]]="","",Tabla96[[#This Row],[Total Llegados a Meta]]/Tabla96[[#This Row],[Total Inscritos]])</f>
        <v/>
      </c>
      <c r="F30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07" s="43">
        <f ca="1">NOW()-'LOS TIEMPOS'!$K$2</f>
        <v>42368.075526157409</v>
      </c>
    </row>
    <row r="308" spans="1:8" x14ac:dyDescent="0.2">
      <c r="A308" s="13" t="str">
        <f>IF(ROW()-5&lt;=COUNTA(TablaEquipos[Compite]),ROW()-7,"")</f>
        <v/>
      </c>
      <c r="B308" s="10" t="str">
        <f>IF(Tabla96[[#This Row],[Id]]="","",VLOOKUP(Tabla96[[#This Row],[Id]]+1,TablaEquipos[],3,FALSE))</f>
        <v/>
      </c>
      <c r="C308" s="45" t="str">
        <f>IF(Tabla96[[#This Row],[Id]]="","",VLOOKUP(Tabla96[[#This Row],[Id]]+1,TablaEquipos[],4,FALSE))</f>
        <v/>
      </c>
      <c r="D308" s="13" t="str">
        <f>IF(Tabla96[[#This Row],[Id]]="","",COUNTIF(TablaTiempos[Club],Tabla96[[#This Row],[Pos]]))</f>
        <v/>
      </c>
      <c r="E308" s="47" t="str">
        <f>IF(Tabla96[[#This Row],[Id]]="","",Tabla96[[#This Row],[Total Llegados a Meta]]/Tabla96[[#This Row],[Total Inscritos]])</f>
        <v/>
      </c>
      <c r="F30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08" s="43">
        <f ca="1">NOW()-'LOS TIEMPOS'!$K$2</f>
        <v>42368.075526157409</v>
      </c>
    </row>
    <row r="309" spans="1:8" x14ac:dyDescent="0.2">
      <c r="A309" s="13" t="str">
        <f>IF(ROW()-5&lt;=COUNTA(TablaEquipos[Compite]),ROW()-7,"")</f>
        <v/>
      </c>
      <c r="B309" s="10" t="str">
        <f>IF(Tabla96[[#This Row],[Id]]="","",VLOOKUP(Tabla96[[#This Row],[Id]]+1,TablaEquipos[],3,FALSE))</f>
        <v/>
      </c>
      <c r="C309" s="45" t="str">
        <f>IF(Tabla96[[#This Row],[Id]]="","",VLOOKUP(Tabla96[[#This Row],[Id]]+1,TablaEquipos[],4,FALSE))</f>
        <v/>
      </c>
      <c r="D309" s="13" t="str">
        <f>IF(Tabla96[[#This Row],[Id]]="","",COUNTIF(TablaTiempos[Club],Tabla96[[#This Row],[Pos]]))</f>
        <v/>
      </c>
      <c r="E309" s="47" t="str">
        <f>IF(Tabla96[[#This Row],[Id]]="","",Tabla96[[#This Row],[Total Llegados a Meta]]/Tabla96[[#This Row],[Total Inscritos]])</f>
        <v/>
      </c>
      <c r="F30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09" s="43">
        <f ca="1">NOW()-'LOS TIEMPOS'!$K$2</f>
        <v>42368.075526157409</v>
      </c>
    </row>
    <row r="310" spans="1:8" x14ac:dyDescent="0.2">
      <c r="A310" s="13" t="str">
        <f>IF(ROW()-5&lt;=COUNTA(TablaEquipos[Compite]),ROW()-7,"")</f>
        <v/>
      </c>
      <c r="B310" s="10" t="str">
        <f>IF(Tabla96[[#This Row],[Id]]="","",VLOOKUP(Tabla96[[#This Row],[Id]]+1,TablaEquipos[],3,FALSE))</f>
        <v/>
      </c>
      <c r="C310" s="45" t="str">
        <f>IF(Tabla96[[#This Row],[Id]]="","",VLOOKUP(Tabla96[[#This Row],[Id]]+1,TablaEquipos[],4,FALSE))</f>
        <v/>
      </c>
      <c r="D310" s="13" t="str">
        <f>IF(Tabla96[[#This Row],[Id]]="","",COUNTIF(TablaTiempos[Club],Tabla96[[#This Row],[Pos]]))</f>
        <v/>
      </c>
      <c r="E310" s="47" t="str">
        <f>IF(Tabla96[[#This Row],[Id]]="","",Tabla96[[#This Row],[Total Llegados a Meta]]/Tabla96[[#This Row],[Total Inscritos]])</f>
        <v/>
      </c>
      <c r="F31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10" s="43">
        <f ca="1">NOW()-'LOS TIEMPOS'!$K$2</f>
        <v>42368.075526157409</v>
      </c>
    </row>
    <row r="311" spans="1:8" x14ac:dyDescent="0.2">
      <c r="A311" s="13" t="str">
        <f>IF(ROW()-5&lt;=COUNTA(TablaEquipos[Compite]),ROW()-7,"")</f>
        <v/>
      </c>
      <c r="B311" s="10" t="str">
        <f>IF(Tabla96[[#This Row],[Id]]="","",VLOOKUP(Tabla96[[#This Row],[Id]]+1,TablaEquipos[],3,FALSE))</f>
        <v/>
      </c>
      <c r="C311" s="45" t="str">
        <f>IF(Tabla96[[#This Row],[Id]]="","",VLOOKUP(Tabla96[[#This Row],[Id]]+1,TablaEquipos[],4,FALSE))</f>
        <v/>
      </c>
      <c r="D311" s="13" t="str">
        <f>IF(Tabla96[[#This Row],[Id]]="","",COUNTIF(TablaTiempos[Club],Tabla96[[#This Row],[Pos]]))</f>
        <v/>
      </c>
      <c r="E311" s="47" t="str">
        <f>IF(Tabla96[[#This Row],[Id]]="","",Tabla96[[#This Row],[Total Llegados a Meta]]/Tabla96[[#This Row],[Total Inscritos]])</f>
        <v/>
      </c>
      <c r="F31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11" s="43">
        <f ca="1">NOW()-'LOS TIEMPOS'!$K$2</f>
        <v>42368.075526157409</v>
      </c>
    </row>
    <row r="312" spans="1:8" x14ac:dyDescent="0.2">
      <c r="A312" s="13" t="str">
        <f>IF(ROW()-5&lt;=COUNTA(TablaEquipos[Compite]),ROW()-7,"")</f>
        <v/>
      </c>
      <c r="B312" s="10" t="str">
        <f>IF(Tabla96[[#This Row],[Id]]="","",VLOOKUP(Tabla96[[#This Row],[Id]]+1,TablaEquipos[],3,FALSE))</f>
        <v/>
      </c>
      <c r="C312" s="45" t="str">
        <f>IF(Tabla96[[#This Row],[Id]]="","",VLOOKUP(Tabla96[[#This Row],[Id]]+1,TablaEquipos[],4,FALSE))</f>
        <v/>
      </c>
      <c r="D312" s="13" t="str">
        <f>IF(Tabla96[[#This Row],[Id]]="","",COUNTIF(TablaTiempos[Club],Tabla96[[#This Row],[Pos]]))</f>
        <v/>
      </c>
      <c r="E312" s="47" t="str">
        <f>IF(Tabla96[[#This Row],[Id]]="","",Tabla96[[#This Row],[Total Llegados a Meta]]/Tabla96[[#This Row],[Total Inscritos]])</f>
        <v/>
      </c>
      <c r="F31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12" s="43">
        <f ca="1">NOW()-'LOS TIEMPOS'!$K$2</f>
        <v>42368.075526157409</v>
      </c>
    </row>
    <row r="313" spans="1:8" x14ac:dyDescent="0.2">
      <c r="A313" s="13" t="str">
        <f>IF(ROW()-5&lt;=COUNTA(TablaEquipos[Compite]),ROW()-7,"")</f>
        <v/>
      </c>
      <c r="B313" s="10" t="str">
        <f>IF(Tabla96[[#This Row],[Id]]="","",VLOOKUP(Tabla96[[#This Row],[Id]]+1,TablaEquipos[],3,FALSE))</f>
        <v/>
      </c>
      <c r="C313" s="45" t="str">
        <f>IF(Tabla96[[#This Row],[Id]]="","",VLOOKUP(Tabla96[[#This Row],[Id]]+1,TablaEquipos[],4,FALSE))</f>
        <v/>
      </c>
      <c r="D313" s="13" t="str">
        <f>IF(Tabla96[[#This Row],[Id]]="","",COUNTIF(TablaTiempos[Club],Tabla96[[#This Row],[Pos]]))</f>
        <v/>
      </c>
      <c r="E313" s="47" t="str">
        <f>IF(Tabla96[[#This Row],[Id]]="","",Tabla96[[#This Row],[Total Llegados a Meta]]/Tabla96[[#This Row],[Total Inscritos]])</f>
        <v/>
      </c>
      <c r="F31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13" s="43">
        <f ca="1">NOW()-'LOS TIEMPOS'!$K$2</f>
        <v>42368.075526157409</v>
      </c>
    </row>
    <row r="314" spans="1:8" x14ac:dyDescent="0.2">
      <c r="A314" s="13" t="str">
        <f>IF(ROW()-5&lt;=COUNTA(TablaEquipos[Compite]),ROW()-7,"")</f>
        <v/>
      </c>
      <c r="B314" s="10" t="str">
        <f>IF(Tabla96[[#This Row],[Id]]="","",VLOOKUP(Tabla96[[#This Row],[Id]]+1,TablaEquipos[],3,FALSE))</f>
        <v/>
      </c>
      <c r="C314" s="45" t="str">
        <f>IF(Tabla96[[#This Row],[Id]]="","",VLOOKUP(Tabla96[[#This Row],[Id]]+1,TablaEquipos[],4,FALSE))</f>
        <v/>
      </c>
      <c r="D314" s="13" t="str">
        <f>IF(Tabla96[[#This Row],[Id]]="","",COUNTIF(TablaTiempos[Club],Tabla96[[#This Row],[Pos]]))</f>
        <v/>
      </c>
      <c r="E314" s="47" t="str">
        <f>IF(Tabla96[[#This Row],[Id]]="","",Tabla96[[#This Row],[Total Llegados a Meta]]/Tabla96[[#This Row],[Total Inscritos]])</f>
        <v/>
      </c>
      <c r="F31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14" s="43">
        <f ca="1">NOW()-'LOS TIEMPOS'!$K$2</f>
        <v>42368.075526157409</v>
      </c>
    </row>
    <row r="315" spans="1:8" x14ac:dyDescent="0.2">
      <c r="A315" s="13" t="str">
        <f>IF(ROW()-5&lt;=COUNTA(TablaEquipos[Compite]),ROW()-7,"")</f>
        <v/>
      </c>
      <c r="B315" s="10" t="str">
        <f>IF(Tabla96[[#This Row],[Id]]="","",VLOOKUP(Tabla96[[#This Row],[Id]]+1,TablaEquipos[],3,FALSE))</f>
        <v/>
      </c>
      <c r="C315" s="45" t="str">
        <f>IF(Tabla96[[#This Row],[Id]]="","",VLOOKUP(Tabla96[[#This Row],[Id]]+1,TablaEquipos[],4,FALSE))</f>
        <v/>
      </c>
      <c r="D315" s="13" t="str">
        <f>IF(Tabla96[[#This Row],[Id]]="","",COUNTIF(TablaTiempos[Club],Tabla96[[#This Row],[Pos]]))</f>
        <v/>
      </c>
      <c r="E315" s="47" t="str">
        <f>IF(Tabla96[[#This Row],[Id]]="","",Tabla96[[#This Row],[Total Llegados a Meta]]/Tabla96[[#This Row],[Total Inscritos]])</f>
        <v/>
      </c>
      <c r="F31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15" s="43">
        <f ca="1">NOW()-'LOS TIEMPOS'!$K$2</f>
        <v>42368.075526157409</v>
      </c>
    </row>
    <row r="316" spans="1:8" x14ac:dyDescent="0.2">
      <c r="A316" s="13" t="str">
        <f>IF(ROW()-5&lt;=COUNTA(TablaEquipos[Compite]),ROW()-7,"")</f>
        <v/>
      </c>
      <c r="B316" s="10" t="str">
        <f>IF(Tabla96[[#This Row],[Id]]="","",VLOOKUP(Tabla96[[#This Row],[Id]]+1,TablaEquipos[],3,FALSE))</f>
        <v/>
      </c>
      <c r="C316" s="45" t="str">
        <f>IF(Tabla96[[#This Row],[Id]]="","",VLOOKUP(Tabla96[[#This Row],[Id]]+1,TablaEquipos[],4,FALSE))</f>
        <v/>
      </c>
      <c r="D316" s="13" t="str">
        <f>IF(Tabla96[[#This Row],[Id]]="","",COUNTIF(TablaTiempos[Club],Tabla96[[#This Row],[Pos]]))</f>
        <v/>
      </c>
      <c r="E316" s="47" t="str">
        <f>IF(Tabla96[[#This Row],[Id]]="","",Tabla96[[#This Row],[Total Llegados a Meta]]/Tabla96[[#This Row],[Total Inscritos]])</f>
        <v/>
      </c>
      <c r="F31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16" s="43">
        <f ca="1">NOW()-'LOS TIEMPOS'!$K$2</f>
        <v>42368.075526157409</v>
      </c>
    </row>
    <row r="317" spans="1:8" x14ac:dyDescent="0.2">
      <c r="A317" s="13" t="str">
        <f>IF(ROW()-5&lt;=COUNTA(TablaEquipos[Compite]),ROW()-7,"")</f>
        <v/>
      </c>
      <c r="B317" s="10" t="str">
        <f>IF(Tabla96[[#This Row],[Id]]="","",VLOOKUP(Tabla96[[#This Row],[Id]]+1,TablaEquipos[],3,FALSE))</f>
        <v/>
      </c>
      <c r="C317" s="45" t="str">
        <f>IF(Tabla96[[#This Row],[Id]]="","",VLOOKUP(Tabla96[[#This Row],[Id]]+1,TablaEquipos[],4,FALSE))</f>
        <v/>
      </c>
      <c r="D317" s="13" t="str">
        <f>IF(Tabla96[[#This Row],[Id]]="","",COUNTIF(TablaTiempos[Club],Tabla96[[#This Row],[Pos]]))</f>
        <v/>
      </c>
      <c r="E317" s="47" t="str">
        <f>IF(Tabla96[[#This Row],[Id]]="","",Tabla96[[#This Row],[Total Llegados a Meta]]/Tabla96[[#This Row],[Total Inscritos]])</f>
        <v/>
      </c>
      <c r="F31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17" s="43">
        <f ca="1">NOW()-'LOS TIEMPOS'!$K$2</f>
        <v>42368.075526157409</v>
      </c>
    </row>
    <row r="318" spans="1:8" x14ac:dyDescent="0.2">
      <c r="A318" s="13" t="str">
        <f>IF(ROW()-5&lt;=COUNTA(TablaEquipos[Compite]),ROW()-7,"")</f>
        <v/>
      </c>
      <c r="B318" s="10" t="str">
        <f>IF(Tabla96[[#This Row],[Id]]="","",VLOOKUP(Tabla96[[#This Row],[Id]]+1,TablaEquipos[],3,FALSE))</f>
        <v/>
      </c>
      <c r="C318" s="45" t="str">
        <f>IF(Tabla96[[#This Row],[Id]]="","",VLOOKUP(Tabla96[[#This Row],[Id]]+1,TablaEquipos[],4,FALSE))</f>
        <v/>
      </c>
      <c r="D318" s="13" t="str">
        <f>IF(Tabla96[[#This Row],[Id]]="","",COUNTIF(TablaTiempos[Club],Tabla96[[#This Row],[Pos]]))</f>
        <v/>
      </c>
      <c r="E318" s="47" t="str">
        <f>IF(Tabla96[[#This Row],[Id]]="","",Tabla96[[#This Row],[Total Llegados a Meta]]/Tabla96[[#This Row],[Total Inscritos]])</f>
        <v/>
      </c>
      <c r="F31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18" s="43">
        <f ca="1">NOW()-'LOS TIEMPOS'!$K$2</f>
        <v>42368.075526157409</v>
      </c>
    </row>
    <row r="319" spans="1:8" x14ac:dyDescent="0.2">
      <c r="A319" s="13" t="str">
        <f>IF(ROW()-5&lt;=COUNTA(TablaEquipos[Compite]),ROW()-7,"")</f>
        <v/>
      </c>
      <c r="B319" s="10" t="str">
        <f>IF(Tabla96[[#This Row],[Id]]="","",VLOOKUP(Tabla96[[#This Row],[Id]]+1,TablaEquipos[],3,FALSE))</f>
        <v/>
      </c>
      <c r="C319" s="45" t="str">
        <f>IF(Tabla96[[#This Row],[Id]]="","",VLOOKUP(Tabla96[[#This Row],[Id]]+1,TablaEquipos[],4,FALSE))</f>
        <v/>
      </c>
      <c r="D319" s="13" t="str">
        <f>IF(Tabla96[[#This Row],[Id]]="","",COUNTIF(TablaTiempos[Club],Tabla96[[#This Row],[Pos]]))</f>
        <v/>
      </c>
      <c r="E319" s="47" t="str">
        <f>IF(Tabla96[[#This Row],[Id]]="","",Tabla96[[#This Row],[Total Llegados a Meta]]/Tabla96[[#This Row],[Total Inscritos]])</f>
        <v/>
      </c>
      <c r="F31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19" s="43">
        <f ca="1">NOW()-'LOS TIEMPOS'!$K$2</f>
        <v>42368.075526157409</v>
      </c>
    </row>
    <row r="320" spans="1:8" x14ac:dyDescent="0.2">
      <c r="A320" s="13" t="str">
        <f>IF(ROW()-5&lt;=COUNTA(TablaEquipos[Compite]),ROW()-7,"")</f>
        <v/>
      </c>
      <c r="B320" s="10" t="str">
        <f>IF(Tabla96[[#This Row],[Id]]="","",VLOOKUP(Tabla96[[#This Row],[Id]]+1,TablaEquipos[],3,FALSE))</f>
        <v/>
      </c>
      <c r="C320" s="45" t="str">
        <f>IF(Tabla96[[#This Row],[Id]]="","",VLOOKUP(Tabla96[[#This Row],[Id]]+1,TablaEquipos[],4,FALSE))</f>
        <v/>
      </c>
      <c r="D320" s="13" t="str">
        <f>IF(Tabla96[[#This Row],[Id]]="","",COUNTIF(TablaTiempos[Club],Tabla96[[#This Row],[Pos]]))</f>
        <v/>
      </c>
      <c r="E320" s="47" t="str">
        <f>IF(Tabla96[[#This Row],[Id]]="","",Tabla96[[#This Row],[Total Llegados a Meta]]/Tabla96[[#This Row],[Total Inscritos]])</f>
        <v/>
      </c>
      <c r="F32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20" s="43">
        <f ca="1">NOW()-'LOS TIEMPOS'!$K$2</f>
        <v>42368.075526157409</v>
      </c>
    </row>
    <row r="321" spans="1:8" x14ac:dyDescent="0.2">
      <c r="A321" s="13" t="str">
        <f>IF(ROW()-5&lt;=COUNTA(TablaEquipos[Compite]),ROW()-7,"")</f>
        <v/>
      </c>
      <c r="B321" s="10" t="str">
        <f>IF(Tabla96[[#This Row],[Id]]="","",VLOOKUP(Tabla96[[#This Row],[Id]]+1,TablaEquipos[],3,FALSE))</f>
        <v/>
      </c>
      <c r="C321" s="45" t="str">
        <f>IF(Tabla96[[#This Row],[Id]]="","",VLOOKUP(Tabla96[[#This Row],[Id]]+1,TablaEquipos[],4,FALSE))</f>
        <v/>
      </c>
      <c r="D321" s="13" t="str">
        <f>IF(Tabla96[[#This Row],[Id]]="","",COUNTIF(TablaTiempos[Club],Tabla96[[#This Row],[Pos]]))</f>
        <v/>
      </c>
      <c r="E321" s="47" t="str">
        <f>IF(Tabla96[[#This Row],[Id]]="","",Tabla96[[#This Row],[Total Llegados a Meta]]/Tabla96[[#This Row],[Total Inscritos]])</f>
        <v/>
      </c>
      <c r="F32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21" s="43">
        <f ca="1">NOW()-'LOS TIEMPOS'!$K$2</f>
        <v>42368.075526157409</v>
      </c>
    </row>
    <row r="322" spans="1:8" x14ac:dyDescent="0.2">
      <c r="A322" s="13" t="str">
        <f>IF(ROW()-5&lt;=COUNTA(TablaEquipos[Compite]),ROW()-7,"")</f>
        <v/>
      </c>
      <c r="B322" s="10" t="str">
        <f>IF(Tabla96[[#This Row],[Id]]="","",VLOOKUP(Tabla96[[#This Row],[Id]]+1,TablaEquipos[],3,FALSE))</f>
        <v/>
      </c>
      <c r="C322" s="45" t="str">
        <f>IF(Tabla96[[#This Row],[Id]]="","",VLOOKUP(Tabla96[[#This Row],[Id]]+1,TablaEquipos[],4,FALSE))</f>
        <v/>
      </c>
      <c r="D322" s="13" t="str">
        <f>IF(Tabla96[[#This Row],[Id]]="","",COUNTIF(TablaTiempos[Club],Tabla96[[#This Row],[Pos]]))</f>
        <v/>
      </c>
      <c r="E322" s="47" t="str">
        <f>IF(Tabla96[[#This Row],[Id]]="","",Tabla96[[#This Row],[Total Llegados a Meta]]/Tabla96[[#This Row],[Total Inscritos]])</f>
        <v/>
      </c>
      <c r="F32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22" s="43">
        <f ca="1">NOW()-'LOS TIEMPOS'!$K$2</f>
        <v>42368.075526157409</v>
      </c>
    </row>
    <row r="323" spans="1:8" x14ac:dyDescent="0.2">
      <c r="A323" s="13" t="str">
        <f>IF(ROW()-5&lt;=COUNTA(TablaEquipos[Compite]),ROW()-7,"")</f>
        <v/>
      </c>
      <c r="B323" s="10" t="str">
        <f>IF(Tabla96[[#This Row],[Id]]="","",VLOOKUP(Tabla96[[#This Row],[Id]]+1,TablaEquipos[],3,FALSE))</f>
        <v/>
      </c>
      <c r="C323" s="45" t="str">
        <f>IF(Tabla96[[#This Row],[Id]]="","",VLOOKUP(Tabla96[[#This Row],[Id]]+1,TablaEquipos[],4,FALSE))</f>
        <v/>
      </c>
      <c r="D323" s="13" t="str">
        <f>IF(Tabla96[[#This Row],[Id]]="","",COUNTIF(TablaTiempos[Club],Tabla96[[#This Row],[Pos]]))</f>
        <v/>
      </c>
      <c r="E323" s="47" t="str">
        <f>IF(Tabla96[[#This Row],[Id]]="","",Tabla96[[#This Row],[Total Llegados a Meta]]/Tabla96[[#This Row],[Total Inscritos]])</f>
        <v/>
      </c>
      <c r="F32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23" s="43">
        <f ca="1">NOW()-'LOS TIEMPOS'!$K$2</f>
        <v>42368.075526157409</v>
      </c>
    </row>
    <row r="324" spans="1:8" x14ac:dyDescent="0.2">
      <c r="A324" s="13" t="str">
        <f>IF(ROW()-5&lt;=COUNTA(TablaEquipos[Compite]),ROW()-7,"")</f>
        <v/>
      </c>
      <c r="B324" s="10" t="str">
        <f>IF(Tabla96[[#This Row],[Id]]="","",VLOOKUP(Tabla96[[#This Row],[Id]]+1,TablaEquipos[],3,FALSE))</f>
        <v/>
      </c>
      <c r="C324" s="45" t="str">
        <f>IF(Tabla96[[#This Row],[Id]]="","",VLOOKUP(Tabla96[[#This Row],[Id]]+1,TablaEquipos[],4,FALSE))</f>
        <v/>
      </c>
      <c r="D324" s="13" t="str">
        <f>IF(Tabla96[[#This Row],[Id]]="","",COUNTIF(TablaTiempos[Club],Tabla96[[#This Row],[Pos]]))</f>
        <v/>
      </c>
      <c r="E324" s="47" t="str">
        <f>IF(Tabla96[[#This Row],[Id]]="","",Tabla96[[#This Row],[Total Llegados a Meta]]/Tabla96[[#This Row],[Total Inscritos]])</f>
        <v/>
      </c>
      <c r="F32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24" s="43">
        <f ca="1">NOW()-'LOS TIEMPOS'!$K$2</f>
        <v>42368.075526157409</v>
      </c>
    </row>
    <row r="325" spans="1:8" x14ac:dyDescent="0.2">
      <c r="A325" s="13" t="str">
        <f>IF(ROW()-5&lt;=COUNTA(TablaEquipos[Compite]),ROW()-7,"")</f>
        <v/>
      </c>
      <c r="B325" s="10" t="str">
        <f>IF(Tabla96[[#This Row],[Id]]="","",VLOOKUP(Tabla96[[#This Row],[Id]]+1,TablaEquipos[],3,FALSE))</f>
        <v/>
      </c>
      <c r="C325" s="45" t="str">
        <f>IF(Tabla96[[#This Row],[Id]]="","",VLOOKUP(Tabla96[[#This Row],[Id]]+1,TablaEquipos[],4,FALSE))</f>
        <v/>
      </c>
      <c r="D325" s="13" t="str">
        <f>IF(Tabla96[[#This Row],[Id]]="","",COUNTIF(TablaTiempos[Club],Tabla96[[#This Row],[Pos]]))</f>
        <v/>
      </c>
      <c r="E325" s="47" t="str">
        <f>IF(Tabla96[[#This Row],[Id]]="","",Tabla96[[#This Row],[Total Llegados a Meta]]/Tabla96[[#This Row],[Total Inscritos]])</f>
        <v/>
      </c>
      <c r="F32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25" s="43">
        <f ca="1">NOW()-'LOS TIEMPOS'!$K$2</f>
        <v>42368.075526157409</v>
      </c>
    </row>
    <row r="326" spans="1:8" x14ac:dyDescent="0.2">
      <c r="A326" s="13" t="str">
        <f>IF(ROW()-5&lt;=COUNTA(TablaEquipos[Compite]),ROW()-7,"")</f>
        <v/>
      </c>
      <c r="B326" s="10" t="str">
        <f>IF(Tabla96[[#This Row],[Id]]="","",VLOOKUP(Tabla96[[#This Row],[Id]]+1,TablaEquipos[],3,FALSE))</f>
        <v/>
      </c>
      <c r="C326" s="45" t="str">
        <f>IF(Tabla96[[#This Row],[Id]]="","",VLOOKUP(Tabla96[[#This Row],[Id]]+1,TablaEquipos[],4,FALSE))</f>
        <v/>
      </c>
      <c r="D326" s="13" t="str">
        <f>IF(Tabla96[[#This Row],[Id]]="","",COUNTIF(TablaTiempos[Club],Tabla96[[#This Row],[Pos]]))</f>
        <v/>
      </c>
      <c r="E326" s="47" t="str">
        <f>IF(Tabla96[[#This Row],[Id]]="","",Tabla96[[#This Row],[Total Llegados a Meta]]/Tabla96[[#This Row],[Total Inscritos]])</f>
        <v/>
      </c>
      <c r="F32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26" s="43">
        <f ca="1">NOW()-'LOS TIEMPOS'!$K$2</f>
        <v>42368.075526157409</v>
      </c>
    </row>
    <row r="327" spans="1:8" x14ac:dyDescent="0.2">
      <c r="A327" s="13" t="str">
        <f>IF(ROW()-5&lt;=COUNTA(TablaEquipos[Compite]),ROW()-7,"")</f>
        <v/>
      </c>
      <c r="B327" s="10" t="str">
        <f>IF(Tabla96[[#This Row],[Id]]="","",VLOOKUP(Tabla96[[#This Row],[Id]]+1,TablaEquipos[],3,FALSE))</f>
        <v/>
      </c>
      <c r="C327" s="45" t="str">
        <f>IF(Tabla96[[#This Row],[Id]]="","",VLOOKUP(Tabla96[[#This Row],[Id]]+1,TablaEquipos[],4,FALSE))</f>
        <v/>
      </c>
      <c r="D327" s="13" t="str">
        <f>IF(Tabla96[[#This Row],[Id]]="","",COUNTIF(TablaTiempos[Club],Tabla96[[#This Row],[Pos]]))</f>
        <v/>
      </c>
      <c r="E327" s="47" t="str">
        <f>IF(Tabla96[[#This Row],[Id]]="","",Tabla96[[#This Row],[Total Llegados a Meta]]/Tabla96[[#This Row],[Total Inscritos]])</f>
        <v/>
      </c>
      <c r="F32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27" s="43">
        <f ca="1">NOW()-'LOS TIEMPOS'!$K$2</f>
        <v>42368.075526157409</v>
      </c>
    </row>
    <row r="328" spans="1:8" x14ac:dyDescent="0.2">
      <c r="A328" s="13" t="str">
        <f>IF(ROW()-5&lt;=COUNTA(TablaEquipos[Compite]),ROW()-7,"")</f>
        <v/>
      </c>
      <c r="B328" s="10" t="str">
        <f>IF(Tabla96[[#This Row],[Id]]="","",VLOOKUP(Tabla96[[#This Row],[Id]]+1,TablaEquipos[],3,FALSE))</f>
        <v/>
      </c>
      <c r="C328" s="45" t="str">
        <f>IF(Tabla96[[#This Row],[Id]]="","",VLOOKUP(Tabla96[[#This Row],[Id]]+1,TablaEquipos[],4,FALSE))</f>
        <v/>
      </c>
      <c r="D328" s="13" t="str">
        <f>IF(Tabla96[[#This Row],[Id]]="","",COUNTIF(TablaTiempos[Club],Tabla96[[#This Row],[Pos]]))</f>
        <v/>
      </c>
      <c r="E328" s="47" t="str">
        <f>IF(Tabla96[[#This Row],[Id]]="","",Tabla96[[#This Row],[Total Llegados a Meta]]/Tabla96[[#This Row],[Total Inscritos]])</f>
        <v/>
      </c>
      <c r="F32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28" s="43">
        <f ca="1">NOW()-'LOS TIEMPOS'!$K$2</f>
        <v>42368.075526157409</v>
      </c>
    </row>
    <row r="329" spans="1:8" x14ac:dyDescent="0.2">
      <c r="A329" s="13" t="str">
        <f>IF(ROW()-5&lt;=COUNTA(TablaEquipos[Compite]),ROW()-7,"")</f>
        <v/>
      </c>
      <c r="B329" s="10" t="str">
        <f>IF(Tabla96[[#This Row],[Id]]="","",VLOOKUP(Tabla96[[#This Row],[Id]]+1,TablaEquipos[],3,FALSE))</f>
        <v/>
      </c>
      <c r="C329" s="45" t="str">
        <f>IF(Tabla96[[#This Row],[Id]]="","",VLOOKUP(Tabla96[[#This Row],[Id]]+1,TablaEquipos[],4,FALSE))</f>
        <v/>
      </c>
      <c r="D329" s="13" t="str">
        <f>IF(Tabla96[[#This Row],[Id]]="","",COUNTIF(TablaTiempos[Club],Tabla96[[#This Row],[Pos]]))</f>
        <v/>
      </c>
      <c r="E329" s="47" t="str">
        <f>IF(Tabla96[[#This Row],[Id]]="","",Tabla96[[#This Row],[Total Llegados a Meta]]/Tabla96[[#This Row],[Total Inscritos]])</f>
        <v/>
      </c>
      <c r="F32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29" s="43">
        <f ca="1">NOW()-'LOS TIEMPOS'!$K$2</f>
        <v>42368.075526157409</v>
      </c>
    </row>
    <row r="330" spans="1:8" x14ac:dyDescent="0.2">
      <c r="A330" s="13" t="str">
        <f>IF(ROW()-5&lt;=COUNTA(TablaEquipos[Compite]),ROW()-7,"")</f>
        <v/>
      </c>
      <c r="B330" s="10" t="str">
        <f>IF(Tabla96[[#This Row],[Id]]="","",VLOOKUP(Tabla96[[#This Row],[Id]]+1,TablaEquipos[],3,FALSE))</f>
        <v/>
      </c>
      <c r="C330" s="45" t="str">
        <f>IF(Tabla96[[#This Row],[Id]]="","",VLOOKUP(Tabla96[[#This Row],[Id]]+1,TablaEquipos[],4,FALSE))</f>
        <v/>
      </c>
      <c r="D330" s="13" t="str">
        <f>IF(Tabla96[[#This Row],[Id]]="","",COUNTIF(TablaTiempos[Club],Tabla96[[#This Row],[Pos]]))</f>
        <v/>
      </c>
      <c r="E330" s="47" t="str">
        <f>IF(Tabla96[[#This Row],[Id]]="","",Tabla96[[#This Row],[Total Llegados a Meta]]/Tabla96[[#This Row],[Total Inscritos]])</f>
        <v/>
      </c>
      <c r="F33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30" s="43">
        <f ca="1">NOW()-'LOS TIEMPOS'!$K$2</f>
        <v>42368.075526157409</v>
      </c>
    </row>
    <row r="331" spans="1:8" x14ac:dyDescent="0.2">
      <c r="A331" s="13" t="str">
        <f>IF(ROW()-5&lt;=COUNTA(TablaEquipos[Compite]),ROW()-7,"")</f>
        <v/>
      </c>
      <c r="B331" s="10" t="str">
        <f>IF(Tabla96[[#This Row],[Id]]="","",VLOOKUP(Tabla96[[#This Row],[Id]]+1,TablaEquipos[],3,FALSE))</f>
        <v/>
      </c>
      <c r="C331" s="45" t="str">
        <f>IF(Tabla96[[#This Row],[Id]]="","",VLOOKUP(Tabla96[[#This Row],[Id]]+1,TablaEquipos[],4,FALSE))</f>
        <v/>
      </c>
      <c r="D331" s="13" t="str">
        <f>IF(Tabla96[[#This Row],[Id]]="","",COUNTIF(TablaTiempos[Club],Tabla96[[#This Row],[Pos]]))</f>
        <v/>
      </c>
      <c r="E331" s="47" t="str">
        <f>IF(Tabla96[[#This Row],[Id]]="","",Tabla96[[#This Row],[Total Llegados a Meta]]/Tabla96[[#This Row],[Total Inscritos]])</f>
        <v/>
      </c>
      <c r="F33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31" s="43">
        <f ca="1">NOW()-'LOS TIEMPOS'!$K$2</f>
        <v>42368.075526157409</v>
      </c>
    </row>
    <row r="332" spans="1:8" x14ac:dyDescent="0.2">
      <c r="A332" s="13" t="str">
        <f>IF(ROW()-5&lt;=COUNTA(TablaEquipos[Compite]),ROW()-7,"")</f>
        <v/>
      </c>
      <c r="B332" s="10" t="str">
        <f>IF(Tabla96[[#This Row],[Id]]="","",VLOOKUP(Tabla96[[#This Row],[Id]]+1,TablaEquipos[],3,FALSE))</f>
        <v/>
      </c>
      <c r="C332" s="45" t="str">
        <f>IF(Tabla96[[#This Row],[Id]]="","",VLOOKUP(Tabla96[[#This Row],[Id]]+1,TablaEquipos[],4,FALSE))</f>
        <v/>
      </c>
      <c r="D332" s="13" t="str">
        <f>IF(Tabla96[[#This Row],[Id]]="","",COUNTIF(TablaTiempos[Club],Tabla96[[#This Row],[Pos]]))</f>
        <v/>
      </c>
      <c r="E332" s="47" t="str">
        <f>IF(Tabla96[[#This Row],[Id]]="","",Tabla96[[#This Row],[Total Llegados a Meta]]/Tabla96[[#This Row],[Total Inscritos]])</f>
        <v/>
      </c>
      <c r="F33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32" s="43">
        <f ca="1">NOW()-'LOS TIEMPOS'!$K$2</f>
        <v>42368.075526157409</v>
      </c>
    </row>
    <row r="333" spans="1:8" x14ac:dyDescent="0.2">
      <c r="A333" s="13" t="str">
        <f>IF(ROW()-5&lt;=COUNTA(TablaEquipos[Compite]),ROW()-7,"")</f>
        <v/>
      </c>
      <c r="B333" s="10" t="str">
        <f>IF(Tabla96[[#This Row],[Id]]="","",VLOOKUP(Tabla96[[#This Row],[Id]]+1,TablaEquipos[],3,FALSE))</f>
        <v/>
      </c>
      <c r="C333" s="45" t="str">
        <f>IF(Tabla96[[#This Row],[Id]]="","",VLOOKUP(Tabla96[[#This Row],[Id]]+1,TablaEquipos[],4,FALSE))</f>
        <v/>
      </c>
      <c r="D333" s="13" t="str">
        <f>IF(Tabla96[[#This Row],[Id]]="","",COUNTIF(TablaTiempos[Club],Tabla96[[#This Row],[Pos]]))</f>
        <v/>
      </c>
      <c r="E333" s="47" t="str">
        <f>IF(Tabla96[[#This Row],[Id]]="","",Tabla96[[#This Row],[Total Llegados a Meta]]/Tabla96[[#This Row],[Total Inscritos]])</f>
        <v/>
      </c>
      <c r="F33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33" s="43">
        <f ca="1">NOW()-'LOS TIEMPOS'!$K$2</f>
        <v>42368.075526157409</v>
      </c>
    </row>
    <row r="334" spans="1:8" x14ac:dyDescent="0.2">
      <c r="A334" s="13" t="str">
        <f>IF(ROW()-5&lt;=COUNTA(TablaEquipos[Compite]),ROW()-7,"")</f>
        <v/>
      </c>
      <c r="B334" s="10" t="str">
        <f>IF(Tabla96[[#This Row],[Id]]="","",VLOOKUP(Tabla96[[#This Row],[Id]]+1,TablaEquipos[],3,FALSE))</f>
        <v/>
      </c>
      <c r="C334" s="45" t="str">
        <f>IF(Tabla96[[#This Row],[Id]]="","",VLOOKUP(Tabla96[[#This Row],[Id]]+1,TablaEquipos[],4,FALSE))</f>
        <v/>
      </c>
      <c r="D334" s="13" t="str">
        <f>IF(Tabla96[[#This Row],[Id]]="","",COUNTIF(TablaTiempos[Club],Tabla96[[#This Row],[Pos]]))</f>
        <v/>
      </c>
      <c r="E334" s="47" t="str">
        <f>IF(Tabla96[[#This Row],[Id]]="","",Tabla96[[#This Row],[Total Llegados a Meta]]/Tabla96[[#This Row],[Total Inscritos]])</f>
        <v/>
      </c>
      <c r="F33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34" s="43">
        <f ca="1">NOW()-'LOS TIEMPOS'!$K$2</f>
        <v>42368.075526157409</v>
      </c>
    </row>
    <row r="335" spans="1:8" x14ac:dyDescent="0.2">
      <c r="A335" s="13" t="str">
        <f>IF(ROW()-5&lt;=COUNTA(TablaEquipos[Compite]),ROW()-7,"")</f>
        <v/>
      </c>
      <c r="B335" s="10" t="str">
        <f>IF(Tabla96[[#This Row],[Id]]="","",VLOOKUP(Tabla96[[#This Row],[Id]]+1,TablaEquipos[],3,FALSE))</f>
        <v/>
      </c>
      <c r="C335" s="45" t="str">
        <f>IF(Tabla96[[#This Row],[Id]]="","",VLOOKUP(Tabla96[[#This Row],[Id]]+1,TablaEquipos[],4,FALSE))</f>
        <v/>
      </c>
      <c r="D335" s="13" t="str">
        <f>IF(Tabla96[[#This Row],[Id]]="","",COUNTIF(TablaTiempos[Club],Tabla96[[#This Row],[Pos]]))</f>
        <v/>
      </c>
      <c r="E335" s="47" t="str">
        <f>IF(Tabla96[[#This Row],[Id]]="","",Tabla96[[#This Row],[Total Llegados a Meta]]/Tabla96[[#This Row],[Total Inscritos]])</f>
        <v/>
      </c>
      <c r="F33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35" s="43">
        <f ca="1">NOW()-'LOS TIEMPOS'!$K$2</f>
        <v>42368.075526157409</v>
      </c>
    </row>
    <row r="336" spans="1:8" x14ac:dyDescent="0.2">
      <c r="A336" s="13" t="str">
        <f>IF(ROW()-5&lt;=COUNTA(TablaEquipos[Compite]),ROW()-7,"")</f>
        <v/>
      </c>
      <c r="B336" s="10" t="str">
        <f>IF(Tabla96[[#This Row],[Id]]="","",VLOOKUP(Tabla96[[#This Row],[Id]]+1,TablaEquipos[],3,FALSE))</f>
        <v/>
      </c>
      <c r="C336" s="45" t="str">
        <f>IF(Tabla96[[#This Row],[Id]]="","",VLOOKUP(Tabla96[[#This Row],[Id]]+1,TablaEquipos[],4,FALSE))</f>
        <v/>
      </c>
      <c r="D336" s="13" t="str">
        <f>IF(Tabla96[[#This Row],[Id]]="","",COUNTIF(TablaTiempos[Club],Tabla96[[#This Row],[Pos]]))</f>
        <v/>
      </c>
      <c r="E336" s="47" t="str">
        <f>IF(Tabla96[[#This Row],[Id]]="","",Tabla96[[#This Row],[Total Llegados a Meta]]/Tabla96[[#This Row],[Total Inscritos]])</f>
        <v/>
      </c>
      <c r="F33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36" s="43">
        <f ca="1">NOW()-'LOS TIEMPOS'!$K$2</f>
        <v>42368.075526157409</v>
      </c>
    </row>
    <row r="337" spans="1:8" x14ac:dyDescent="0.2">
      <c r="A337" s="13" t="str">
        <f>IF(ROW()-5&lt;=COUNTA(TablaEquipos[Compite]),ROW()-7,"")</f>
        <v/>
      </c>
      <c r="B337" s="10" t="str">
        <f>IF(Tabla96[[#This Row],[Id]]="","",VLOOKUP(Tabla96[[#This Row],[Id]]+1,TablaEquipos[],3,FALSE))</f>
        <v/>
      </c>
      <c r="C337" s="45" t="str">
        <f>IF(Tabla96[[#This Row],[Id]]="","",VLOOKUP(Tabla96[[#This Row],[Id]]+1,TablaEquipos[],4,FALSE))</f>
        <v/>
      </c>
      <c r="D337" s="13" t="str">
        <f>IF(Tabla96[[#This Row],[Id]]="","",COUNTIF(TablaTiempos[Club],Tabla96[[#This Row],[Pos]]))</f>
        <v/>
      </c>
      <c r="E337" s="47" t="str">
        <f>IF(Tabla96[[#This Row],[Id]]="","",Tabla96[[#This Row],[Total Llegados a Meta]]/Tabla96[[#This Row],[Total Inscritos]])</f>
        <v/>
      </c>
      <c r="F33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37" s="43">
        <f ca="1">NOW()-'LOS TIEMPOS'!$K$2</f>
        <v>42368.075526157409</v>
      </c>
    </row>
    <row r="338" spans="1:8" x14ac:dyDescent="0.2">
      <c r="A338" s="13" t="str">
        <f>IF(ROW()-5&lt;=COUNTA(TablaEquipos[Compite]),ROW()-7,"")</f>
        <v/>
      </c>
      <c r="B338" s="10" t="str">
        <f>IF(Tabla96[[#This Row],[Id]]="","",VLOOKUP(Tabla96[[#This Row],[Id]]+1,TablaEquipos[],3,FALSE))</f>
        <v/>
      </c>
      <c r="C338" s="45" t="str">
        <f>IF(Tabla96[[#This Row],[Id]]="","",VLOOKUP(Tabla96[[#This Row],[Id]]+1,TablaEquipos[],4,FALSE))</f>
        <v/>
      </c>
      <c r="D338" s="13" t="str">
        <f>IF(Tabla96[[#This Row],[Id]]="","",COUNTIF(TablaTiempos[Club],Tabla96[[#This Row],[Pos]]))</f>
        <v/>
      </c>
      <c r="E338" s="47" t="str">
        <f>IF(Tabla96[[#This Row],[Id]]="","",Tabla96[[#This Row],[Total Llegados a Meta]]/Tabla96[[#This Row],[Total Inscritos]])</f>
        <v/>
      </c>
      <c r="F33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38" s="43">
        <f ca="1">NOW()-'LOS TIEMPOS'!$K$2</f>
        <v>42368.075526157409</v>
      </c>
    </row>
    <row r="339" spans="1:8" x14ac:dyDescent="0.2">
      <c r="A339" s="13" t="str">
        <f>IF(ROW()-5&lt;=COUNTA(TablaEquipos[Compite]),ROW()-7,"")</f>
        <v/>
      </c>
      <c r="B339" s="10" t="str">
        <f>IF(Tabla96[[#This Row],[Id]]="","",VLOOKUP(Tabla96[[#This Row],[Id]]+1,TablaEquipos[],3,FALSE))</f>
        <v/>
      </c>
      <c r="C339" s="45" t="str">
        <f>IF(Tabla96[[#This Row],[Id]]="","",VLOOKUP(Tabla96[[#This Row],[Id]]+1,TablaEquipos[],4,FALSE))</f>
        <v/>
      </c>
      <c r="D339" s="13" t="str">
        <f>IF(Tabla96[[#This Row],[Id]]="","",COUNTIF(TablaTiempos[Club],Tabla96[[#This Row],[Pos]]))</f>
        <v/>
      </c>
      <c r="E339" s="47" t="str">
        <f>IF(Tabla96[[#This Row],[Id]]="","",Tabla96[[#This Row],[Total Llegados a Meta]]/Tabla96[[#This Row],[Total Inscritos]])</f>
        <v/>
      </c>
      <c r="F33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39" s="43">
        <f ca="1">NOW()-'LOS TIEMPOS'!$K$2</f>
        <v>42368.075526157409</v>
      </c>
    </row>
    <row r="340" spans="1:8" x14ac:dyDescent="0.2">
      <c r="A340" s="13" t="str">
        <f>IF(ROW()-5&lt;=COUNTA(TablaEquipos[Compite]),ROW()-7,"")</f>
        <v/>
      </c>
      <c r="B340" s="10" t="str">
        <f>IF(Tabla96[[#This Row],[Id]]="","",VLOOKUP(Tabla96[[#This Row],[Id]]+1,TablaEquipos[],3,FALSE))</f>
        <v/>
      </c>
      <c r="C340" s="45" t="str">
        <f>IF(Tabla96[[#This Row],[Id]]="","",VLOOKUP(Tabla96[[#This Row],[Id]]+1,TablaEquipos[],4,FALSE))</f>
        <v/>
      </c>
      <c r="D340" s="13" t="str">
        <f>IF(Tabla96[[#This Row],[Id]]="","",COUNTIF(TablaTiempos[Club],Tabla96[[#This Row],[Pos]]))</f>
        <v/>
      </c>
      <c r="E340" s="47" t="str">
        <f>IF(Tabla96[[#This Row],[Id]]="","",Tabla96[[#This Row],[Total Llegados a Meta]]/Tabla96[[#This Row],[Total Inscritos]])</f>
        <v/>
      </c>
      <c r="F34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40" s="43">
        <f ca="1">NOW()-'LOS TIEMPOS'!$K$2</f>
        <v>42368.075526157409</v>
      </c>
    </row>
    <row r="341" spans="1:8" x14ac:dyDescent="0.2">
      <c r="A341" s="13" t="str">
        <f>IF(ROW()-5&lt;=COUNTA(TablaEquipos[Compite]),ROW()-7,"")</f>
        <v/>
      </c>
      <c r="B341" s="10" t="str">
        <f>IF(Tabla96[[#This Row],[Id]]="","",VLOOKUP(Tabla96[[#This Row],[Id]]+1,TablaEquipos[],3,FALSE))</f>
        <v/>
      </c>
      <c r="C341" s="45" t="str">
        <f>IF(Tabla96[[#This Row],[Id]]="","",VLOOKUP(Tabla96[[#This Row],[Id]]+1,TablaEquipos[],4,FALSE))</f>
        <v/>
      </c>
      <c r="D341" s="13" t="str">
        <f>IF(Tabla96[[#This Row],[Id]]="","",COUNTIF(TablaTiempos[Club],Tabla96[[#This Row],[Pos]]))</f>
        <v/>
      </c>
      <c r="E341" s="47" t="str">
        <f>IF(Tabla96[[#This Row],[Id]]="","",Tabla96[[#This Row],[Total Llegados a Meta]]/Tabla96[[#This Row],[Total Inscritos]])</f>
        <v/>
      </c>
      <c r="F34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41" s="43">
        <f ca="1">NOW()-'LOS TIEMPOS'!$K$2</f>
        <v>42368.075526157409</v>
      </c>
    </row>
    <row r="342" spans="1:8" x14ac:dyDescent="0.2">
      <c r="A342" s="13" t="str">
        <f>IF(ROW()-5&lt;=COUNTA(TablaEquipos[Compite]),ROW()-7,"")</f>
        <v/>
      </c>
      <c r="B342" s="10" t="str">
        <f>IF(Tabla96[[#This Row],[Id]]="","",VLOOKUP(Tabla96[[#This Row],[Id]]+1,TablaEquipos[],3,FALSE))</f>
        <v/>
      </c>
      <c r="C342" s="45" t="str">
        <f>IF(Tabla96[[#This Row],[Id]]="","",VLOOKUP(Tabla96[[#This Row],[Id]]+1,TablaEquipos[],4,FALSE))</f>
        <v/>
      </c>
      <c r="D342" s="13" t="str">
        <f>IF(Tabla96[[#This Row],[Id]]="","",COUNTIF(TablaTiempos[Club],Tabla96[[#This Row],[Pos]]))</f>
        <v/>
      </c>
      <c r="E342" s="47" t="str">
        <f>IF(Tabla96[[#This Row],[Id]]="","",Tabla96[[#This Row],[Total Llegados a Meta]]/Tabla96[[#This Row],[Total Inscritos]])</f>
        <v/>
      </c>
      <c r="F34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42" s="43">
        <f ca="1">NOW()-'LOS TIEMPOS'!$K$2</f>
        <v>42368.075526157409</v>
      </c>
    </row>
    <row r="343" spans="1:8" x14ac:dyDescent="0.2">
      <c r="A343" s="13" t="str">
        <f>IF(ROW()-5&lt;=COUNTA(TablaEquipos[Compite]),ROW()-7,"")</f>
        <v/>
      </c>
      <c r="B343" s="10" t="str">
        <f>IF(Tabla96[[#This Row],[Id]]="","",VLOOKUP(Tabla96[[#This Row],[Id]]+1,TablaEquipos[],3,FALSE))</f>
        <v/>
      </c>
      <c r="C343" s="45" t="str">
        <f>IF(Tabla96[[#This Row],[Id]]="","",VLOOKUP(Tabla96[[#This Row],[Id]]+1,TablaEquipos[],4,FALSE))</f>
        <v/>
      </c>
      <c r="D343" s="13" t="str">
        <f>IF(Tabla96[[#This Row],[Id]]="","",COUNTIF(TablaTiempos[Club],Tabla96[[#This Row],[Pos]]))</f>
        <v/>
      </c>
      <c r="E343" s="47" t="str">
        <f>IF(Tabla96[[#This Row],[Id]]="","",Tabla96[[#This Row],[Total Llegados a Meta]]/Tabla96[[#This Row],[Total Inscritos]])</f>
        <v/>
      </c>
      <c r="F34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43" s="43">
        <f ca="1">NOW()-'LOS TIEMPOS'!$K$2</f>
        <v>42368.075526157409</v>
      </c>
    </row>
    <row r="344" spans="1:8" x14ac:dyDescent="0.2">
      <c r="A344" s="13" t="str">
        <f>IF(ROW()-5&lt;=COUNTA(TablaEquipos[Compite]),ROW()-7,"")</f>
        <v/>
      </c>
      <c r="B344" s="10" t="str">
        <f>IF(Tabla96[[#This Row],[Id]]="","",VLOOKUP(Tabla96[[#This Row],[Id]]+1,TablaEquipos[],3,FALSE))</f>
        <v/>
      </c>
      <c r="C344" s="45" t="str">
        <f>IF(Tabla96[[#This Row],[Id]]="","",VLOOKUP(Tabla96[[#This Row],[Id]]+1,TablaEquipos[],4,FALSE))</f>
        <v/>
      </c>
      <c r="D344" s="13" t="str">
        <f>IF(Tabla96[[#This Row],[Id]]="","",COUNTIF(TablaTiempos[Club],Tabla96[[#This Row],[Pos]]))</f>
        <v/>
      </c>
      <c r="E344" s="47" t="str">
        <f>IF(Tabla96[[#This Row],[Id]]="","",Tabla96[[#This Row],[Total Llegados a Meta]]/Tabla96[[#This Row],[Total Inscritos]])</f>
        <v/>
      </c>
      <c r="F34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44" s="43">
        <f ca="1">NOW()-'LOS TIEMPOS'!$K$2</f>
        <v>42368.075526157409</v>
      </c>
    </row>
    <row r="345" spans="1:8" x14ac:dyDescent="0.2">
      <c r="A345" s="13" t="str">
        <f>IF(ROW()-5&lt;=COUNTA(TablaEquipos[Compite]),ROW()-7,"")</f>
        <v/>
      </c>
      <c r="B345" s="10" t="str">
        <f>IF(Tabla96[[#This Row],[Id]]="","",VLOOKUP(Tabla96[[#This Row],[Id]]+1,TablaEquipos[],3,FALSE))</f>
        <v/>
      </c>
      <c r="C345" s="45" t="str">
        <f>IF(Tabla96[[#This Row],[Id]]="","",VLOOKUP(Tabla96[[#This Row],[Id]]+1,TablaEquipos[],4,FALSE))</f>
        <v/>
      </c>
      <c r="D345" s="13" t="str">
        <f>IF(Tabla96[[#This Row],[Id]]="","",COUNTIF(TablaTiempos[Club],Tabla96[[#This Row],[Pos]]))</f>
        <v/>
      </c>
      <c r="E345" s="47" t="str">
        <f>IF(Tabla96[[#This Row],[Id]]="","",Tabla96[[#This Row],[Total Llegados a Meta]]/Tabla96[[#This Row],[Total Inscritos]])</f>
        <v/>
      </c>
      <c r="F34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45" s="43">
        <f ca="1">NOW()-'LOS TIEMPOS'!$K$2</f>
        <v>42368.075526157409</v>
      </c>
    </row>
    <row r="346" spans="1:8" x14ac:dyDescent="0.2">
      <c r="A346" s="13" t="str">
        <f>IF(ROW()-5&lt;=COUNTA(TablaEquipos[Compite]),ROW()-7,"")</f>
        <v/>
      </c>
      <c r="B346" s="10" t="str">
        <f>IF(Tabla96[[#This Row],[Id]]="","",VLOOKUP(Tabla96[[#This Row],[Id]]+1,TablaEquipos[],3,FALSE))</f>
        <v/>
      </c>
      <c r="C346" s="45" t="str">
        <f>IF(Tabla96[[#This Row],[Id]]="","",VLOOKUP(Tabla96[[#This Row],[Id]]+1,TablaEquipos[],4,FALSE))</f>
        <v/>
      </c>
      <c r="D346" s="13" t="str">
        <f>IF(Tabla96[[#This Row],[Id]]="","",COUNTIF(TablaTiempos[Club],Tabla96[[#This Row],[Pos]]))</f>
        <v/>
      </c>
      <c r="E346" s="47" t="str">
        <f>IF(Tabla96[[#This Row],[Id]]="","",Tabla96[[#This Row],[Total Llegados a Meta]]/Tabla96[[#This Row],[Total Inscritos]])</f>
        <v/>
      </c>
      <c r="F34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46" s="43">
        <f ca="1">NOW()-'LOS TIEMPOS'!$K$2</f>
        <v>42368.075526157409</v>
      </c>
    </row>
    <row r="347" spans="1:8" x14ac:dyDescent="0.2">
      <c r="A347" s="13" t="str">
        <f>IF(ROW()-5&lt;=COUNTA(TablaEquipos[Compite]),ROW()-7,"")</f>
        <v/>
      </c>
      <c r="B347" s="10" t="str">
        <f>IF(Tabla96[[#This Row],[Id]]="","",VLOOKUP(Tabla96[[#This Row],[Id]]+1,TablaEquipos[],3,FALSE))</f>
        <v/>
      </c>
      <c r="C347" s="45" t="str">
        <f>IF(Tabla96[[#This Row],[Id]]="","",VLOOKUP(Tabla96[[#This Row],[Id]]+1,TablaEquipos[],4,FALSE))</f>
        <v/>
      </c>
      <c r="D347" s="13" t="str">
        <f>IF(Tabla96[[#This Row],[Id]]="","",COUNTIF(TablaTiempos[Club],Tabla96[[#This Row],[Pos]]))</f>
        <v/>
      </c>
      <c r="E347" s="47" t="str">
        <f>IF(Tabla96[[#This Row],[Id]]="","",Tabla96[[#This Row],[Total Llegados a Meta]]/Tabla96[[#This Row],[Total Inscritos]])</f>
        <v/>
      </c>
      <c r="F34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47" s="43">
        <f ca="1">NOW()-'LOS TIEMPOS'!$K$2</f>
        <v>42368.075526157409</v>
      </c>
    </row>
    <row r="348" spans="1:8" x14ac:dyDescent="0.2">
      <c r="A348" s="13" t="str">
        <f>IF(ROW()-5&lt;=COUNTA(TablaEquipos[Compite]),ROW()-7,"")</f>
        <v/>
      </c>
      <c r="B348" s="10" t="str">
        <f>IF(Tabla96[[#This Row],[Id]]="","",VLOOKUP(Tabla96[[#This Row],[Id]]+1,TablaEquipos[],3,FALSE))</f>
        <v/>
      </c>
      <c r="C348" s="45" t="str">
        <f>IF(Tabla96[[#This Row],[Id]]="","",VLOOKUP(Tabla96[[#This Row],[Id]]+1,TablaEquipos[],4,FALSE))</f>
        <v/>
      </c>
      <c r="D348" s="13" t="str">
        <f>IF(Tabla96[[#This Row],[Id]]="","",COUNTIF(TablaTiempos[Club],Tabla96[[#This Row],[Pos]]))</f>
        <v/>
      </c>
      <c r="E348" s="47" t="str">
        <f>IF(Tabla96[[#This Row],[Id]]="","",Tabla96[[#This Row],[Total Llegados a Meta]]/Tabla96[[#This Row],[Total Inscritos]])</f>
        <v/>
      </c>
      <c r="F34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48" s="43">
        <f ca="1">NOW()-'LOS TIEMPOS'!$K$2</f>
        <v>42368.075526157409</v>
      </c>
    </row>
    <row r="349" spans="1:8" x14ac:dyDescent="0.2">
      <c r="A349" s="13" t="str">
        <f>IF(ROW()-5&lt;=COUNTA(TablaEquipos[Compite]),ROW()-7,"")</f>
        <v/>
      </c>
      <c r="B349" s="10" t="str">
        <f>IF(Tabla96[[#This Row],[Id]]="","",VLOOKUP(Tabla96[[#This Row],[Id]]+1,TablaEquipos[],3,FALSE))</f>
        <v/>
      </c>
      <c r="C349" s="45" t="str">
        <f>IF(Tabla96[[#This Row],[Id]]="","",VLOOKUP(Tabla96[[#This Row],[Id]]+1,TablaEquipos[],4,FALSE))</f>
        <v/>
      </c>
      <c r="D349" s="13" t="str">
        <f>IF(Tabla96[[#This Row],[Id]]="","",COUNTIF(TablaTiempos[Club],Tabla96[[#This Row],[Pos]]))</f>
        <v/>
      </c>
      <c r="E349" s="47" t="str">
        <f>IF(Tabla96[[#This Row],[Id]]="","",Tabla96[[#This Row],[Total Llegados a Meta]]/Tabla96[[#This Row],[Total Inscritos]])</f>
        <v/>
      </c>
      <c r="F34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49" s="43">
        <f ca="1">NOW()-'LOS TIEMPOS'!$K$2</f>
        <v>42368.075526157409</v>
      </c>
    </row>
    <row r="350" spans="1:8" x14ac:dyDescent="0.2">
      <c r="A350" s="13" t="str">
        <f>IF(ROW()-5&lt;=COUNTA(TablaEquipos[Compite]),ROW()-7,"")</f>
        <v/>
      </c>
      <c r="B350" s="10" t="str">
        <f>IF(Tabla96[[#This Row],[Id]]="","",VLOOKUP(Tabla96[[#This Row],[Id]]+1,TablaEquipos[],3,FALSE))</f>
        <v/>
      </c>
      <c r="C350" s="45" t="str">
        <f>IF(Tabla96[[#This Row],[Id]]="","",VLOOKUP(Tabla96[[#This Row],[Id]]+1,TablaEquipos[],4,FALSE))</f>
        <v/>
      </c>
      <c r="D350" s="13" t="str">
        <f>IF(Tabla96[[#This Row],[Id]]="","",COUNTIF(TablaTiempos[Club],Tabla96[[#This Row],[Pos]]))</f>
        <v/>
      </c>
      <c r="E350" s="47" t="str">
        <f>IF(Tabla96[[#This Row],[Id]]="","",Tabla96[[#This Row],[Total Llegados a Meta]]/Tabla96[[#This Row],[Total Inscritos]])</f>
        <v/>
      </c>
      <c r="F35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50" s="43">
        <f ca="1">NOW()-'LOS TIEMPOS'!$K$2</f>
        <v>42368.075526157409</v>
      </c>
    </row>
    <row r="351" spans="1:8" x14ac:dyDescent="0.2">
      <c r="A351" s="13" t="str">
        <f>IF(ROW()-5&lt;=COUNTA(TablaEquipos[Compite]),ROW()-7,"")</f>
        <v/>
      </c>
      <c r="B351" s="10" t="str">
        <f>IF(Tabla96[[#This Row],[Id]]="","",VLOOKUP(Tabla96[[#This Row],[Id]]+1,TablaEquipos[],3,FALSE))</f>
        <v/>
      </c>
      <c r="C351" s="45" t="str">
        <f>IF(Tabla96[[#This Row],[Id]]="","",VLOOKUP(Tabla96[[#This Row],[Id]]+1,TablaEquipos[],4,FALSE))</f>
        <v/>
      </c>
      <c r="D351" s="13" t="str">
        <f>IF(Tabla96[[#This Row],[Id]]="","",COUNTIF(TablaTiempos[Club],Tabla96[[#This Row],[Pos]]))</f>
        <v/>
      </c>
      <c r="E351" s="47" t="str">
        <f>IF(Tabla96[[#This Row],[Id]]="","",Tabla96[[#This Row],[Total Llegados a Meta]]/Tabla96[[#This Row],[Total Inscritos]])</f>
        <v/>
      </c>
      <c r="F35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51" s="43">
        <f ca="1">NOW()-'LOS TIEMPOS'!$K$2</f>
        <v>42368.075526157409</v>
      </c>
    </row>
    <row r="352" spans="1:8" x14ac:dyDescent="0.2">
      <c r="A352" s="13" t="str">
        <f>IF(ROW()-5&lt;=COUNTA(TablaEquipos[Compite]),ROW()-7,"")</f>
        <v/>
      </c>
      <c r="B352" s="10" t="str">
        <f>IF(Tabla96[[#This Row],[Id]]="","",VLOOKUP(Tabla96[[#This Row],[Id]]+1,TablaEquipos[],3,FALSE))</f>
        <v/>
      </c>
      <c r="C352" s="45" t="str">
        <f>IF(Tabla96[[#This Row],[Id]]="","",VLOOKUP(Tabla96[[#This Row],[Id]]+1,TablaEquipos[],4,FALSE))</f>
        <v/>
      </c>
      <c r="D352" s="13" t="str">
        <f>IF(Tabla96[[#This Row],[Id]]="","",COUNTIF(TablaTiempos[Club],Tabla96[[#This Row],[Pos]]))</f>
        <v/>
      </c>
      <c r="E352" s="47" t="str">
        <f>IF(Tabla96[[#This Row],[Id]]="","",Tabla96[[#This Row],[Total Llegados a Meta]]/Tabla96[[#This Row],[Total Inscritos]])</f>
        <v/>
      </c>
      <c r="F35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52" s="43">
        <f ca="1">NOW()-'LOS TIEMPOS'!$K$2</f>
        <v>42368.075526157409</v>
      </c>
    </row>
    <row r="353" spans="1:8" x14ac:dyDescent="0.2">
      <c r="A353" s="13" t="str">
        <f>IF(ROW()-5&lt;=COUNTA(TablaEquipos[Compite]),ROW()-7,"")</f>
        <v/>
      </c>
      <c r="B353" s="10" t="str">
        <f>IF(Tabla96[[#This Row],[Id]]="","",VLOOKUP(Tabla96[[#This Row],[Id]]+1,TablaEquipos[],3,FALSE))</f>
        <v/>
      </c>
      <c r="C353" s="45" t="str">
        <f>IF(Tabla96[[#This Row],[Id]]="","",VLOOKUP(Tabla96[[#This Row],[Id]]+1,TablaEquipos[],4,FALSE))</f>
        <v/>
      </c>
      <c r="D353" s="13" t="str">
        <f>IF(Tabla96[[#This Row],[Id]]="","",COUNTIF(TablaTiempos[Club],Tabla96[[#This Row],[Pos]]))</f>
        <v/>
      </c>
      <c r="E353" s="47" t="str">
        <f>IF(Tabla96[[#This Row],[Id]]="","",Tabla96[[#This Row],[Total Llegados a Meta]]/Tabla96[[#This Row],[Total Inscritos]])</f>
        <v/>
      </c>
      <c r="F35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53" s="43">
        <f ca="1">NOW()-'LOS TIEMPOS'!$K$2</f>
        <v>42368.075526157409</v>
      </c>
    </row>
    <row r="354" spans="1:8" x14ac:dyDescent="0.2">
      <c r="A354" s="13" t="str">
        <f>IF(ROW()-5&lt;=COUNTA(TablaEquipos[Compite]),ROW()-7,"")</f>
        <v/>
      </c>
      <c r="B354" s="10" t="str">
        <f>IF(Tabla96[[#This Row],[Id]]="","",VLOOKUP(Tabla96[[#This Row],[Id]]+1,TablaEquipos[],3,FALSE))</f>
        <v/>
      </c>
      <c r="C354" s="45" t="str">
        <f>IF(Tabla96[[#This Row],[Id]]="","",VLOOKUP(Tabla96[[#This Row],[Id]]+1,TablaEquipos[],4,FALSE))</f>
        <v/>
      </c>
      <c r="D354" s="13" t="str">
        <f>IF(Tabla96[[#This Row],[Id]]="","",COUNTIF(TablaTiempos[Club],Tabla96[[#This Row],[Pos]]))</f>
        <v/>
      </c>
      <c r="E354" s="47" t="str">
        <f>IF(Tabla96[[#This Row],[Id]]="","",Tabla96[[#This Row],[Total Llegados a Meta]]/Tabla96[[#This Row],[Total Inscritos]])</f>
        <v/>
      </c>
      <c r="F35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54" s="43">
        <f ca="1">NOW()-'LOS TIEMPOS'!$K$2</f>
        <v>42368.075526157409</v>
      </c>
    </row>
    <row r="355" spans="1:8" x14ac:dyDescent="0.2">
      <c r="A355" s="13" t="str">
        <f>IF(ROW()-5&lt;=COUNTA(TablaEquipos[Compite]),ROW()-7,"")</f>
        <v/>
      </c>
      <c r="B355" s="10" t="str">
        <f>IF(Tabla96[[#This Row],[Id]]="","",VLOOKUP(Tabla96[[#This Row],[Id]]+1,TablaEquipos[],3,FALSE))</f>
        <v/>
      </c>
      <c r="C355" s="45" t="str">
        <f>IF(Tabla96[[#This Row],[Id]]="","",VLOOKUP(Tabla96[[#This Row],[Id]]+1,TablaEquipos[],4,FALSE))</f>
        <v/>
      </c>
      <c r="D355" s="13" t="str">
        <f>IF(Tabla96[[#This Row],[Id]]="","",COUNTIF(TablaTiempos[Club],Tabla96[[#This Row],[Pos]]))</f>
        <v/>
      </c>
      <c r="E355" s="47" t="str">
        <f>IF(Tabla96[[#This Row],[Id]]="","",Tabla96[[#This Row],[Total Llegados a Meta]]/Tabla96[[#This Row],[Total Inscritos]])</f>
        <v/>
      </c>
      <c r="F35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55" s="43">
        <f ca="1">NOW()-'LOS TIEMPOS'!$K$2</f>
        <v>42368.075526157409</v>
      </c>
    </row>
    <row r="356" spans="1:8" x14ac:dyDescent="0.2">
      <c r="A356" s="13" t="str">
        <f>IF(ROW()-5&lt;=COUNTA(TablaEquipos[Compite]),ROW()-7,"")</f>
        <v/>
      </c>
      <c r="B356" s="10" t="str">
        <f>IF(Tabla96[[#This Row],[Id]]="","",VLOOKUP(Tabla96[[#This Row],[Id]]+1,TablaEquipos[],3,FALSE))</f>
        <v/>
      </c>
      <c r="C356" s="45" t="str">
        <f>IF(Tabla96[[#This Row],[Id]]="","",VLOOKUP(Tabla96[[#This Row],[Id]]+1,TablaEquipos[],4,FALSE))</f>
        <v/>
      </c>
      <c r="D356" s="13" t="str">
        <f>IF(Tabla96[[#This Row],[Id]]="","",COUNTIF(TablaTiempos[Club],Tabla96[[#This Row],[Pos]]))</f>
        <v/>
      </c>
      <c r="E356" s="47" t="str">
        <f>IF(Tabla96[[#This Row],[Id]]="","",Tabla96[[#This Row],[Total Llegados a Meta]]/Tabla96[[#This Row],[Total Inscritos]])</f>
        <v/>
      </c>
      <c r="F35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56" s="43">
        <f ca="1">NOW()-'LOS TIEMPOS'!$K$2</f>
        <v>42368.075526157409</v>
      </c>
    </row>
    <row r="357" spans="1:8" x14ac:dyDescent="0.2">
      <c r="A357" s="13" t="str">
        <f>IF(ROW()-5&lt;=COUNTA(TablaEquipos[Compite]),ROW()-7,"")</f>
        <v/>
      </c>
      <c r="B357" s="10" t="str">
        <f>IF(Tabla96[[#This Row],[Id]]="","",VLOOKUP(Tabla96[[#This Row],[Id]]+1,TablaEquipos[],3,FALSE))</f>
        <v/>
      </c>
      <c r="C357" s="45" t="str">
        <f>IF(Tabla96[[#This Row],[Id]]="","",VLOOKUP(Tabla96[[#This Row],[Id]]+1,TablaEquipos[],4,FALSE))</f>
        <v/>
      </c>
      <c r="D357" s="13" t="str">
        <f>IF(Tabla96[[#This Row],[Id]]="","",COUNTIF(TablaTiempos[Club],Tabla96[[#This Row],[Pos]]))</f>
        <v/>
      </c>
      <c r="E357" s="47" t="str">
        <f>IF(Tabla96[[#This Row],[Id]]="","",Tabla96[[#This Row],[Total Llegados a Meta]]/Tabla96[[#This Row],[Total Inscritos]])</f>
        <v/>
      </c>
      <c r="F35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57" s="43">
        <f ca="1">NOW()-'LOS TIEMPOS'!$K$2</f>
        <v>42368.075526157409</v>
      </c>
    </row>
    <row r="358" spans="1:8" x14ac:dyDescent="0.2">
      <c r="A358" s="13" t="str">
        <f>IF(ROW()-5&lt;=COUNTA(TablaEquipos[Compite]),ROW()-7,"")</f>
        <v/>
      </c>
      <c r="B358" s="10" t="str">
        <f>IF(Tabla96[[#This Row],[Id]]="","",VLOOKUP(Tabla96[[#This Row],[Id]]+1,TablaEquipos[],3,FALSE))</f>
        <v/>
      </c>
      <c r="C358" s="45" t="str">
        <f>IF(Tabla96[[#This Row],[Id]]="","",VLOOKUP(Tabla96[[#This Row],[Id]]+1,TablaEquipos[],4,FALSE))</f>
        <v/>
      </c>
      <c r="D358" s="13" t="str">
        <f>IF(Tabla96[[#This Row],[Id]]="","",COUNTIF(TablaTiempos[Club],Tabla96[[#This Row],[Pos]]))</f>
        <v/>
      </c>
      <c r="E358" s="47" t="str">
        <f>IF(Tabla96[[#This Row],[Id]]="","",Tabla96[[#This Row],[Total Llegados a Meta]]/Tabla96[[#This Row],[Total Inscritos]])</f>
        <v/>
      </c>
      <c r="F35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58" s="43">
        <f ca="1">NOW()-'LOS TIEMPOS'!$K$2</f>
        <v>42368.075526157409</v>
      </c>
    </row>
    <row r="359" spans="1:8" x14ac:dyDescent="0.2">
      <c r="A359" s="13" t="str">
        <f>IF(ROW()-5&lt;=COUNTA(TablaEquipos[Compite]),ROW()-7,"")</f>
        <v/>
      </c>
      <c r="B359" s="10" t="str">
        <f>IF(Tabla96[[#This Row],[Id]]="","",VLOOKUP(Tabla96[[#This Row],[Id]]+1,TablaEquipos[],3,FALSE))</f>
        <v/>
      </c>
      <c r="C359" s="45" t="str">
        <f>IF(Tabla96[[#This Row],[Id]]="","",VLOOKUP(Tabla96[[#This Row],[Id]]+1,TablaEquipos[],4,FALSE))</f>
        <v/>
      </c>
      <c r="D359" s="13" t="str">
        <f>IF(Tabla96[[#This Row],[Id]]="","",COUNTIF(TablaTiempos[Club],Tabla96[[#This Row],[Pos]]))</f>
        <v/>
      </c>
      <c r="E359" s="47" t="str">
        <f>IF(Tabla96[[#This Row],[Id]]="","",Tabla96[[#This Row],[Total Llegados a Meta]]/Tabla96[[#This Row],[Total Inscritos]])</f>
        <v/>
      </c>
      <c r="F35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59" s="43">
        <f ca="1">NOW()-'LOS TIEMPOS'!$K$2</f>
        <v>42368.075526157409</v>
      </c>
    </row>
    <row r="360" spans="1:8" x14ac:dyDescent="0.2">
      <c r="A360" s="13" t="str">
        <f>IF(ROW()-5&lt;=COUNTA(TablaEquipos[Compite]),ROW()-7,"")</f>
        <v/>
      </c>
      <c r="B360" s="10" t="str">
        <f>IF(Tabla96[[#This Row],[Id]]="","",VLOOKUP(Tabla96[[#This Row],[Id]]+1,TablaEquipos[],3,FALSE))</f>
        <v/>
      </c>
      <c r="C360" s="45" t="str">
        <f>IF(Tabla96[[#This Row],[Id]]="","",VLOOKUP(Tabla96[[#This Row],[Id]]+1,TablaEquipos[],4,FALSE))</f>
        <v/>
      </c>
      <c r="D360" s="13" t="str">
        <f>IF(Tabla96[[#This Row],[Id]]="","",COUNTIF(TablaTiempos[Club],Tabla96[[#This Row],[Pos]]))</f>
        <v/>
      </c>
      <c r="E360" s="47" t="str">
        <f>IF(Tabla96[[#This Row],[Id]]="","",Tabla96[[#This Row],[Total Llegados a Meta]]/Tabla96[[#This Row],[Total Inscritos]])</f>
        <v/>
      </c>
      <c r="F36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60" s="43">
        <f ca="1">NOW()-'LOS TIEMPOS'!$K$2</f>
        <v>42368.075526157409</v>
      </c>
    </row>
    <row r="361" spans="1:8" x14ac:dyDescent="0.2">
      <c r="A361" s="13" t="str">
        <f>IF(ROW()-5&lt;=COUNTA(TablaEquipos[Compite]),ROW()-7,"")</f>
        <v/>
      </c>
      <c r="B361" s="10" t="str">
        <f>IF(Tabla96[[#This Row],[Id]]="","",VLOOKUP(Tabla96[[#This Row],[Id]]+1,TablaEquipos[],3,FALSE))</f>
        <v/>
      </c>
      <c r="C361" s="45" t="str">
        <f>IF(Tabla96[[#This Row],[Id]]="","",VLOOKUP(Tabla96[[#This Row],[Id]]+1,TablaEquipos[],4,FALSE))</f>
        <v/>
      </c>
      <c r="D361" s="13" t="str">
        <f>IF(Tabla96[[#This Row],[Id]]="","",COUNTIF(TablaTiempos[Club],Tabla96[[#This Row],[Pos]]))</f>
        <v/>
      </c>
      <c r="E361" s="47" t="str">
        <f>IF(Tabla96[[#This Row],[Id]]="","",Tabla96[[#This Row],[Total Llegados a Meta]]/Tabla96[[#This Row],[Total Inscritos]])</f>
        <v/>
      </c>
      <c r="F36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61" s="43">
        <f ca="1">NOW()-'LOS TIEMPOS'!$K$2</f>
        <v>42368.075526157409</v>
      </c>
    </row>
    <row r="362" spans="1:8" x14ac:dyDescent="0.2">
      <c r="A362" s="13" t="str">
        <f>IF(ROW()-5&lt;=COUNTA(TablaEquipos[Compite]),ROW()-7,"")</f>
        <v/>
      </c>
      <c r="B362" s="10" t="str">
        <f>IF(Tabla96[[#This Row],[Id]]="","",VLOOKUP(Tabla96[[#This Row],[Id]]+1,TablaEquipos[],3,FALSE))</f>
        <v/>
      </c>
      <c r="C362" s="45" t="str">
        <f>IF(Tabla96[[#This Row],[Id]]="","",VLOOKUP(Tabla96[[#This Row],[Id]]+1,TablaEquipos[],4,FALSE))</f>
        <v/>
      </c>
      <c r="D362" s="13" t="str">
        <f>IF(Tabla96[[#This Row],[Id]]="","",COUNTIF(TablaTiempos[Club],Tabla96[[#This Row],[Pos]]))</f>
        <v/>
      </c>
      <c r="E362" s="47" t="str">
        <f>IF(Tabla96[[#This Row],[Id]]="","",Tabla96[[#This Row],[Total Llegados a Meta]]/Tabla96[[#This Row],[Total Inscritos]])</f>
        <v/>
      </c>
      <c r="F36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62" s="43">
        <f ca="1">NOW()-'LOS TIEMPOS'!$K$2</f>
        <v>42368.075526157409</v>
      </c>
    </row>
    <row r="363" spans="1:8" x14ac:dyDescent="0.2">
      <c r="A363" s="13" t="str">
        <f>IF(ROW()-5&lt;=COUNTA(TablaEquipos[Compite]),ROW()-7,"")</f>
        <v/>
      </c>
      <c r="B363" s="10" t="str">
        <f>IF(Tabla96[[#This Row],[Id]]="","",VLOOKUP(Tabla96[[#This Row],[Id]]+1,TablaEquipos[],3,FALSE))</f>
        <v/>
      </c>
      <c r="C363" s="45" t="str">
        <f>IF(Tabla96[[#This Row],[Id]]="","",VLOOKUP(Tabla96[[#This Row],[Id]]+1,TablaEquipos[],4,FALSE))</f>
        <v/>
      </c>
      <c r="D363" s="13" t="str">
        <f>IF(Tabla96[[#This Row],[Id]]="","",COUNTIF(TablaTiempos[Club],Tabla96[[#This Row],[Pos]]))</f>
        <v/>
      </c>
      <c r="E363" s="47" t="str">
        <f>IF(Tabla96[[#This Row],[Id]]="","",Tabla96[[#This Row],[Total Llegados a Meta]]/Tabla96[[#This Row],[Total Inscritos]])</f>
        <v/>
      </c>
      <c r="F36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63" s="43">
        <f ca="1">NOW()-'LOS TIEMPOS'!$K$2</f>
        <v>42368.075526157409</v>
      </c>
    </row>
    <row r="364" spans="1:8" x14ac:dyDescent="0.2">
      <c r="A364" s="13" t="str">
        <f>IF(ROW()-5&lt;=COUNTA(TablaEquipos[Compite]),ROW()-7,"")</f>
        <v/>
      </c>
      <c r="B364" s="10" t="str">
        <f>IF(Tabla96[[#This Row],[Id]]="","",VLOOKUP(Tabla96[[#This Row],[Id]]+1,TablaEquipos[],3,FALSE))</f>
        <v/>
      </c>
      <c r="C364" s="45" t="str">
        <f>IF(Tabla96[[#This Row],[Id]]="","",VLOOKUP(Tabla96[[#This Row],[Id]]+1,TablaEquipos[],4,FALSE))</f>
        <v/>
      </c>
      <c r="D364" s="13" t="str">
        <f>IF(Tabla96[[#This Row],[Id]]="","",COUNTIF(TablaTiempos[Club],Tabla96[[#This Row],[Pos]]))</f>
        <v/>
      </c>
      <c r="E364" s="47" t="str">
        <f>IF(Tabla96[[#This Row],[Id]]="","",Tabla96[[#This Row],[Total Llegados a Meta]]/Tabla96[[#This Row],[Total Inscritos]])</f>
        <v/>
      </c>
      <c r="F36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64" s="43">
        <f ca="1">NOW()-'LOS TIEMPOS'!$K$2</f>
        <v>42368.075526157409</v>
      </c>
    </row>
    <row r="365" spans="1:8" x14ac:dyDescent="0.2">
      <c r="A365" s="13" t="str">
        <f>IF(ROW()-5&lt;=COUNTA(TablaEquipos[Compite]),ROW()-7,"")</f>
        <v/>
      </c>
      <c r="B365" s="10" t="str">
        <f>IF(Tabla96[[#This Row],[Id]]="","",VLOOKUP(Tabla96[[#This Row],[Id]]+1,TablaEquipos[],3,FALSE))</f>
        <v/>
      </c>
      <c r="C365" s="45" t="str">
        <f>IF(Tabla96[[#This Row],[Id]]="","",VLOOKUP(Tabla96[[#This Row],[Id]]+1,TablaEquipos[],4,FALSE))</f>
        <v/>
      </c>
      <c r="D365" s="13" t="str">
        <f>IF(Tabla96[[#This Row],[Id]]="","",COUNTIF(TablaTiempos[Club],Tabla96[[#This Row],[Pos]]))</f>
        <v/>
      </c>
      <c r="E365" s="47" t="str">
        <f>IF(Tabla96[[#This Row],[Id]]="","",Tabla96[[#This Row],[Total Llegados a Meta]]/Tabla96[[#This Row],[Total Inscritos]])</f>
        <v/>
      </c>
      <c r="F36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65" s="43">
        <f ca="1">NOW()-'LOS TIEMPOS'!$K$2</f>
        <v>42368.075526157409</v>
      </c>
    </row>
    <row r="366" spans="1:8" x14ac:dyDescent="0.2">
      <c r="A366" s="13" t="str">
        <f>IF(ROW()-5&lt;=COUNTA(TablaEquipos[Compite]),ROW()-7,"")</f>
        <v/>
      </c>
      <c r="B366" s="10" t="str">
        <f>IF(Tabla96[[#This Row],[Id]]="","",VLOOKUP(Tabla96[[#This Row],[Id]]+1,TablaEquipos[],3,FALSE))</f>
        <v/>
      </c>
      <c r="C366" s="45" t="str">
        <f>IF(Tabla96[[#This Row],[Id]]="","",VLOOKUP(Tabla96[[#This Row],[Id]]+1,TablaEquipos[],4,FALSE))</f>
        <v/>
      </c>
      <c r="D366" s="13" t="str">
        <f>IF(Tabla96[[#This Row],[Id]]="","",COUNTIF(TablaTiempos[Club],Tabla96[[#This Row],[Pos]]))</f>
        <v/>
      </c>
      <c r="E366" s="47" t="str">
        <f>IF(Tabla96[[#This Row],[Id]]="","",Tabla96[[#This Row],[Total Llegados a Meta]]/Tabla96[[#This Row],[Total Inscritos]])</f>
        <v/>
      </c>
      <c r="F36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66" s="43">
        <f ca="1">NOW()-'LOS TIEMPOS'!$K$2</f>
        <v>42368.075526157409</v>
      </c>
    </row>
    <row r="367" spans="1:8" x14ac:dyDescent="0.2">
      <c r="A367" s="13" t="str">
        <f>IF(ROW()-5&lt;=COUNTA(TablaEquipos[Compite]),ROW()-7,"")</f>
        <v/>
      </c>
      <c r="B367" s="10" t="str">
        <f>IF(Tabla96[[#This Row],[Id]]="","",VLOOKUP(Tabla96[[#This Row],[Id]]+1,TablaEquipos[],3,FALSE))</f>
        <v/>
      </c>
      <c r="C367" s="45" t="str">
        <f>IF(Tabla96[[#This Row],[Id]]="","",VLOOKUP(Tabla96[[#This Row],[Id]]+1,TablaEquipos[],4,FALSE))</f>
        <v/>
      </c>
      <c r="D367" s="13" t="str">
        <f>IF(Tabla96[[#This Row],[Id]]="","",COUNTIF(TablaTiempos[Club],Tabla96[[#This Row],[Pos]]))</f>
        <v/>
      </c>
      <c r="E367" s="47" t="str">
        <f>IF(Tabla96[[#This Row],[Id]]="","",Tabla96[[#This Row],[Total Llegados a Meta]]/Tabla96[[#This Row],[Total Inscritos]])</f>
        <v/>
      </c>
      <c r="F36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67" s="43">
        <f ca="1">NOW()-'LOS TIEMPOS'!$K$2</f>
        <v>42368.075526157409</v>
      </c>
    </row>
    <row r="368" spans="1:8" x14ac:dyDescent="0.2">
      <c r="A368" s="13" t="str">
        <f>IF(ROW()-5&lt;=COUNTA(TablaEquipos[Compite]),ROW()-7,"")</f>
        <v/>
      </c>
      <c r="B368" s="10" t="str">
        <f>IF(Tabla96[[#This Row],[Id]]="","",VLOOKUP(Tabla96[[#This Row],[Id]]+1,TablaEquipos[],3,FALSE))</f>
        <v/>
      </c>
      <c r="C368" s="45" t="str">
        <f>IF(Tabla96[[#This Row],[Id]]="","",VLOOKUP(Tabla96[[#This Row],[Id]]+1,TablaEquipos[],4,FALSE))</f>
        <v/>
      </c>
      <c r="D368" s="13" t="str">
        <f>IF(Tabla96[[#This Row],[Id]]="","",COUNTIF(TablaTiempos[Club],Tabla96[[#This Row],[Pos]]))</f>
        <v/>
      </c>
      <c r="E368" s="47" t="str">
        <f>IF(Tabla96[[#This Row],[Id]]="","",Tabla96[[#This Row],[Total Llegados a Meta]]/Tabla96[[#This Row],[Total Inscritos]])</f>
        <v/>
      </c>
      <c r="F36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68" s="43">
        <f ca="1">NOW()-'LOS TIEMPOS'!$K$2</f>
        <v>42368.075526157409</v>
      </c>
    </row>
    <row r="369" spans="1:8" x14ac:dyDescent="0.2">
      <c r="A369" s="13" t="str">
        <f>IF(ROW()-5&lt;=COUNTA(TablaEquipos[Compite]),ROW()-7,"")</f>
        <v/>
      </c>
      <c r="B369" s="10" t="str">
        <f>IF(Tabla96[[#This Row],[Id]]="","",VLOOKUP(Tabla96[[#This Row],[Id]]+1,TablaEquipos[],3,FALSE))</f>
        <v/>
      </c>
      <c r="C369" s="45" t="str">
        <f>IF(Tabla96[[#This Row],[Id]]="","",VLOOKUP(Tabla96[[#This Row],[Id]]+1,TablaEquipos[],4,FALSE))</f>
        <v/>
      </c>
      <c r="D369" s="13" t="str">
        <f>IF(Tabla96[[#This Row],[Id]]="","",COUNTIF(TablaTiempos[Club],Tabla96[[#This Row],[Pos]]))</f>
        <v/>
      </c>
      <c r="E369" s="47" t="str">
        <f>IF(Tabla96[[#This Row],[Id]]="","",Tabla96[[#This Row],[Total Llegados a Meta]]/Tabla96[[#This Row],[Total Inscritos]])</f>
        <v/>
      </c>
      <c r="F36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69" s="43">
        <f ca="1">NOW()-'LOS TIEMPOS'!$K$2</f>
        <v>42368.075526157409</v>
      </c>
    </row>
    <row r="370" spans="1:8" x14ac:dyDescent="0.2">
      <c r="A370" s="13" t="str">
        <f>IF(ROW()-5&lt;=COUNTA(TablaEquipos[Compite]),ROW()-7,"")</f>
        <v/>
      </c>
      <c r="B370" s="10" t="str">
        <f>IF(Tabla96[[#This Row],[Id]]="","",VLOOKUP(Tabla96[[#This Row],[Id]]+1,TablaEquipos[],3,FALSE))</f>
        <v/>
      </c>
      <c r="C370" s="45" t="str">
        <f>IF(Tabla96[[#This Row],[Id]]="","",VLOOKUP(Tabla96[[#This Row],[Id]]+1,TablaEquipos[],4,FALSE))</f>
        <v/>
      </c>
      <c r="D370" s="13" t="str">
        <f>IF(Tabla96[[#This Row],[Id]]="","",COUNTIF(TablaTiempos[Club],Tabla96[[#This Row],[Pos]]))</f>
        <v/>
      </c>
      <c r="E370" s="47" t="str">
        <f>IF(Tabla96[[#This Row],[Id]]="","",Tabla96[[#This Row],[Total Llegados a Meta]]/Tabla96[[#This Row],[Total Inscritos]])</f>
        <v/>
      </c>
      <c r="F37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70" s="43">
        <f ca="1">NOW()-'LOS TIEMPOS'!$K$2</f>
        <v>42368.075526157409</v>
      </c>
    </row>
    <row r="371" spans="1:8" x14ac:dyDescent="0.2">
      <c r="A371" s="13" t="str">
        <f>IF(ROW()-5&lt;=COUNTA(TablaEquipos[Compite]),ROW()-7,"")</f>
        <v/>
      </c>
      <c r="B371" s="10" t="str">
        <f>IF(Tabla96[[#This Row],[Id]]="","",VLOOKUP(Tabla96[[#This Row],[Id]]+1,TablaEquipos[],3,FALSE))</f>
        <v/>
      </c>
      <c r="C371" s="45" t="str">
        <f>IF(Tabla96[[#This Row],[Id]]="","",VLOOKUP(Tabla96[[#This Row],[Id]]+1,TablaEquipos[],4,FALSE))</f>
        <v/>
      </c>
      <c r="D371" s="13" t="str">
        <f>IF(Tabla96[[#This Row],[Id]]="","",COUNTIF(TablaTiempos[Club],Tabla96[[#This Row],[Pos]]))</f>
        <v/>
      </c>
      <c r="E371" s="47" t="str">
        <f>IF(Tabla96[[#This Row],[Id]]="","",Tabla96[[#This Row],[Total Llegados a Meta]]/Tabla96[[#This Row],[Total Inscritos]])</f>
        <v/>
      </c>
      <c r="F37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71" s="43">
        <f ca="1">NOW()-'LOS TIEMPOS'!$K$2</f>
        <v>42368.075526157409</v>
      </c>
    </row>
    <row r="372" spans="1:8" x14ac:dyDescent="0.2">
      <c r="A372" s="13" t="str">
        <f>IF(ROW()-5&lt;=COUNTA(TablaEquipos[Compite]),ROW()-7,"")</f>
        <v/>
      </c>
      <c r="B372" s="10" t="str">
        <f>IF(Tabla96[[#This Row],[Id]]="","",VLOOKUP(Tabla96[[#This Row],[Id]]+1,TablaEquipos[],3,FALSE))</f>
        <v/>
      </c>
      <c r="C372" s="45" t="str">
        <f>IF(Tabla96[[#This Row],[Id]]="","",VLOOKUP(Tabla96[[#This Row],[Id]]+1,TablaEquipos[],4,FALSE))</f>
        <v/>
      </c>
      <c r="D372" s="13" t="str">
        <f>IF(Tabla96[[#This Row],[Id]]="","",COUNTIF(TablaTiempos[Club],Tabla96[[#This Row],[Pos]]))</f>
        <v/>
      </c>
      <c r="E372" s="47" t="str">
        <f>IF(Tabla96[[#This Row],[Id]]="","",Tabla96[[#This Row],[Total Llegados a Meta]]/Tabla96[[#This Row],[Total Inscritos]])</f>
        <v/>
      </c>
      <c r="F37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72" s="43">
        <f ca="1">NOW()-'LOS TIEMPOS'!$K$2</f>
        <v>42368.075526157409</v>
      </c>
    </row>
    <row r="373" spans="1:8" x14ac:dyDescent="0.2">
      <c r="A373" s="13" t="str">
        <f>IF(ROW()-5&lt;=COUNTA(TablaEquipos[Compite]),ROW()-7,"")</f>
        <v/>
      </c>
      <c r="B373" s="10" t="str">
        <f>IF(Tabla96[[#This Row],[Id]]="","",VLOOKUP(Tabla96[[#This Row],[Id]]+1,TablaEquipos[],3,FALSE))</f>
        <v/>
      </c>
      <c r="C373" s="45" t="str">
        <f>IF(Tabla96[[#This Row],[Id]]="","",VLOOKUP(Tabla96[[#This Row],[Id]]+1,TablaEquipos[],4,FALSE))</f>
        <v/>
      </c>
      <c r="D373" s="13" t="str">
        <f>IF(Tabla96[[#This Row],[Id]]="","",COUNTIF(TablaTiempos[Club],Tabla96[[#This Row],[Pos]]))</f>
        <v/>
      </c>
      <c r="E373" s="47" t="str">
        <f>IF(Tabla96[[#This Row],[Id]]="","",Tabla96[[#This Row],[Total Llegados a Meta]]/Tabla96[[#This Row],[Total Inscritos]])</f>
        <v/>
      </c>
      <c r="F37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73" s="43">
        <f ca="1">NOW()-'LOS TIEMPOS'!$K$2</f>
        <v>42368.075526157409</v>
      </c>
    </row>
    <row r="374" spans="1:8" x14ac:dyDescent="0.2">
      <c r="A374" s="13" t="str">
        <f>IF(ROW()-5&lt;=COUNTA(TablaEquipos[Compite]),ROW()-7,"")</f>
        <v/>
      </c>
      <c r="B374" s="10" t="str">
        <f>IF(Tabla96[[#This Row],[Id]]="","",VLOOKUP(Tabla96[[#This Row],[Id]]+1,TablaEquipos[],3,FALSE))</f>
        <v/>
      </c>
      <c r="C374" s="45" t="str">
        <f>IF(Tabla96[[#This Row],[Id]]="","",VLOOKUP(Tabla96[[#This Row],[Id]]+1,TablaEquipos[],4,FALSE))</f>
        <v/>
      </c>
      <c r="D374" s="13" t="str">
        <f>IF(Tabla96[[#This Row],[Id]]="","",COUNTIF(TablaTiempos[Club],Tabla96[[#This Row],[Pos]]))</f>
        <v/>
      </c>
      <c r="E374" s="47" t="str">
        <f>IF(Tabla96[[#This Row],[Id]]="","",Tabla96[[#This Row],[Total Llegados a Meta]]/Tabla96[[#This Row],[Total Inscritos]])</f>
        <v/>
      </c>
      <c r="F37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74" s="43">
        <f ca="1">NOW()-'LOS TIEMPOS'!$K$2</f>
        <v>42368.075526157409</v>
      </c>
    </row>
    <row r="375" spans="1:8" x14ac:dyDescent="0.2">
      <c r="A375" s="13" t="str">
        <f>IF(ROW()-5&lt;=COUNTA(TablaEquipos[Compite]),ROW()-7,"")</f>
        <v/>
      </c>
      <c r="B375" s="10" t="str">
        <f>IF(Tabla96[[#This Row],[Id]]="","",VLOOKUP(Tabla96[[#This Row],[Id]]+1,TablaEquipos[],3,FALSE))</f>
        <v/>
      </c>
      <c r="C375" s="45" t="str">
        <f>IF(Tabla96[[#This Row],[Id]]="","",VLOOKUP(Tabla96[[#This Row],[Id]]+1,TablaEquipos[],4,FALSE))</f>
        <v/>
      </c>
      <c r="D375" s="13" t="str">
        <f>IF(Tabla96[[#This Row],[Id]]="","",COUNTIF(TablaTiempos[Club],Tabla96[[#This Row],[Pos]]))</f>
        <v/>
      </c>
      <c r="E375" s="47" t="str">
        <f>IF(Tabla96[[#This Row],[Id]]="","",Tabla96[[#This Row],[Total Llegados a Meta]]/Tabla96[[#This Row],[Total Inscritos]])</f>
        <v/>
      </c>
      <c r="F37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75" s="43">
        <f ca="1">NOW()-'LOS TIEMPOS'!$K$2</f>
        <v>42368.075526157409</v>
      </c>
    </row>
    <row r="376" spans="1:8" x14ac:dyDescent="0.2">
      <c r="A376" s="13" t="str">
        <f>IF(ROW()-5&lt;=COUNTA(TablaEquipos[Compite]),ROW()-7,"")</f>
        <v/>
      </c>
      <c r="B376" s="10" t="str">
        <f>IF(Tabla96[[#This Row],[Id]]="","",VLOOKUP(Tabla96[[#This Row],[Id]]+1,TablaEquipos[],3,FALSE))</f>
        <v/>
      </c>
      <c r="C376" s="45" t="str">
        <f>IF(Tabla96[[#This Row],[Id]]="","",VLOOKUP(Tabla96[[#This Row],[Id]]+1,TablaEquipos[],4,FALSE))</f>
        <v/>
      </c>
      <c r="D376" s="13" t="str">
        <f>IF(Tabla96[[#This Row],[Id]]="","",COUNTIF(TablaTiempos[Club],Tabla96[[#This Row],[Pos]]))</f>
        <v/>
      </c>
      <c r="E376" s="47" t="str">
        <f>IF(Tabla96[[#This Row],[Id]]="","",Tabla96[[#This Row],[Total Llegados a Meta]]/Tabla96[[#This Row],[Total Inscritos]])</f>
        <v/>
      </c>
      <c r="F37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76" s="43">
        <f ca="1">NOW()-'LOS TIEMPOS'!$K$2</f>
        <v>42368.075526157409</v>
      </c>
    </row>
    <row r="377" spans="1:8" x14ac:dyDescent="0.2">
      <c r="A377" s="13" t="str">
        <f>IF(ROW()-5&lt;=COUNTA(TablaEquipos[Compite]),ROW()-7,"")</f>
        <v/>
      </c>
      <c r="B377" s="10" t="str">
        <f>IF(Tabla96[[#This Row],[Id]]="","",VLOOKUP(Tabla96[[#This Row],[Id]]+1,TablaEquipos[],3,FALSE))</f>
        <v/>
      </c>
      <c r="C377" s="45" t="str">
        <f>IF(Tabla96[[#This Row],[Id]]="","",VLOOKUP(Tabla96[[#This Row],[Id]]+1,TablaEquipos[],4,FALSE))</f>
        <v/>
      </c>
      <c r="D377" s="13" t="str">
        <f>IF(Tabla96[[#This Row],[Id]]="","",COUNTIF(TablaTiempos[Club],Tabla96[[#This Row],[Pos]]))</f>
        <v/>
      </c>
      <c r="E377" s="47" t="str">
        <f>IF(Tabla96[[#This Row],[Id]]="","",Tabla96[[#This Row],[Total Llegados a Meta]]/Tabla96[[#This Row],[Total Inscritos]])</f>
        <v/>
      </c>
      <c r="F37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77" s="43">
        <f ca="1">NOW()-'LOS TIEMPOS'!$K$2</f>
        <v>42368.075526157409</v>
      </c>
    </row>
    <row r="378" spans="1:8" x14ac:dyDescent="0.2">
      <c r="A378" s="13" t="str">
        <f>IF(ROW()-5&lt;=COUNTA(TablaEquipos[Compite]),ROW()-7,"")</f>
        <v/>
      </c>
      <c r="B378" s="10" t="str">
        <f>IF(Tabla96[[#This Row],[Id]]="","",VLOOKUP(Tabla96[[#This Row],[Id]]+1,TablaEquipos[],3,FALSE))</f>
        <v/>
      </c>
      <c r="C378" s="45" t="str">
        <f>IF(Tabla96[[#This Row],[Id]]="","",VLOOKUP(Tabla96[[#This Row],[Id]]+1,TablaEquipos[],4,FALSE))</f>
        <v/>
      </c>
      <c r="D378" s="13" t="str">
        <f>IF(Tabla96[[#This Row],[Id]]="","",COUNTIF(TablaTiempos[Club],Tabla96[[#This Row],[Pos]]))</f>
        <v/>
      </c>
      <c r="E378" s="47" t="str">
        <f>IF(Tabla96[[#This Row],[Id]]="","",Tabla96[[#This Row],[Total Llegados a Meta]]/Tabla96[[#This Row],[Total Inscritos]])</f>
        <v/>
      </c>
      <c r="F37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78" s="43">
        <f ca="1">NOW()-'LOS TIEMPOS'!$K$2</f>
        <v>42368.075526157409</v>
      </c>
    </row>
    <row r="379" spans="1:8" x14ac:dyDescent="0.2">
      <c r="A379" s="13" t="str">
        <f>IF(ROW()-5&lt;=COUNTA(TablaEquipos[Compite]),ROW()-7,"")</f>
        <v/>
      </c>
      <c r="B379" s="10" t="str">
        <f>IF(Tabla96[[#This Row],[Id]]="","",VLOOKUP(Tabla96[[#This Row],[Id]]+1,TablaEquipos[],3,FALSE))</f>
        <v/>
      </c>
      <c r="C379" s="45" t="str">
        <f>IF(Tabla96[[#This Row],[Id]]="","",VLOOKUP(Tabla96[[#This Row],[Id]]+1,TablaEquipos[],4,FALSE))</f>
        <v/>
      </c>
      <c r="D379" s="13" t="str">
        <f>IF(Tabla96[[#This Row],[Id]]="","",COUNTIF(TablaTiempos[Club],Tabla96[[#This Row],[Pos]]))</f>
        <v/>
      </c>
      <c r="E379" s="47" t="str">
        <f>IF(Tabla96[[#This Row],[Id]]="","",Tabla96[[#This Row],[Total Llegados a Meta]]/Tabla96[[#This Row],[Total Inscritos]])</f>
        <v/>
      </c>
      <c r="F37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79" s="43">
        <f ca="1">NOW()-'LOS TIEMPOS'!$K$2</f>
        <v>42368.075526157409</v>
      </c>
    </row>
    <row r="380" spans="1:8" x14ac:dyDescent="0.2">
      <c r="A380" s="13" t="str">
        <f>IF(ROW()-5&lt;=COUNTA(TablaEquipos[Compite]),ROW()-7,"")</f>
        <v/>
      </c>
      <c r="B380" s="10" t="str">
        <f>IF(Tabla96[[#This Row],[Id]]="","",VLOOKUP(Tabla96[[#This Row],[Id]]+1,TablaEquipos[],3,FALSE))</f>
        <v/>
      </c>
      <c r="C380" s="45" t="str">
        <f>IF(Tabla96[[#This Row],[Id]]="","",VLOOKUP(Tabla96[[#This Row],[Id]]+1,TablaEquipos[],4,FALSE))</f>
        <v/>
      </c>
      <c r="D380" s="13" t="str">
        <f>IF(Tabla96[[#This Row],[Id]]="","",COUNTIF(TablaTiempos[Club],Tabla96[[#This Row],[Pos]]))</f>
        <v/>
      </c>
      <c r="E380" s="47" t="str">
        <f>IF(Tabla96[[#This Row],[Id]]="","",Tabla96[[#This Row],[Total Llegados a Meta]]/Tabla96[[#This Row],[Total Inscritos]])</f>
        <v/>
      </c>
      <c r="F38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80" s="43">
        <f ca="1">NOW()-'LOS TIEMPOS'!$K$2</f>
        <v>42368.075526157409</v>
      </c>
    </row>
    <row r="381" spans="1:8" x14ac:dyDescent="0.2">
      <c r="A381" s="13" t="str">
        <f>IF(ROW()-5&lt;=COUNTA(TablaEquipos[Compite]),ROW()-7,"")</f>
        <v/>
      </c>
      <c r="B381" s="10" t="str">
        <f>IF(Tabla96[[#This Row],[Id]]="","",VLOOKUP(Tabla96[[#This Row],[Id]]+1,TablaEquipos[],3,FALSE))</f>
        <v/>
      </c>
      <c r="C381" s="45" t="str">
        <f>IF(Tabla96[[#This Row],[Id]]="","",VLOOKUP(Tabla96[[#This Row],[Id]]+1,TablaEquipos[],4,FALSE))</f>
        <v/>
      </c>
      <c r="D381" s="13" t="str">
        <f>IF(Tabla96[[#This Row],[Id]]="","",COUNTIF(TablaTiempos[Club],Tabla96[[#This Row],[Pos]]))</f>
        <v/>
      </c>
      <c r="E381" s="47" t="str">
        <f>IF(Tabla96[[#This Row],[Id]]="","",Tabla96[[#This Row],[Total Llegados a Meta]]/Tabla96[[#This Row],[Total Inscritos]])</f>
        <v/>
      </c>
      <c r="F38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81" s="43">
        <f ca="1">NOW()-'LOS TIEMPOS'!$K$2</f>
        <v>42368.075526157409</v>
      </c>
    </row>
    <row r="382" spans="1:8" x14ac:dyDescent="0.2">
      <c r="A382" s="13" t="str">
        <f>IF(ROW()-5&lt;=COUNTA(TablaEquipos[Compite]),ROW()-7,"")</f>
        <v/>
      </c>
      <c r="B382" s="10" t="str">
        <f>IF(Tabla96[[#This Row],[Id]]="","",VLOOKUP(Tabla96[[#This Row],[Id]]+1,TablaEquipos[],3,FALSE))</f>
        <v/>
      </c>
      <c r="C382" s="45" t="str">
        <f>IF(Tabla96[[#This Row],[Id]]="","",VLOOKUP(Tabla96[[#This Row],[Id]]+1,TablaEquipos[],4,FALSE))</f>
        <v/>
      </c>
      <c r="D382" s="13" t="str">
        <f>IF(Tabla96[[#This Row],[Id]]="","",COUNTIF(TablaTiempos[Club],Tabla96[[#This Row],[Pos]]))</f>
        <v/>
      </c>
      <c r="E382" s="47" t="str">
        <f>IF(Tabla96[[#This Row],[Id]]="","",Tabla96[[#This Row],[Total Llegados a Meta]]/Tabla96[[#This Row],[Total Inscritos]])</f>
        <v/>
      </c>
      <c r="F38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82" s="43">
        <f ca="1">NOW()-'LOS TIEMPOS'!$K$2</f>
        <v>42368.075526157409</v>
      </c>
    </row>
    <row r="383" spans="1:8" x14ac:dyDescent="0.2">
      <c r="A383" s="13" t="str">
        <f>IF(ROW()-5&lt;=COUNTA(TablaEquipos[Compite]),ROW()-7,"")</f>
        <v/>
      </c>
      <c r="B383" s="10" t="str">
        <f>IF(Tabla96[[#This Row],[Id]]="","",VLOOKUP(Tabla96[[#This Row],[Id]]+1,TablaEquipos[],3,FALSE))</f>
        <v/>
      </c>
      <c r="C383" s="45" t="str">
        <f>IF(Tabla96[[#This Row],[Id]]="","",VLOOKUP(Tabla96[[#This Row],[Id]]+1,TablaEquipos[],4,FALSE))</f>
        <v/>
      </c>
      <c r="D383" s="13" t="str">
        <f>IF(Tabla96[[#This Row],[Id]]="","",COUNTIF(TablaTiempos[Club],Tabla96[[#This Row],[Pos]]))</f>
        <v/>
      </c>
      <c r="E383" s="47" t="str">
        <f>IF(Tabla96[[#This Row],[Id]]="","",Tabla96[[#This Row],[Total Llegados a Meta]]/Tabla96[[#This Row],[Total Inscritos]])</f>
        <v/>
      </c>
      <c r="F38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83" s="43">
        <f ca="1">NOW()-'LOS TIEMPOS'!$K$2</f>
        <v>42368.075526157409</v>
      </c>
    </row>
    <row r="384" spans="1:8" x14ac:dyDescent="0.2">
      <c r="A384" s="13" t="str">
        <f>IF(ROW()-5&lt;=COUNTA(TablaEquipos[Compite]),ROW()-7,"")</f>
        <v/>
      </c>
      <c r="B384" s="10" t="str">
        <f>IF(Tabla96[[#This Row],[Id]]="","",VLOOKUP(Tabla96[[#This Row],[Id]]+1,TablaEquipos[],3,FALSE))</f>
        <v/>
      </c>
      <c r="C384" s="45" t="str">
        <f>IF(Tabla96[[#This Row],[Id]]="","",VLOOKUP(Tabla96[[#This Row],[Id]]+1,TablaEquipos[],4,FALSE))</f>
        <v/>
      </c>
      <c r="D384" s="13" t="str">
        <f>IF(Tabla96[[#This Row],[Id]]="","",COUNTIF(TablaTiempos[Club],Tabla96[[#This Row],[Pos]]))</f>
        <v/>
      </c>
      <c r="E384" s="47" t="str">
        <f>IF(Tabla96[[#This Row],[Id]]="","",Tabla96[[#This Row],[Total Llegados a Meta]]/Tabla96[[#This Row],[Total Inscritos]])</f>
        <v/>
      </c>
      <c r="F38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84" s="43">
        <f ca="1">NOW()-'LOS TIEMPOS'!$K$2</f>
        <v>42368.075526157409</v>
      </c>
    </row>
    <row r="385" spans="1:8" x14ac:dyDescent="0.2">
      <c r="A385" s="13" t="str">
        <f>IF(ROW()-5&lt;=COUNTA(TablaEquipos[Compite]),ROW()-7,"")</f>
        <v/>
      </c>
      <c r="B385" s="10" t="str">
        <f>IF(Tabla96[[#This Row],[Id]]="","",VLOOKUP(Tabla96[[#This Row],[Id]]+1,TablaEquipos[],3,FALSE))</f>
        <v/>
      </c>
      <c r="C385" s="45" t="str">
        <f>IF(Tabla96[[#This Row],[Id]]="","",VLOOKUP(Tabla96[[#This Row],[Id]]+1,TablaEquipos[],4,FALSE))</f>
        <v/>
      </c>
      <c r="D385" s="13" t="str">
        <f>IF(Tabla96[[#This Row],[Id]]="","",COUNTIF(TablaTiempos[Club],Tabla96[[#This Row],[Pos]]))</f>
        <v/>
      </c>
      <c r="E385" s="47" t="str">
        <f>IF(Tabla96[[#This Row],[Id]]="","",Tabla96[[#This Row],[Total Llegados a Meta]]/Tabla96[[#This Row],[Total Inscritos]])</f>
        <v/>
      </c>
      <c r="F38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85" s="43">
        <f ca="1">NOW()-'LOS TIEMPOS'!$K$2</f>
        <v>42368.075526157409</v>
      </c>
    </row>
    <row r="386" spans="1:8" x14ac:dyDescent="0.2">
      <c r="A386" s="13" t="str">
        <f>IF(ROW()-5&lt;=COUNTA(TablaEquipos[Compite]),ROW()-7,"")</f>
        <v/>
      </c>
      <c r="B386" s="10" t="str">
        <f>IF(Tabla96[[#This Row],[Id]]="","",VLOOKUP(Tabla96[[#This Row],[Id]]+1,TablaEquipos[],3,FALSE))</f>
        <v/>
      </c>
      <c r="C386" s="45" t="str">
        <f>IF(Tabla96[[#This Row],[Id]]="","",VLOOKUP(Tabla96[[#This Row],[Id]]+1,TablaEquipos[],4,FALSE))</f>
        <v/>
      </c>
      <c r="D386" s="13" t="str">
        <f>IF(Tabla96[[#This Row],[Id]]="","",COUNTIF(TablaTiempos[Club],Tabla96[[#This Row],[Pos]]))</f>
        <v/>
      </c>
      <c r="E386" s="47" t="str">
        <f>IF(Tabla96[[#This Row],[Id]]="","",Tabla96[[#This Row],[Total Llegados a Meta]]/Tabla96[[#This Row],[Total Inscritos]])</f>
        <v/>
      </c>
      <c r="F38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86" s="43">
        <f ca="1">NOW()-'LOS TIEMPOS'!$K$2</f>
        <v>42368.075526157409</v>
      </c>
    </row>
    <row r="387" spans="1:8" x14ac:dyDescent="0.2">
      <c r="A387" s="13" t="str">
        <f>IF(ROW()-5&lt;=COUNTA(TablaEquipos[Compite]),ROW()-7,"")</f>
        <v/>
      </c>
      <c r="B387" s="10" t="str">
        <f>IF(Tabla96[[#This Row],[Id]]="","",VLOOKUP(Tabla96[[#This Row],[Id]]+1,TablaEquipos[],3,FALSE))</f>
        <v/>
      </c>
      <c r="C387" s="45" t="str">
        <f>IF(Tabla96[[#This Row],[Id]]="","",VLOOKUP(Tabla96[[#This Row],[Id]]+1,TablaEquipos[],4,FALSE))</f>
        <v/>
      </c>
      <c r="D387" s="13" t="str">
        <f>IF(Tabla96[[#This Row],[Id]]="","",COUNTIF(TablaTiempos[Club],Tabla96[[#This Row],[Pos]]))</f>
        <v/>
      </c>
      <c r="E387" s="47" t="str">
        <f>IF(Tabla96[[#This Row],[Id]]="","",Tabla96[[#This Row],[Total Llegados a Meta]]/Tabla96[[#This Row],[Total Inscritos]])</f>
        <v/>
      </c>
      <c r="F38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87" s="43">
        <f ca="1">NOW()-'LOS TIEMPOS'!$K$2</f>
        <v>42368.075526157409</v>
      </c>
    </row>
    <row r="388" spans="1:8" x14ac:dyDescent="0.2">
      <c r="A388" s="13" t="str">
        <f>IF(ROW()-5&lt;=COUNTA(TablaEquipos[Compite]),ROW()-7,"")</f>
        <v/>
      </c>
      <c r="B388" s="10" t="str">
        <f>IF(Tabla96[[#This Row],[Id]]="","",VLOOKUP(Tabla96[[#This Row],[Id]]+1,TablaEquipos[],3,FALSE))</f>
        <v/>
      </c>
      <c r="C388" s="45" t="str">
        <f>IF(Tabla96[[#This Row],[Id]]="","",VLOOKUP(Tabla96[[#This Row],[Id]]+1,TablaEquipos[],4,FALSE))</f>
        <v/>
      </c>
      <c r="D388" s="13" t="str">
        <f>IF(Tabla96[[#This Row],[Id]]="","",COUNTIF(TablaTiempos[Club],Tabla96[[#This Row],[Pos]]))</f>
        <v/>
      </c>
      <c r="E388" s="47" t="str">
        <f>IF(Tabla96[[#This Row],[Id]]="","",Tabla96[[#This Row],[Total Llegados a Meta]]/Tabla96[[#This Row],[Total Inscritos]])</f>
        <v/>
      </c>
      <c r="F38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88" s="43">
        <f ca="1">NOW()-'LOS TIEMPOS'!$K$2</f>
        <v>42368.075526157409</v>
      </c>
    </row>
    <row r="389" spans="1:8" x14ac:dyDescent="0.2">
      <c r="A389" s="13" t="str">
        <f>IF(ROW()-5&lt;=COUNTA(TablaEquipos[Compite]),ROW()-7,"")</f>
        <v/>
      </c>
      <c r="B389" s="10" t="str">
        <f>IF(Tabla96[[#This Row],[Id]]="","",VLOOKUP(Tabla96[[#This Row],[Id]]+1,TablaEquipos[],3,FALSE))</f>
        <v/>
      </c>
      <c r="C389" s="45" t="str">
        <f>IF(Tabla96[[#This Row],[Id]]="","",VLOOKUP(Tabla96[[#This Row],[Id]]+1,TablaEquipos[],4,FALSE))</f>
        <v/>
      </c>
      <c r="D389" s="13" t="str">
        <f>IF(Tabla96[[#This Row],[Id]]="","",COUNTIF(TablaTiempos[Club],Tabla96[[#This Row],[Pos]]))</f>
        <v/>
      </c>
      <c r="E389" s="47" t="str">
        <f>IF(Tabla96[[#This Row],[Id]]="","",Tabla96[[#This Row],[Total Llegados a Meta]]/Tabla96[[#This Row],[Total Inscritos]])</f>
        <v/>
      </c>
      <c r="F38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89" s="43">
        <f ca="1">NOW()-'LOS TIEMPOS'!$K$2</f>
        <v>42368.075526157409</v>
      </c>
    </row>
    <row r="390" spans="1:8" x14ac:dyDescent="0.2">
      <c r="A390" s="13" t="str">
        <f>IF(ROW()-5&lt;=COUNTA(TablaEquipos[Compite]),ROW()-7,"")</f>
        <v/>
      </c>
      <c r="B390" s="10" t="str">
        <f>IF(Tabla96[[#This Row],[Id]]="","",VLOOKUP(Tabla96[[#This Row],[Id]]+1,TablaEquipos[],3,FALSE))</f>
        <v/>
      </c>
      <c r="C390" s="45" t="str">
        <f>IF(Tabla96[[#This Row],[Id]]="","",VLOOKUP(Tabla96[[#This Row],[Id]]+1,TablaEquipos[],4,FALSE))</f>
        <v/>
      </c>
      <c r="D390" s="13" t="str">
        <f>IF(Tabla96[[#This Row],[Id]]="","",COUNTIF(TablaTiempos[Club],Tabla96[[#This Row],[Pos]]))</f>
        <v/>
      </c>
      <c r="E390" s="47" t="str">
        <f>IF(Tabla96[[#This Row],[Id]]="","",Tabla96[[#This Row],[Total Llegados a Meta]]/Tabla96[[#This Row],[Total Inscritos]])</f>
        <v/>
      </c>
      <c r="F39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90" s="43">
        <f ca="1">NOW()-'LOS TIEMPOS'!$K$2</f>
        <v>42368.075526157409</v>
      </c>
    </row>
    <row r="391" spans="1:8" x14ac:dyDescent="0.2">
      <c r="A391" s="13" t="str">
        <f>IF(ROW()-5&lt;=COUNTA(TablaEquipos[Compite]),ROW()-7,"")</f>
        <v/>
      </c>
      <c r="B391" s="10" t="str">
        <f>IF(Tabla96[[#This Row],[Id]]="","",VLOOKUP(Tabla96[[#This Row],[Id]]+1,TablaEquipos[],3,FALSE))</f>
        <v/>
      </c>
      <c r="C391" s="45" t="str">
        <f>IF(Tabla96[[#This Row],[Id]]="","",VLOOKUP(Tabla96[[#This Row],[Id]]+1,TablaEquipos[],4,FALSE))</f>
        <v/>
      </c>
      <c r="D391" s="13" t="str">
        <f>IF(Tabla96[[#This Row],[Id]]="","",COUNTIF(TablaTiempos[Club],Tabla96[[#This Row],[Pos]]))</f>
        <v/>
      </c>
      <c r="E391" s="47" t="str">
        <f>IF(Tabla96[[#This Row],[Id]]="","",Tabla96[[#This Row],[Total Llegados a Meta]]/Tabla96[[#This Row],[Total Inscritos]])</f>
        <v/>
      </c>
      <c r="F39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91" s="43">
        <f ca="1">NOW()-'LOS TIEMPOS'!$K$2</f>
        <v>42368.075526157409</v>
      </c>
    </row>
    <row r="392" spans="1:8" x14ac:dyDescent="0.2">
      <c r="A392" s="13" t="str">
        <f>IF(ROW()-5&lt;=COUNTA(TablaEquipos[Compite]),ROW()-7,"")</f>
        <v/>
      </c>
      <c r="B392" s="10" t="str">
        <f>IF(Tabla96[[#This Row],[Id]]="","",VLOOKUP(Tabla96[[#This Row],[Id]]+1,TablaEquipos[],3,FALSE))</f>
        <v/>
      </c>
      <c r="C392" s="45" t="str">
        <f>IF(Tabla96[[#This Row],[Id]]="","",VLOOKUP(Tabla96[[#This Row],[Id]]+1,TablaEquipos[],4,FALSE))</f>
        <v/>
      </c>
      <c r="D392" s="13" t="str">
        <f>IF(Tabla96[[#This Row],[Id]]="","",COUNTIF(TablaTiempos[Club],Tabla96[[#This Row],[Pos]]))</f>
        <v/>
      </c>
      <c r="E392" s="47" t="str">
        <f>IF(Tabla96[[#This Row],[Id]]="","",Tabla96[[#This Row],[Total Llegados a Meta]]/Tabla96[[#This Row],[Total Inscritos]])</f>
        <v/>
      </c>
      <c r="F39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92" s="43">
        <f ca="1">NOW()-'LOS TIEMPOS'!$K$2</f>
        <v>42368.075526157409</v>
      </c>
    </row>
    <row r="393" spans="1:8" x14ac:dyDescent="0.2">
      <c r="A393" s="13" t="str">
        <f>IF(ROW()-5&lt;=COUNTA(TablaEquipos[Compite]),ROW()-7,"")</f>
        <v/>
      </c>
      <c r="B393" s="10" t="str">
        <f>IF(Tabla96[[#This Row],[Id]]="","",VLOOKUP(Tabla96[[#This Row],[Id]]+1,TablaEquipos[],3,FALSE))</f>
        <v/>
      </c>
      <c r="C393" s="45" t="str">
        <f>IF(Tabla96[[#This Row],[Id]]="","",VLOOKUP(Tabla96[[#This Row],[Id]]+1,TablaEquipos[],4,FALSE))</f>
        <v/>
      </c>
      <c r="D393" s="13" t="str">
        <f>IF(Tabla96[[#This Row],[Id]]="","",COUNTIF(TablaTiempos[Club],Tabla96[[#This Row],[Pos]]))</f>
        <v/>
      </c>
      <c r="E393" s="47" t="str">
        <f>IF(Tabla96[[#This Row],[Id]]="","",Tabla96[[#This Row],[Total Llegados a Meta]]/Tabla96[[#This Row],[Total Inscritos]])</f>
        <v/>
      </c>
      <c r="F39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93" s="43">
        <f ca="1">NOW()-'LOS TIEMPOS'!$K$2</f>
        <v>42368.075526157409</v>
      </c>
    </row>
    <row r="394" spans="1:8" x14ac:dyDescent="0.2">
      <c r="A394" s="13" t="str">
        <f>IF(ROW()-5&lt;=COUNTA(TablaEquipos[Compite]),ROW()-7,"")</f>
        <v/>
      </c>
      <c r="B394" s="10" t="str">
        <f>IF(Tabla96[[#This Row],[Id]]="","",VLOOKUP(Tabla96[[#This Row],[Id]]+1,TablaEquipos[],3,FALSE))</f>
        <v/>
      </c>
      <c r="C394" s="45" t="str">
        <f>IF(Tabla96[[#This Row],[Id]]="","",VLOOKUP(Tabla96[[#This Row],[Id]]+1,TablaEquipos[],4,FALSE))</f>
        <v/>
      </c>
      <c r="D394" s="13" t="str">
        <f>IF(Tabla96[[#This Row],[Id]]="","",COUNTIF(TablaTiempos[Club],Tabla96[[#This Row],[Pos]]))</f>
        <v/>
      </c>
      <c r="E394" s="47" t="str">
        <f>IF(Tabla96[[#This Row],[Id]]="","",Tabla96[[#This Row],[Total Llegados a Meta]]/Tabla96[[#This Row],[Total Inscritos]])</f>
        <v/>
      </c>
      <c r="F39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94" s="43">
        <f ca="1">NOW()-'LOS TIEMPOS'!$K$2</f>
        <v>42368.075526157409</v>
      </c>
    </row>
    <row r="395" spans="1:8" x14ac:dyDescent="0.2">
      <c r="A395" s="13" t="str">
        <f>IF(ROW()-5&lt;=COUNTA(TablaEquipos[Compite]),ROW()-7,"")</f>
        <v/>
      </c>
      <c r="B395" s="10" t="str">
        <f>IF(Tabla96[[#This Row],[Id]]="","",VLOOKUP(Tabla96[[#This Row],[Id]]+1,TablaEquipos[],3,FALSE))</f>
        <v/>
      </c>
      <c r="C395" s="45" t="str">
        <f>IF(Tabla96[[#This Row],[Id]]="","",VLOOKUP(Tabla96[[#This Row],[Id]]+1,TablaEquipos[],4,FALSE))</f>
        <v/>
      </c>
      <c r="D395" s="13" t="str">
        <f>IF(Tabla96[[#This Row],[Id]]="","",COUNTIF(TablaTiempos[Club],Tabla96[[#This Row],[Pos]]))</f>
        <v/>
      </c>
      <c r="E395" s="47" t="str">
        <f>IF(Tabla96[[#This Row],[Id]]="","",Tabla96[[#This Row],[Total Llegados a Meta]]/Tabla96[[#This Row],[Total Inscritos]])</f>
        <v/>
      </c>
      <c r="F39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95" s="43">
        <f ca="1">NOW()-'LOS TIEMPOS'!$K$2</f>
        <v>42368.075526157409</v>
      </c>
    </row>
    <row r="396" spans="1:8" x14ac:dyDescent="0.2">
      <c r="A396" s="13" t="str">
        <f>IF(ROW()-5&lt;=COUNTA(TablaEquipos[Compite]),ROW()-7,"")</f>
        <v/>
      </c>
      <c r="B396" s="10" t="str">
        <f>IF(Tabla96[[#This Row],[Id]]="","",VLOOKUP(Tabla96[[#This Row],[Id]]+1,TablaEquipos[],3,FALSE))</f>
        <v/>
      </c>
      <c r="C396" s="45" t="str">
        <f>IF(Tabla96[[#This Row],[Id]]="","",VLOOKUP(Tabla96[[#This Row],[Id]]+1,TablaEquipos[],4,FALSE))</f>
        <v/>
      </c>
      <c r="D396" s="13" t="str">
        <f>IF(Tabla96[[#This Row],[Id]]="","",COUNTIF(TablaTiempos[Club],Tabla96[[#This Row],[Pos]]))</f>
        <v/>
      </c>
      <c r="E396" s="47" t="str">
        <f>IF(Tabla96[[#This Row],[Id]]="","",Tabla96[[#This Row],[Total Llegados a Meta]]/Tabla96[[#This Row],[Total Inscritos]])</f>
        <v/>
      </c>
      <c r="F39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96" s="43">
        <f ca="1">NOW()-'LOS TIEMPOS'!$K$2</f>
        <v>42368.075526157409</v>
      </c>
    </row>
    <row r="397" spans="1:8" x14ac:dyDescent="0.2">
      <c r="A397" s="13" t="str">
        <f>IF(ROW()-5&lt;=COUNTA(TablaEquipos[Compite]),ROW()-7,"")</f>
        <v/>
      </c>
      <c r="B397" s="10" t="str">
        <f>IF(Tabla96[[#This Row],[Id]]="","",VLOOKUP(Tabla96[[#This Row],[Id]]+1,TablaEquipos[],3,FALSE))</f>
        <v/>
      </c>
      <c r="C397" s="45" t="str">
        <f>IF(Tabla96[[#This Row],[Id]]="","",VLOOKUP(Tabla96[[#This Row],[Id]]+1,TablaEquipos[],4,FALSE))</f>
        <v/>
      </c>
      <c r="D397" s="13" t="str">
        <f>IF(Tabla96[[#This Row],[Id]]="","",COUNTIF(TablaTiempos[Club],Tabla96[[#This Row],[Pos]]))</f>
        <v/>
      </c>
      <c r="E397" s="47" t="str">
        <f>IF(Tabla96[[#This Row],[Id]]="","",Tabla96[[#This Row],[Total Llegados a Meta]]/Tabla96[[#This Row],[Total Inscritos]])</f>
        <v/>
      </c>
      <c r="F39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97" s="43">
        <f ca="1">NOW()-'LOS TIEMPOS'!$K$2</f>
        <v>42368.075526157409</v>
      </c>
    </row>
    <row r="398" spans="1:8" x14ac:dyDescent="0.2">
      <c r="A398" s="13" t="str">
        <f>IF(ROW()-5&lt;=COUNTA(TablaEquipos[Compite]),ROW()-7,"")</f>
        <v/>
      </c>
      <c r="B398" s="10" t="str">
        <f>IF(Tabla96[[#This Row],[Id]]="","",VLOOKUP(Tabla96[[#This Row],[Id]]+1,TablaEquipos[],3,FALSE))</f>
        <v/>
      </c>
      <c r="C398" s="45" t="str">
        <f>IF(Tabla96[[#This Row],[Id]]="","",VLOOKUP(Tabla96[[#This Row],[Id]]+1,TablaEquipos[],4,FALSE))</f>
        <v/>
      </c>
      <c r="D398" s="13" t="str">
        <f>IF(Tabla96[[#This Row],[Id]]="","",COUNTIF(TablaTiempos[Club],Tabla96[[#This Row],[Pos]]))</f>
        <v/>
      </c>
      <c r="E398" s="47" t="str">
        <f>IF(Tabla96[[#This Row],[Id]]="","",Tabla96[[#This Row],[Total Llegados a Meta]]/Tabla96[[#This Row],[Total Inscritos]])</f>
        <v/>
      </c>
      <c r="F39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98" s="43">
        <f ca="1">NOW()-'LOS TIEMPOS'!$K$2</f>
        <v>42368.075526157409</v>
      </c>
    </row>
    <row r="399" spans="1:8" x14ac:dyDescent="0.2">
      <c r="A399" s="13" t="str">
        <f>IF(ROW()-5&lt;=COUNTA(TablaEquipos[Compite]),ROW()-7,"")</f>
        <v/>
      </c>
      <c r="B399" s="10" t="str">
        <f>IF(Tabla96[[#This Row],[Id]]="","",VLOOKUP(Tabla96[[#This Row],[Id]]+1,TablaEquipos[],3,FALSE))</f>
        <v/>
      </c>
      <c r="C399" s="45" t="str">
        <f>IF(Tabla96[[#This Row],[Id]]="","",VLOOKUP(Tabla96[[#This Row],[Id]]+1,TablaEquipos[],4,FALSE))</f>
        <v/>
      </c>
      <c r="D399" s="13" t="str">
        <f>IF(Tabla96[[#This Row],[Id]]="","",COUNTIF(TablaTiempos[Club],Tabla96[[#This Row],[Pos]]))</f>
        <v/>
      </c>
      <c r="E399" s="47" t="str">
        <f>IF(Tabla96[[#This Row],[Id]]="","",Tabla96[[#This Row],[Total Llegados a Meta]]/Tabla96[[#This Row],[Total Inscritos]])</f>
        <v/>
      </c>
      <c r="F39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399" s="43">
        <f ca="1">NOW()-'LOS TIEMPOS'!$K$2</f>
        <v>42368.075526157409</v>
      </c>
    </row>
    <row r="400" spans="1:8" x14ac:dyDescent="0.2">
      <c r="A400" s="13" t="str">
        <f>IF(ROW()-5&lt;=COUNTA(TablaEquipos[Compite]),ROW()-7,"")</f>
        <v/>
      </c>
      <c r="B400" s="10" t="str">
        <f>IF(Tabla96[[#This Row],[Id]]="","",VLOOKUP(Tabla96[[#This Row],[Id]]+1,TablaEquipos[],3,FALSE))</f>
        <v/>
      </c>
      <c r="C400" s="45" t="str">
        <f>IF(Tabla96[[#This Row],[Id]]="","",VLOOKUP(Tabla96[[#This Row],[Id]]+1,TablaEquipos[],4,FALSE))</f>
        <v/>
      </c>
      <c r="D400" s="13" t="str">
        <f>IF(Tabla96[[#This Row],[Id]]="","",COUNTIF(TablaTiempos[Club],Tabla96[[#This Row],[Pos]]))</f>
        <v/>
      </c>
      <c r="E400" s="47" t="str">
        <f>IF(Tabla96[[#This Row],[Id]]="","",Tabla96[[#This Row],[Total Llegados a Meta]]/Tabla96[[#This Row],[Total Inscritos]])</f>
        <v/>
      </c>
      <c r="F40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00" s="43">
        <f ca="1">NOW()-'LOS TIEMPOS'!$K$2</f>
        <v>42368.075526157409</v>
      </c>
    </row>
    <row r="401" spans="1:8" x14ac:dyDescent="0.2">
      <c r="A401" s="13" t="str">
        <f>IF(ROW()-5&lt;=COUNTA(TablaEquipos[Compite]),ROW()-7,"")</f>
        <v/>
      </c>
      <c r="B401" s="10" t="str">
        <f>IF(Tabla96[[#This Row],[Id]]="","",VLOOKUP(Tabla96[[#This Row],[Id]]+1,TablaEquipos[],3,FALSE))</f>
        <v/>
      </c>
      <c r="C401" s="45" t="str">
        <f>IF(Tabla96[[#This Row],[Id]]="","",VLOOKUP(Tabla96[[#This Row],[Id]]+1,TablaEquipos[],4,FALSE))</f>
        <v/>
      </c>
      <c r="D401" s="13" t="str">
        <f>IF(Tabla96[[#This Row],[Id]]="","",COUNTIF(TablaTiempos[Club],Tabla96[[#This Row],[Pos]]))</f>
        <v/>
      </c>
      <c r="E401" s="47" t="str">
        <f>IF(Tabla96[[#This Row],[Id]]="","",Tabla96[[#This Row],[Total Llegados a Meta]]/Tabla96[[#This Row],[Total Inscritos]])</f>
        <v/>
      </c>
      <c r="F40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01" s="43">
        <f ca="1">NOW()-'LOS TIEMPOS'!$K$2</f>
        <v>42368.075526157409</v>
      </c>
    </row>
    <row r="402" spans="1:8" x14ac:dyDescent="0.2">
      <c r="A402" s="13" t="str">
        <f>IF(ROW()-5&lt;=COUNTA(TablaEquipos[Compite]),ROW()-7,"")</f>
        <v/>
      </c>
      <c r="B402" s="10" t="str">
        <f>IF(Tabla96[[#This Row],[Id]]="","",VLOOKUP(Tabla96[[#This Row],[Id]]+1,TablaEquipos[],3,FALSE))</f>
        <v/>
      </c>
      <c r="C402" s="45" t="str">
        <f>IF(Tabla96[[#This Row],[Id]]="","",VLOOKUP(Tabla96[[#This Row],[Id]]+1,TablaEquipos[],4,FALSE))</f>
        <v/>
      </c>
      <c r="D402" s="13" t="str">
        <f>IF(Tabla96[[#This Row],[Id]]="","",COUNTIF(TablaTiempos[Club],Tabla96[[#This Row],[Pos]]))</f>
        <v/>
      </c>
      <c r="E402" s="47" t="str">
        <f>IF(Tabla96[[#This Row],[Id]]="","",Tabla96[[#This Row],[Total Llegados a Meta]]/Tabla96[[#This Row],[Total Inscritos]])</f>
        <v/>
      </c>
      <c r="F40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02" s="43">
        <f ca="1">NOW()-'LOS TIEMPOS'!$K$2</f>
        <v>42368.075526157409</v>
      </c>
    </row>
    <row r="403" spans="1:8" x14ac:dyDescent="0.2">
      <c r="A403" s="13" t="str">
        <f>IF(ROW()-5&lt;=COUNTA(TablaEquipos[Compite]),ROW()-7,"")</f>
        <v/>
      </c>
      <c r="B403" s="10" t="str">
        <f>IF(Tabla96[[#This Row],[Id]]="","",VLOOKUP(Tabla96[[#This Row],[Id]]+1,TablaEquipos[],3,FALSE))</f>
        <v/>
      </c>
      <c r="C403" s="45" t="str">
        <f>IF(Tabla96[[#This Row],[Id]]="","",VLOOKUP(Tabla96[[#This Row],[Id]]+1,TablaEquipos[],4,FALSE))</f>
        <v/>
      </c>
      <c r="D403" s="13" t="str">
        <f>IF(Tabla96[[#This Row],[Id]]="","",COUNTIF(TablaTiempos[Club],Tabla96[[#This Row],[Pos]]))</f>
        <v/>
      </c>
      <c r="E403" s="47" t="str">
        <f>IF(Tabla96[[#This Row],[Id]]="","",Tabla96[[#This Row],[Total Llegados a Meta]]/Tabla96[[#This Row],[Total Inscritos]])</f>
        <v/>
      </c>
      <c r="F40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03" s="43">
        <f ca="1">NOW()-'LOS TIEMPOS'!$K$2</f>
        <v>42368.075526157409</v>
      </c>
    </row>
    <row r="404" spans="1:8" x14ac:dyDescent="0.2">
      <c r="A404" s="13" t="str">
        <f>IF(ROW()-5&lt;=COUNTA(TablaEquipos[Compite]),ROW()-7,"")</f>
        <v/>
      </c>
      <c r="B404" s="10" t="str">
        <f>IF(Tabla96[[#This Row],[Id]]="","",VLOOKUP(Tabla96[[#This Row],[Id]]+1,TablaEquipos[],3,FALSE))</f>
        <v/>
      </c>
      <c r="C404" s="45" t="str">
        <f>IF(Tabla96[[#This Row],[Id]]="","",VLOOKUP(Tabla96[[#This Row],[Id]]+1,TablaEquipos[],4,FALSE))</f>
        <v/>
      </c>
      <c r="D404" s="13" t="str">
        <f>IF(Tabla96[[#This Row],[Id]]="","",COUNTIF(TablaTiempos[Club],Tabla96[[#This Row],[Pos]]))</f>
        <v/>
      </c>
      <c r="E404" s="47" t="str">
        <f>IF(Tabla96[[#This Row],[Id]]="","",Tabla96[[#This Row],[Total Llegados a Meta]]/Tabla96[[#This Row],[Total Inscritos]])</f>
        <v/>
      </c>
      <c r="F40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04" s="43">
        <f ca="1">NOW()-'LOS TIEMPOS'!$K$2</f>
        <v>42368.075526157409</v>
      </c>
    </row>
    <row r="405" spans="1:8" x14ac:dyDescent="0.2">
      <c r="A405" s="13" t="str">
        <f>IF(ROW()-5&lt;=COUNTA(TablaEquipos[Compite]),ROW()-7,"")</f>
        <v/>
      </c>
      <c r="B405" s="10" t="str">
        <f>IF(Tabla96[[#This Row],[Id]]="","",VLOOKUP(Tabla96[[#This Row],[Id]]+1,TablaEquipos[],3,FALSE))</f>
        <v/>
      </c>
      <c r="C405" s="45" t="str">
        <f>IF(Tabla96[[#This Row],[Id]]="","",VLOOKUP(Tabla96[[#This Row],[Id]]+1,TablaEquipos[],4,FALSE))</f>
        <v/>
      </c>
      <c r="D405" s="13" t="str">
        <f>IF(Tabla96[[#This Row],[Id]]="","",COUNTIF(TablaTiempos[Club],Tabla96[[#This Row],[Pos]]))</f>
        <v/>
      </c>
      <c r="E405" s="47" t="str">
        <f>IF(Tabla96[[#This Row],[Id]]="","",Tabla96[[#This Row],[Total Llegados a Meta]]/Tabla96[[#This Row],[Total Inscritos]])</f>
        <v/>
      </c>
      <c r="F40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05" s="43">
        <f ca="1">NOW()-'LOS TIEMPOS'!$K$2</f>
        <v>42368.075526157409</v>
      </c>
    </row>
    <row r="406" spans="1:8" x14ac:dyDescent="0.2">
      <c r="A406" s="13" t="str">
        <f>IF(ROW()-5&lt;=COUNTA(TablaEquipos[Compite]),ROW()-7,"")</f>
        <v/>
      </c>
      <c r="B406" s="10" t="str">
        <f>IF(Tabla96[[#This Row],[Id]]="","",VLOOKUP(Tabla96[[#This Row],[Id]]+1,TablaEquipos[],3,FALSE))</f>
        <v/>
      </c>
      <c r="C406" s="45" t="str">
        <f>IF(Tabla96[[#This Row],[Id]]="","",VLOOKUP(Tabla96[[#This Row],[Id]]+1,TablaEquipos[],4,FALSE))</f>
        <v/>
      </c>
      <c r="D406" s="13" t="str">
        <f>IF(Tabla96[[#This Row],[Id]]="","",COUNTIF(TablaTiempos[Club],Tabla96[[#This Row],[Pos]]))</f>
        <v/>
      </c>
      <c r="E406" s="47" t="str">
        <f>IF(Tabla96[[#This Row],[Id]]="","",Tabla96[[#This Row],[Total Llegados a Meta]]/Tabla96[[#This Row],[Total Inscritos]])</f>
        <v/>
      </c>
      <c r="F40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06" s="43">
        <f ca="1">NOW()-'LOS TIEMPOS'!$K$2</f>
        <v>42368.075526157409</v>
      </c>
    </row>
    <row r="407" spans="1:8" x14ac:dyDescent="0.2">
      <c r="A407" s="13" t="str">
        <f>IF(ROW()-5&lt;=COUNTA(TablaEquipos[Compite]),ROW()-7,"")</f>
        <v/>
      </c>
      <c r="B407" s="10" t="str">
        <f>IF(Tabla96[[#This Row],[Id]]="","",VLOOKUP(Tabla96[[#This Row],[Id]]+1,TablaEquipos[],3,FALSE))</f>
        <v/>
      </c>
      <c r="C407" s="45" t="str">
        <f>IF(Tabla96[[#This Row],[Id]]="","",VLOOKUP(Tabla96[[#This Row],[Id]]+1,TablaEquipos[],4,FALSE))</f>
        <v/>
      </c>
      <c r="D407" s="13" t="str">
        <f>IF(Tabla96[[#This Row],[Id]]="","",COUNTIF(TablaTiempos[Club],Tabla96[[#This Row],[Pos]]))</f>
        <v/>
      </c>
      <c r="E407" s="47" t="str">
        <f>IF(Tabla96[[#This Row],[Id]]="","",Tabla96[[#This Row],[Total Llegados a Meta]]/Tabla96[[#This Row],[Total Inscritos]])</f>
        <v/>
      </c>
      <c r="F40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07" s="43">
        <f ca="1">NOW()-'LOS TIEMPOS'!$K$2</f>
        <v>42368.075526157409</v>
      </c>
    </row>
    <row r="408" spans="1:8" x14ac:dyDescent="0.2">
      <c r="A408" s="13" t="str">
        <f>IF(ROW()-5&lt;=COUNTA(TablaEquipos[Compite]),ROW()-7,"")</f>
        <v/>
      </c>
      <c r="B408" s="10" t="str">
        <f>IF(Tabla96[[#This Row],[Id]]="","",VLOOKUP(Tabla96[[#This Row],[Id]]+1,TablaEquipos[],3,FALSE))</f>
        <v/>
      </c>
      <c r="C408" s="45" t="str">
        <f>IF(Tabla96[[#This Row],[Id]]="","",VLOOKUP(Tabla96[[#This Row],[Id]]+1,TablaEquipos[],4,FALSE))</f>
        <v/>
      </c>
      <c r="D408" s="13" t="str">
        <f>IF(Tabla96[[#This Row],[Id]]="","",COUNTIF(TablaTiempos[Club],Tabla96[[#This Row],[Pos]]))</f>
        <v/>
      </c>
      <c r="E408" s="47" t="str">
        <f>IF(Tabla96[[#This Row],[Id]]="","",Tabla96[[#This Row],[Total Llegados a Meta]]/Tabla96[[#This Row],[Total Inscritos]])</f>
        <v/>
      </c>
      <c r="F40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08" s="43">
        <f ca="1">NOW()-'LOS TIEMPOS'!$K$2</f>
        <v>42368.075526157409</v>
      </c>
    </row>
    <row r="409" spans="1:8" x14ac:dyDescent="0.2">
      <c r="A409" s="13" t="str">
        <f>IF(ROW()-5&lt;=COUNTA(TablaEquipos[Compite]),ROW()-7,"")</f>
        <v/>
      </c>
      <c r="B409" s="10" t="str">
        <f>IF(Tabla96[[#This Row],[Id]]="","",VLOOKUP(Tabla96[[#This Row],[Id]]+1,TablaEquipos[],3,FALSE))</f>
        <v/>
      </c>
      <c r="C409" s="45" t="str">
        <f>IF(Tabla96[[#This Row],[Id]]="","",VLOOKUP(Tabla96[[#This Row],[Id]]+1,TablaEquipos[],4,FALSE))</f>
        <v/>
      </c>
      <c r="D409" s="13" t="str">
        <f>IF(Tabla96[[#This Row],[Id]]="","",COUNTIF(TablaTiempos[Club],Tabla96[[#This Row],[Pos]]))</f>
        <v/>
      </c>
      <c r="E409" s="47" t="str">
        <f>IF(Tabla96[[#This Row],[Id]]="","",Tabla96[[#This Row],[Total Llegados a Meta]]/Tabla96[[#This Row],[Total Inscritos]])</f>
        <v/>
      </c>
      <c r="F40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09" s="43">
        <f ca="1">NOW()-'LOS TIEMPOS'!$K$2</f>
        <v>42368.075526157409</v>
      </c>
    </row>
    <row r="410" spans="1:8" x14ac:dyDescent="0.2">
      <c r="A410" s="13" t="str">
        <f>IF(ROW()-5&lt;=COUNTA(TablaEquipos[Compite]),ROW()-7,"")</f>
        <v/>
      </c>
      <c r="B410" s="10" t="str">
        <f>IF(Tabla96[[#This Row],[Id]]="","",VLOOKUP(Tabla96[[#This Row],[Id]]+1,TablaEquipos[],3,FALSE))</f>
        <v/>
      </c>
      <c r="C410" s="45" t="str">
        <f>IF(Tabla96[[#This Row],[Id]]="","",VLOOKUP(Tabla96[[#This Row],[Id]]+1,TablaEquipos[],4,FALSE))</f>
        <v/>
      </c>
      <c r="D410" s="13" t="str">
        <f>IF(Tabla96[[#This Row],[Id]]="","",COUNTIF(TablaTiempos[Club],Tabla96[[#This Row],[Pos]]))</f>
        <v/>
      </c>
      <c r="E410" s="47" t="str">
        <f>IF(Tabla96[[#This Row],[Id]]="","",Tabla96[[#This Row],[Total Llegados a Meta]]/Tabla96[[#This Row],[Total Inscritos]])</f>
        <v/>
      </c>
      <c r="F41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10" s="43">
        <f ca="1">NOW()-'LOS TIEMPOS'!$K$2</f>
        <v>42368.075526157409</v>
      </c>
    </row>
    <row r="411" spans="1:8" x14ac:dyDescent="0.2">
      <c r="A411" s="13" t="str">
        <f>IF(ROW()-5&lt;=COUNTA(TablaEquipos[Compite]),ROW()-7,"")</f>
        <v/>
      </c>
      <c r="B411" s="10" t="str">
        <f>IF(Tabla96[[#This Row],[Id]]="","",VLOOKUP(Tabla96[[#This Row],[Id]]+1,TablaEquipos[],3,FALSE))</f>
        <v/>
      </c>
      <c r="C411" s="45" t="str">
        <f>IF(Tabla96[[#This Row],[Id]]="","",VLOOKUP(Tabla96[[#This Row],[Id]]+1,TablaEquipos[],4,FALSE))</f>
        <v/>
      </c>
      <c r="D411" s="13" t="str">
        <f>IF(Tabla96[[#This Row],[Id]]="","",COUNTIF(TablaTiempos[Club],Tabla96[[#This Row],[Pos]]))</f>
        <v/>
      </c>
      <c r="E411" s="47" t="str">
        <f>IF(Tabla96[[#This Row],[Id]]="","",Tabla96[[#This Row],[Total Llegados a Meta]]/Tabla96[[#This Row],[Total Inscritos]])</f>
        <v/>
      </c>
      <c r="F41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11" s="43">
        <f ca="1">NOW()-'LOS TIEMPOS'!$K$2</f>
        <v>42368.075526157409</v>
      </c>
    </row>
    <row r="412" spans="1:8" x14ac:dyDescent="0.2">
      <c r="A412" s="13" t="str">
        <f>IF(ROW()-5&lt;=COUNTA(TablaEquipos[Compite]),ROW()-7,"")</f>
        <v/>
      </c>
      <c r="B412" s="10" t="str">
        <f>IF(Tabla96[[#This Row],[Id]]="","",VLOOKUP(Tabla96[[#This Row],[Id]]+1,TablaEquipos[],3,FALSE))</f>
        <v/>
      </c>
      <c r="C412" s="45" t="str">
        <f>IF(Tabla96[[#This Row],[Id]]="","",VLOOKUP(Tabla96[[#This Row],[Id]]+1,TablaEquipos[],4,FALSE))</f>
        <v/>
      </c>
      <c r="D412" s="13" t="str">
        <f>IF(Tabla96[[#This Row],[Id]]="","",COUNTIF(TablaTiempos[Club],Tabla96[[#This Row],[Pos]]))</f>
        <v/>
      </c>
      <c r="E412" s="47" t="str">
        <f>IF(Tabla96[[#This Row],[Id]]="","",Tabla96[[#This Row],[Total Llegados a Meta]]/Tabla96[[#This Row],[Total Inscritos]])</f>
        <v/>
      </c>
      <c r="F41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12" s="43">
        <f ca="1">NOW()-'LOS TIEMPOS'!$K$2</f>
        <v>42368.075526157409</v>
      </c>
    </row>
    <row r="413" spans="1:8" x14ac:dyDescent="0.2">
      <c r="A413" s="13" t="str">
        <f>IF(ROW()-5&lt;=COUNTA(TablaEquipos[Compite]),ROW()-7,"")</f>
        <v/>
      </c>
      <c r="B413" s="10" t="str">
        <f>IF(Tabla96[[#This Row],[Id]]="","",VLOOKUP(Tabla96[[#This Row],[Id]]+1,TablaEquipos[],3,FALSE))</f>
        <v/>
      </c>
      <c r="C413" s="45" t="str">
        <f>IF(Tabla96[[#This Row],[Id]]="","",VLOOKUP(Tabla96[[#This Row],[Id]]+1,TablaEquipos[],4,FALSE))</f>
        <v/>
      </c>
      <c r="D413" s="13" t="str">
        <f>IF(Tabla96[[#This Row],[Id]]="","",COUNTIF(TablaTiempos[Club],Tabla96[[#This Row],[Pos]]))</f>
        <v/>
      </c>
      <c r="E413" s="47" t="str">
        <f>IF(Tabla96[[#This Row],[Id]]="","",Tabla96[[#This Row],[Total Llegados a Meta]]/Tabla96[[#This Row],[Total Inscritos]])</f>
        <v/>
      </c>
      <c r="F41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13" s="43">
        <f ca="1">NOW()-'LOS TIEMPOS'!$K$2</f>
        <v>42368.075526157409</v>
      </c>
    </row>
    <row r="414" spans="1:8" x14ac:dyDescent="0.2">
      <c r="A414" s="13" t="str">
        <f>IF(ROW()-5&lt;=COUNTA(TablaEquipos[Compite]),ROW()-7,"")</f>
        <v/>
      </c>
      <c r="B414" s="10" t="str">
        <f>IF(Tabla96[[#This Row],[Id]]="","",VLOOKUP(Tabla96[[#This Row],[Id]]+1,TablaEquipos[],3,FALSE))</f>
        <v/>
      </c>
      <c r="C414" s="45" t="str">
        <f>IF(Tabla96[[#This Row],[Id]]="","",VLOOKUP(Tabla96[[#This Row],[Id]]+1,TablaEquipos[],4,FALSE))</f>
        <v/>
      </c>
      <c r="D414" s="13" t="str">
        <f>IF(Tabla96[[#This Row],[Id]]="","",COUNTIF(TablaTiempos[Club],Tabla96[[#This Row],[Pos]]))</f>
        <v/>
      </c>
      <c r="E414" s="47" t="str">
        <f>IF(Tabla96[[#This Row],[Id]]="","",Tabla96[[#This Row],[Total Llegados a Meta]]/Tabla96[[#This Row],[Total Inscritos]])</f>
        <v/>
      </c>
      <c r="F41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14" s="43">
        <f ca="1">NOW()-'LOS TIEMPOS'!$K$2</f>
        <v>42368.075526157409</v>
      </c>
    </row>
    <row r="415" spans="1:8" x14ac:dyDescent="0.2">
      <c r="A415" s="13" t="str">
        <f>IF(ROW()-5&lt;=COUNTA(TablaEquipos[Compite]),ROW()-7,"")</f>
        <v/>
      </c>
      <c r="B415" s="10" t="str">
        <f>IF(Tabla96[[#This Row],[Id]]="","",VLOOKUP(Tabla96[[#This Row],[Id]]+1,TablaEquipos[],3,FALSE))</f>
        <v/>
      </c>
      <c r="C415" s="45" t="str">
        <f>IF(Tabla96[[#This Row],[Id]]="","",VLOOKUP(Tabla96[[#This Row],[Id]]+1,TablaEquipos[],4,FALSE))</f>
        <v/>
      </c>
      <c r="D415" s="13" t="str">
        <f>IF(Tabla96[[#This Row],[Id]]="","",COUNTIF(TablaTiempos[Club],Tabla96[[#This Row],[Pos]]))</f>
        <v/>
      </c>
      <c r="E415" s="47" t="str">
        <f>IF(Tabla96[[#This Row],[Id]]="","",Tabla96[[#This Row],[Total Llegados a Meta]]/Tabla96[[#This Row],[Total Inscritos]])</f>
        <v/>
      </c>
      <c r="F41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15" s="43">
        <f ca="1">NOW()-'LOS TIEMPOS'!$K$2</f>
        <v>42368.075526157409</v>
      </c>
    </row>
    <row r="416" spans="1:8" x14ac:dyDescent="0.2">
      <c r="A416" s="13" t="str">
        <f>IF(ROW()-5&lt;=COUNTA(TablaEquipos[Compite]),ROW()-7,"")</f>
        <v/>
      </c>
      <c r="B416" s="10" t="str">
        <f>IF(Tabla96[[#This Row],[Id]]="","",VLOOKUP(Tabla96[[#This Row],[Id]]+1,TablaEquipos[],3,FALSE))</f>
        <v/>
      </c>
      <c r="C416" s="45" t="str">
        <f>IF(Tabla96[[#This Row],[Id]]="","",VLOOKUP(Tabla96[[#This Row],[Id]]+1,TablaEquipos[],4,FALSE))</f>
        <v/>
      </c>
      <c r="D416" s="13" t="str">
        <f>IF(Tabla96[[#This Row],[Id]]="","",COUNTIF(TablaTiempos[Club],Tabla96[[#This Row],[Pos]]))</f>
        <v/>
      </c>
      <c r="E416" s="47" t="str">
        <f>IF(Tabla96[[#This Row],[Id]]="","",Tabla96[[#This Row],[Total Llegados a Meta]]/Tabla96[[#This Row],[Total Inscritos]])</f>
        <v/>
      </c>
      <c r="F41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16" s="43">
        <f ca="1">NOW()-'LOS TIEMPOS'!$K$2</f>
        <v>42368.075526157409</v>
      </c>
    </row>
    <row r="417" spans="1:8" x14ac:dyDescent="0.2">
      <c r="A417" s="13" t="str">
        <f>IF(ROW()-5&lt;=COUNTA(TablaEquipos[Compite]),ROW()-7,"")</f>
        <v/>
      </c>
      <c r="B417" s="10" t="str">
        <f>IF(Tabla96[[#This Row],[Id]]="","",VLOOKUP(Tabla96[[#This Row],[Id]]+1,TablaEquipos[],3,FALSE))</f>
        <v/>
      </c>
      <c r="C417" s="45" t="str">
        <f>IF(Tabla96[[#This Row],[Id]]="","",VLOOKUP(Tabla96[[#This Row],[Id]]+1,TablaEquipos[],4,FALSE))</f>
        <v/>
      </c>
      <c r="D417" s="13" t="str">
        <f>IF(Tabla96[[#This Row],[Id]]="","",COUNTIF(TablaTiempos[Club],Tabla96[[#This Row],[Pos]]))</f>
        <v/>
      </c>
      <c r="E417" s="47" t="str">
        <f>IF(Tabla96[[#This Row],[Id]]="","",Tabla96[[#This Row],[Total Llegados a Meta]]/Tabla96[[#This Row],[Total Inscritos]])</f>
        <v/>
      </c>
      <c r="F41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17" s="43">
        <f ca="1">NOW()-'LOS TIEMPOS'!$K$2</f>
        <v>42368.075526157409</v>
      </c>
    </row>
    <row r="418" spans="1:8" x14ac:dyDescent="0.2">
      <c r="A418" s="13" t="str">
        <f>IF(ROW()-5&lt;=COUNTA(TablaEquipos[Compite]),ROW()-7,"")</f>
        <v/>
      </c>
      <c r="B418" s="10" t="str">
        <f>IF(Tabla96[[#This Row],[Id]]="","",VLOOKUP(Tabla96[[#This Row],[Id]]+1,TablaEquipos[],3,FALSE))</f>
        <v/>
      </c>
      <c r="C418" s="45" t="str">
        <f>IF(Tabla96[[#This Row],[Id]]="","",VLOOKUP(Tabla96[[#This Row],[Id]]+1,TablaEquipos[],4,FALSE))</f>
        <v/>
      </c>
      <c r="D418" s="13" t="str">
        <f>IF(Tabla96[[#This Row],[Id]]="","",COUNTIF(TablaTiempos[Club],Tabla96[[#This Row],[Pos]]))</f>
        <v/>
      </c>
      <c r="E418" s="47" t="str">
        <f>IF(Tabla96[[#This Row],[Id]]="","",Tabla96[[#This Row],[Total Llegados a Meta]]/Tabla96[[#This Row],[Total Inscritos]])</f>
        <v/>
      </c>
      <c r="F41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18" s="43">
        <f ca="1">NOW()-'LOS TIEMPOS'!$K$2</f>
        <v>42368.075526157409</v>
      </c>
    </row>
    <row r="419" spans="1:8" x14ac:dyDescent="0.2">
      <c r="A419" s="13" t="str">
        <f>IF(ROW()-5&lt;=COUNTA(TablaEquipos[Compite]),ROW()-7,"")</f>
        <v/>
      </c>
      <c r="B419" s="10" t="str">
        <f>IF(Tabla96[[#This Row],[Id]]="","",VLOOKUP(Tabla96[[#This Row],[Id]]+1,TablaEquipos[],3,FALSE))</f>
        <v/>
      </c>
      <c r="C419" s="45" t="str">
        <f>IF(Tabla96[[#This Row],[Id]]="","",VLOOKUP(Tabla96[[#This Row],[Id]]+1,TablaEquipos[],4,FALSE))</f>
        <v/>
      </c>
      <c r="D419" s="13" t="str">
        <f>IF(Tabla96[[#This Row],[Id]]="","",COUNTIF(TablaTiempos[Club],Tabla96[[#This Row],[Pos]]))</f>
        <v/>
      </c>
      <c r="E419" s="47" t="str">
        <f>IF(Tabla96[[#This Row],[Id]]="","",Tabla96[[#This Row],[Total Llegados a Meta]]/Tabla96[[#This Row],[Total Inscritos]])</f>
        <v/>
      </c>
      <c r="F41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19" s="43">
        <f ca="1">NOW()-'LOS TIEMPOS'!$K$2</f>
        <v>42368.075526157409</v>
      </c>
    </row>
    <row r="420" spans="1:8" x14ac:dyDescent="0.2">
      <c r="A420" s="13" t="str">
        <f>IF(ROW()-5&lt;=COUNTA(TablaEquipos[Compite]),ROW()-7,"")</f>
        <v/>
      </c>
      <c r="B420" s="10" t="str">
        <f>IF(Tabla96[[#This Row],[Id]]="","",VLOOKUP(Tabla96[[#This Row],[Id]]+1,TablaEquipos[],3,FALSE))</f>
        <v/>
      </c>
      <c r="C420" s="45" t="str">
        <f>IF(Tabla96[[#This Row],[Id]]="","",VLOOKUP(Tabla96[[#This Row],[Id]]+1,TablaEquipos[],4,FALSE))</f>
        <v/>
      </c>
      <c r="D420" s="13" t="str">
        <f>IF(Tabla96[[#This Row],[Id]]="","",COUNTIF(TablaTiempos[Club],Tabla96[[#This Row],[Pos]]))</f>
        <v/>
      </c>
      <c r="E420" s="47" t="str">
        <f>IF(Tabla96[[#This Row],[Id]]="","",Tabla96[[#This Row],[Total Llegados a Meta]]/Tabla96[[#This Row],[Total Inscritos]])</f>
        <v/>
      </c>
      <c r="F42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20" s="43">
        <f ca="1">NOW()-'LOS TIEMPOS'!$K$2</f>
        <v>42368.075526157409</v>
      </c>
    </row>
    <row r="421" spans="1:8" x14ac:dyDescent="0.2">
      <c r="A421" s="13" t="str">
        <f>IF(ROW()-5&lt;=COUNTA(TablaEquipos[Compite]),ROW()-7,"")</f>
        <v/>
      </c>
      <c r="B421" s="10" t="str">
        <f>IF(Tabla96[[#This Row],[Id]]="","",VLOOKUP(Tabla96[[#This Row],[Id]]+1,TablaEquipos[],3,FALSE))</f>
        <v/>
      </c>
      <c r="C421" s="45" t="str">
        <f>IF(Tabla96[[#This Row],[Id]]="","",VLOOKUP(Tabla96[[#This Row],[Id]]+1,TablaEquipos[],4,FALSE))</f>
        <v/>
      </c>
      <c r="D421" s="13" t="str">
        <f>IF(Tabla96[[#This Row],[Id]]="","",COUNTIF(TablaTiempos[Club],Tabla96[[#This Row],[Pos]]))</f>
        <v/>
      </c>
      <c r="E421" s="47" t="str">
        <f>IF(Tabla96[[#This Row],[Id]]="","",Tabla96[[#This Row],[Total Llegados a Meta]]/Tabla96[[#This Row],[Total Inscritos]])</f>
        <v/>
      </c>
      <c r="F42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21" s="43">
        <f ca="1">NOW()-'LOS TIEMPOS'!$K$2</f>
        <v>42368.075526157409</v>
      </c>
    </row>
    <row r="422" spans="1:8" x14ac:dyDescent="0.2">
      <c r="A422" s="13" t="str">
        <f>IF(ROW()-5&lt;=COUNTA(TablaEquipos[Compite]),ROW()-7,"")</f>
        <v/>
      </c>
      <c r="B422" s="10" t="str">
        <f>IF(Tabla96[[#This Row],[Id]]="","",VLOOKUP(Tabla96[[#This Row],[Id]]+1,TablaEquipos[],3,FALSE))</f>
        <v/>
      </c>
      <c r="C422" s="45" t="str">
        <f>IF(Tabla96[[#This Row],[Id]]="","",VLOOKUP(Tabla96[[#This Row],[Id]]+1,TablaEquipos[],4,FALSE))</f>
        <v/>
      </c>
      <c r="D422" s="13" t="str">
        <f>IF(Tabla96[[#This Row],[Id]]="","",COUNTIF(TablaTiempos[Club],Tabla96[[#This Row],[Pos]]))</f>
        <v/>
      </c>
      <c r="E422" s="47" t="str">
        <f>IF(Tabla96[[#This Row],[Id]]="","",Tabla96[[#This Row],[Total Llegados a Meta]]/Tabla96[[#This Row],[Total Inscritos]])</f>
        <v/>
      </c>
      <c r="F42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22" s="43">
        <f ca="1">NOW()-'LOS TIEMPOS'!$K$2</f>
        <v>42368.075526157409</v>
      </c>
    </row>
    <row r="423" spans="1:8" x14ac:dyDescent="0.2">
      <c r="A423" s="13" t="str">
        <f>IF(ROW()-5&lt;=COUNTA(TablaEquipos[Compite]),ROW()-7,"")</f>
        <v/>
      </c>
      <c r="B423" s="10" t="str">
        <f>IF(Tabla96[[#This Row],[Id]]="","",VLOOKUP(Tabla96[[#This Row],[Id]]+1,TablaEquipos[],3,FALSE))</f>
        <v/>
      </c>
      <c r="C423" s="45" t="str">
        <f>IF(Tabla96[[#This Row],[Id]]="","",VLOOKUP(Tabla96[[#This Row],[Id]]+1,TablaEquipos[],4,FALSE))</f>
        <v/>
      </c>
      <c r="D423" s="13" t="str">
        <f>IF(Tabla96[[#This Row],[Id]]="","",COUNTIF(TablaTiempos[Club],Tabla96[[#This Row],[Pos]]))</f>
        <v/>
      </c>
      <c r="E423" s="47" t="str">
        <f>IF(Tabla96[[#This Row],[Id]]="","",Tabla96[[#This Row],[Total Llegados a Meta]]/Tabla96[[#This Row],[Total Inscritos]])</f>
        <v/>
      </c>
      <c r="F42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23" s="43">
        <f ca="1">NOW()-'LOS TIEMPOS'!$K$2</f>
        <v>42368.075526157409</v>
      </c>
    </row>
    <row r="424" spans="1:8" x14ac:dyDescent="0.2">
      <c r="A424" s="13" t="str">
        <f>IF(ROW()-5&lt;=COUNTA(TablaEquipos[Compite]),ROW()-7,"")</f>
        <v/>
      </c>
      <c r="B424" s="10" t="str">
        <f>IF(Tabla96[[#This Row],[Id]]="","",VLOOKUP(Tabla96[[#This Row],[Id]]+1,TablaEquipos[],3,FALSE))</f>
        <v/>
      </c>
      <c r="C424" s="45" t="str">
        <f>IF(Tabla96[[#This Row],[Id]]="","",VLOOKUP(Tabla96[[#This Row],[Id]]+1,TablaEquipos[],4,FALSE))</f>
        <v/>
      </c>
      <c r="D424" s="13" t="str">
        <f>IF(Tabla96[[#This Row],[Id]]="","",COUNTIF(TablaTiempos[Club],Tabla96[[#This Row],[Pos]]))</f>
        <v/>
      </c>
      <c r="E424" s="47" t="str">
        <f>IF(Tabla96[[#This Row],[Id]]="","",Tabla96[[#This Row],[Total Llegados a Meta]]/Tabla96[[#This Row],[Total Inscritos]])</f>
        <v/>
      </c>
      <c r="F42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24" s="43">
        <f ca="1">NOW()-'LOS TIEMPOS'!$K$2</f>
        <v>42368.075526157409</v>
      </c>
    </row>
    <row r="425" spans="1:8" x14ac:dyDescent="0.2">
      <c r="A425" s="13" t="str">
        <f>IF(ROW()-5&lt;=COUNTA(TablaEquipos[Compite]),ROW()-7,"")</f>
        <v/>
      </c>
      <c r="B425" s="10" t="str">
        <f>IF(Tabla96[[#This Row],[Id]]="","",VLOOKUP(Tabla96[[#This Row],[Id]]+1,TablaEquipos[],3,FALSE))</f>
        <v/>
      </c>
      <c r="C425" s="45" t="str">
        <f>IF(Tabla96[[#This Row],[Id]]="","",VLOOKUP(Tabla96[[#This Row],[Id]]+1,TablaEquipos[],4,FALSE))</f>
        <v/>
      </c>
      <c r="D425" s="13" t="str">
        <f>IF(Tabla96[[#This Row],[Id]]="","",COUNTIF(TablaTiempos[Club],Tabla96[[#This Row],[Pos]]))</f>
        <v/>
      </c>
      <c r="E425" s="47" t="str">
        <f>IF(Tabla96[[#This Row],[Id]]="","",Tabla96[[#This Row],[Total Llegados a Meta]]/Tabla96[[#This Row],[Total Inscritos]])</f>
        <v/>
      </c>
      <c r="F42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25" s="43">
        <f ca="1">NOW()-'LOS TIEMPOS'!$K$2</f>
        <v>42368.075526157409</v>
      </c>
    </row>
    <row r="426" spans="1:8" x14ac:dyDescent="0.2">
      <c r="A426" s="13" t="str">
        <f>IF(ROW()-5&lt;=COUNTA(TablaEquipos[Compite]),ROW()-7,"")</f>
        <v/>
      </c>
      <c r="B426" s="10" t="str">
        <f>IF(Tabla96[[#This Row],[Id]]="","",VLOOKUP(Tabla96[[#This Row],[Id]]+1,TablaEquipos[],3,FALSE))</f>
        <v/>
      </c>
      <c r="C426" s="45" t="str">
        <f>IF(Tabla96[[#This Row],[Id]]="","",VLOOKUP(Tabla96[[#This Row],[Id]]+1,TablaEquipos[],4,FALSE))</f>
        <v/>
      </c>
      <c r="D426" s="13" t="str">
        <f>IF(Tabla96[[#This Row],[Id]]="","",COUNTIF(TablaTiempos[Club],Tabla96[[#This Row],[Pos]]))</f>
        <v/>
      </c>
      <c r="E426" s="47" t="str">
        <f>IF(Tabla96[[#This Row],[Id]]="","",Tabla96[[#This Row],[Total Llegados a Meta]]/Tabla96[[#This Row],[Total Inscritos]])</f>
        <v/>
      </c>
      <c r="F42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26" s="43">
        <f ca="1">NOW()-'LOS TIEMPOS'!$K$2</f>
        <v>42368.075526157409</v>
      </c>
    </row>
    <row r="427" spans="1:8" x14ac:dyDescent="0.2">
      <c r="A427" s="13" t="str">
        <f>IF(ROW()-5&lt;=COUNTA(TablaEquipos[Compite]),ROW()-7,"")</f>
        <v/>
      </c>
      <c r="B427" s="10" t="str">
        <f>IF(Tabla96[[#This Row],[Id]]="","",VLOOKUP(Tabla96[[#This Row],[Id]]+1,TablaEquipos[],3,FALSE))</f>
        <v/>
      </c>
      <c r="C427" s="45" t="str">
        <f>IF(Tabla96[[#This Row],[Id]]="","",VLOOKUP(Tabla96[[#This Row],[Id]]+1,TablaEquipos[],4,FALSE))</f>
        <v/>
      </c>
      <c r="D427" s="13" t="str">
        <f>IF(Tabla96[[#This Row],[Id]]="","",COUNTIF(TablaTiempos[Club],Tabla96[[#This Row],[Pos]]))</f>
        <v/>
      </c>
      <c r="E427" s="47" t="str">
        <f>IF(Tabla96[[#This Row],[Id]]="","",Tabla96[[#This Row],[Total Llegados a Meta]]/Tabla96[[#This Row],[Total Inscritos]])</f>
        <v/>
      </c>
      <c r="F42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27" s="43">
        <f ca="1">NOW()-'LOS TIEMPOS'!$K$2</f>
        <v>42368.075526157409</v>
      </c>
    </row>
    <row r="428" spans="1:8" x14ac:dyDescent="0.2">
      <c r="A428" s="13" t="str">
        <f>IF(ROW()-5&lt;=COUNTA(TablaEquipos[Compite]),ROW()-7,"")</f>
        <v/>
      </c>
      <c r="B428" s="10" t="str">
        <f>IF(Tabla96[[#This Row],[Id]]="","",VLOOKUP(Tabla96[[#This Row],[Id]]+1,TablaEquipos[],3,FALSE))</f>
        <v/>
      </c>
      <c r="C428" s="45" t="str">
        <f>IF(Tabla96[[#This Row],[Id]]="","",VLOOKUP(Tabla96[[#This Row],[Id]]+1,TablaEquipos[],4,FALSE))</f>
        <v/>
      </c>
      <c r="D428" s="13" t="str">
        <f>IF(Tabla96[[#This Row],[Id]]="","",COUNTIF(TablaTiempos[Club],Tabla96[[#This Row],[Pos]]))</f>
        <v/>
      </c>
      <c r="E428" s="47" t="str">
        <f>IF(Tabla96[[#This Row],[Id]]="","",Tabla96[[#This Row],[Total Llegados a Meta]]/Tabla96[[#This Row],[Total Inscritos]])</f>
        <v/>
      </c>
      <c r="F42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28" s="43">
        <f ca="1">NOW()-'LOS TIEMPOS'!$K$2</f>
        <v>42368.075526157409</v>
      </c>
    </row>
    <row r="429" spans="1:8" x14ac:dyDescent="0.2">
      <c r="A429" s="13" t="str">
        <f>IF(ROW()-5&lt;=COUNTA(TablaEquipos[Compite]),ROW()-7,"")</f>
        <v/>
      </c>
      <c r="B429" s="10" t="str">
        <f>IF(Tabla96[[#This Row],[Id]]="","",VLOOKUP(Tabla96[[#This Row],[Id]]+1,TablaEquipos[],3,FALSE))</f>
        <v/>
      </c>
      <c r="C429" s="45" t="str">
        <f>IF(Tabla96[[#This Row],[Id]]="","",VLOOKUP(Tabla96[[#This Row],[Id]]+1,TablaEquipos[],4,FALSE))</f>
        <v/>
      </c>
      <c r="D429" s="13" t="str">
        <f>IF(Tabla96[[#This Row],[Id]]="","",COUNTIF(TablaTiempos[Club],Tabla96[[#This Row],[Pos]]))</f>
        <v/>
      </c>
      <c r="E429" s="47" t="str">
        <f>IF(Tabla96[[#This Row],[Id]]="","",Tabla96[[#This Row],[Total Llegados a Meta]]/Tabla96[[#This Row],[Total Inscritos]])</f>
        <v/>
      </c>
      <c r="F42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29" s="43">
        <f ca="1">NOW()-'LOS TIEMPOS'!$K$2</f>
        <v>42368.075526157409</v>
      </c>
    </row>
    <row r="430" spans="1:8" x14ac:dyDescent="0.2">
      <c r="A430" s="13" t="str">
        <f>IF(ROW()-5&lt;=COUNTA(TablaEquipos[Compite]),ROW()-7,"")</f>
        <v/>
      </c>
      <c r="B430" s="10" t="str">
        <f>IF(Tabla96[[#This Row],[Id]]="","",VLOOKUP(Tabla96[[#This Row],[Id]]+1,TablaEquipos[],3,FALSE))</f>
        <v/>
      </c>
      <c r="C430" s="45" t="str">
        <f>IF(Tabla96[[#This Row],[Id]]="","",VLOOKUP(Tabla96[[#This Row],[Id]]+1,TablaEquipos[],4,FALSE))</f>
        <v/>
      </c>
      <c r="D430" s="13" t="str">
        <f>IF(Tabla96[[#This Row],[Id]]="","",COUNTIF(TablaTiempos[Club],Tabla96[[#This Row],[Pos]]))</f>
        <v/>
      </c>
      <c r="E430" s="47" t="str">
        <f>IF(Tabla96[[#This Row],[Id]]="","",Tabla96[[#This Row],[Total Llegados a Meta]]/Tabla96[[#This Row],[Total Inscritos]])</f>
        <v/>
      </c>
      <c r="F43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30" s="43">
        <f ca="1">NOW()-'LOS TIEMPOS'!$K$2</f>
        <v>42368.075526157409</v>
      </c>
    </row>
    <row r="431" spans="1:8" x14ac:dyDescent="0.2">
      <c r="A431" s="13" t="str">
        <f>IF(ROW()-5&lt;=COUNTA(TablaEquipos[Compite]),ROW()-7,"")</f>
        <v/>
      </c>
      <c r="B431" s="10" t="str">
        <f>IF(Tabla96[[#This Row],[Id]]="","",VLOOKUP(Tabla96[[#This Row],[Id]]+1,TablaEquipos[],3,FALSE))</f>
        <v/>
      </c>
      <c r="C431" s="45" t="str">
        <f>IF(Tabla96[[#This Row],[Id]]="","",VLOOKUP(Tabla96[[#This Row],[Id]]+1,TablaEquipos[],4,FALSE))</f>
        <v/>
      </c>
      <c r="D431" s="13" t="str">
        <f>IF(Tabla96[[#This Row],[Id]]="","",COUNTIF(TablaTiempos[Club],Tabla96[[#This Row],[Pos]]))</f>
        <v/>
      </c>
      <c r="E431" s="47" t="str">
        <f>IF(Tabla96[[#This Row],[Id]]="","",Tabla96[[#This Row],[Total Llegados a Meta]]/Tabla96[[#This Row],[Total Inscritos]])</f>
        <v/>
      </c>
      <c r="F43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31" s="43">
        <f ca="1">NOW()-'LOS TIEMPOS'!$K$2</f>
        <v>42368.075526157409</v>
      </c>
    </row>
    <row r="432" spans="1:8" x14ac:dyDescent="0.2">
      <c r="A432" s="13" t="str">
        <f>IF(ROW()-5&lt;=COUNTA(TablaEquipos[Compite]),ROW()-7,"")</f>
        <v/>
      </c>
      <c r="B432" s="10" t="str">
        <f>IF(Tabla96[[#This Row],[Id]]="","",VLOOKUP(Tabla96[[#This Row],[Id]]+1,TablaEquipos[],3,FALSE))</f>
        <v/>
      </c>
      <c r="C432" s="45" t="str">
        <f>IF(Tabla96[[#This Row],[Id]]="","",VLOOKUP(Tabla96[[#This Row],[Id]]+1,TablaEquipos[],4,FALSE))</f>
        <v/>
      </c>
      <c r="D432" s="13" t="str">
        <f>IF(Tabla96[[#This Row],[Id]]="","",COUNTIF(TablaTiempos[Club],Tabla96[[#This Row],[Pos]]))</f>
        <v/>
      </c>
      <c r="E432" s="47" t="str">
        <f>IF(Tabla96[[#This Row],[Id]]="","",Tabla96[[#This Row],[Total Llegados a Meta]]/Tabla96[[#This Row],[Total Inscritos]])</f>
        <v/>
      </c>
      <c r="F43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32" s="43">
        <f ca="1">NOW()-'LOS TIEMPOS'!$K$2</f>
        <v>42368.075526157409</v>
      </c>
    </row>
    <row r="433" spans="1:8" x14ac:dyDescent="0.2">
      <c r="A433" s="13" t="str">
        <f>IF(ROW()-5&lt;=COUNTA(TablaEquipos[Compite]),ROW()-7,"")</f>
        <v/>
      </c>
      <c r="B433" s="10" t="str">
        <f>IF(Tabla96[[#This Row],[Id]]="","",VLOOKUP(Tabla96[[#This Row],[Id]]+1,TablaEquipos[],3,FALSE))</f>
        <v/>
      </c>
      <c r="C433" s="45" t="str">
        <f>IF(Tabla96[[#This Row],[Id]]="","",VLOOKUP(Tabla96[[#This Row],[Id]]+1,TablaEquipos[],4,FALSE))</f>
        <v/>
      </c>
      <c r="D433" s="13" t="str">
        <f>IF(Tabla96[[#This Row],[Id]]="","",COUNTIF(TablaTiempos[Club],Tabla96[[#This Row],[Pos]]))</f>
        <v/>
      </c>
      <c r="E433" s="47" t="str">
        <f>IF(Tabla96[[#This Row],[Id]]="","",Tabla96[[#This Row],[Total Llegados a Meta]]/Tabla96[[#This Row],[Total Inscritos]])</f>
        <v/>
      </c>
      <c r="F43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33" s="43">
        <f ca="1">NOW()-'LOS TIEMPOS'!$K$2</f>
        <v>42368.075526157409</v>
      </c>
    </row>
    <row r="434" spans="1:8" x14ac:dyDescent="0.2">
      <c r="A434" s="13" t="str">
        <f>IF(ROW()-5&lt;=COUNTA(TablaEquipos[Compite]),ROW()-7,"")</f>
        <v/>
      </c>
      <c r="B434" s="10" t="str">
        <f>IF(Tabla96[[#This Row],[Id]]="","",VLOOKUP(Tabla96[[#This Row],[Id]]+1,TablaEquipos[],3,FALSE))</f>
        <v/>
      </c>
      <c r="C434" s="45" t="str">
        <f>IF(Tabla96[[#This Row],[Id]]="","",VLOOKUP(Tabla96[[#This Row],[Id]]+1,TablaEquipos[],4,FALSE))</f>
        <v/>
      </c>
      <c r="D434" s="13" t="str">
        <f>IF(Tabla96[[#This Row],[Id]]="","",COUNTIF(TablaTiempos[Club],Tabla96[[#This Row],[Pos]]))</f>
        <v/>
      </c>
      <c r="E434" s="47" t="str">
        <f>IF(Tabla96[[#This Row],[Id]]="","",Tabla96[[#This Row],[Total Llegados a Meta]]/Tabla96[[#This Row],[Total Inscritos]])</f>
        <v/>
      </c>
      <c r="F43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34" s="43">
        <f ca="1">NOW()-'LOS TIEMPOS'!$K$2</f>
        <v>42368.075526157409</v>
      </c>
    </row>
    <row r="435" spans="1:8" x14ac:dyDescent="0.2">
      <c r="A435" s="13" t="str">
        <f>IF(ROW()-5&lt;=COUNTA(TablaEquipos[Compite]),ROW()-7,"")</f>
        <v/>
      </c>
      <c r="B435" s="10" t="str">
        <f>IF(Tabla96[[#This Row],[Id]]="","",VLOOKUP(Tabla96[[#This Row],[Id]]+1,TablaEquipos[],3,FALSE))</f>
        <v/>
      </c>
      <c r="C435" s="45" t="str">
        <f>IF(Tabla96[[#This Row],[Id]]="","",VLOOKUP(Tabla96[[#This Row],[Id]]+1,TablaEquipos[],4,FALSE))</f>
        <v/>
      </c>
      <c r="D435" s="13" t="str">
        <f>IF(Tabla96[[#This Row],[Id]]="","",COUNTIF(TablaTiempos[Club],Tabla96[[#This Row],[Pos]]))</f>
        <v/>
      </c>
      <c r="E435" s="47" t="str">
        <f>IF(Tabla96[[#This Row],[Id]]="","",Tabla96[[#This Row],[Total Llegados a Meta]]/Tabla96[[#This Row],[Total Inscritos]])</f>
        <v/>
      </c>
      <c r="F43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35" s="43">
        <f ca="1">NOW()-'LOS TIEMPOS'!$K$2</f>
        <v>42368.075526157409</v>
      </c>
    </row>
    <row r="436" spans="1:8" x14ac:dyDescent="0.2">
      <c r="A436" s="13" t="str">
        <f>IF(ROW()-5&lt;=COUNTA(TablaEquipos[Compite]),ROW()-7,"")</f>
        <v/>
      </c>
      <c r="B436" s="10" t="str">
        <f>IF(Tabla96[[#This Row],[Id]]="","",VLOOKUP(Tabla96[[#This Row],[Id]]+1,TablaEquipos[],3,FALSE))</f>
        <v/>
      </c>
      <c r="C436" s="45" t="str">
        <f>IF(Tabla96[[#This Row],[Id]]="","",VLOOKUP(Tabla96[[#This Row],[Id]]+1,TablaEquipos[],4,FALSE))</f>
        <v/>
      </c>
      <c r="D436" s="13" t="str">
        <f>IF(Tabla96[[#This Row],[Id]]="","",COUNTIF(TablaTiempos[Club],Tabla96[[#This Row],[Pos]]))</f>
        <v/>
      </c>
      <c r="E436" s="47" t="str">
        <f>IF(Tabla96[[#This Row],[Id]]="","",Tabla96[[#This Row],[Total Llegados a Meta]]/Tabla96[[#This Row],[Total Inscritos]])</f>
        <v/>
      </c>
      <c r="F43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36" s="43">
        <f ca="1">NOW()-'LOS TIEMPOS'!$K$2</f>
        <v>42368.075526157409</v>
      </c>
    </row>
    <row r="437" spans="1:8" x14ac:dyDescent="0.2">
      <c r="A437" s="13" t="str">
        <f>IF(ROW()-5&lt;=COUNTA(TablaEquipos[Compite]),ROW()-7,"")</f>
        <v/>
      </c>
      <c r="B437" s="10" t="str">
        <f>IF(Tabla96[[#This Row],[Id]]="","",VLOOKUP(Tabla96[[#This Row],[Id]]+1,TablaEquipos[],3,FALSE))</f>
        <v/>
      </c>
      <c r="C437" s="45" t="str">
        <f>IF(Tabla96[[#This Row],[Id]]="","",VLOOKUP(Tabla96[[#This Row],[Id]]+1,TablaEquipos[],4,FALSE))</f>
        <v/>
      </c>
      <c r="D437" s="13" t="str">
        <f>IF(Tabla96[[#This Row],[Id]]="","",COUNTIF(TablaTiempos[Club],Tabla96[[#This Row],[Pos]]))</f>
        <v/>
      </c>
      <c r="E437" s="47" t="str">
        <f>IF(Tabla96[[#This Row],[Id]]="","",Tabla96[[#This Row],[Total Llegados a Meta]]/Tabla96[[#This Row],[Total Inscritos]])</f>
        <v/>
      </c>
      <c r="F43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37" s="43">
        <f ca="1">NOW()-'LOS TIEMPOS'!$K$2</f>
        <v>42368.075526157409</v>
      </c>
    </row>
    <row r="438" spans="1:8" x14ac:dyDescent="0.2">
      <c r="A438" s="13" t="str">
        <f>IF(ROW()-5&lt;=COUNTA(TablaEquipos[Compite]),ROW()-7,"")</f>
        <v/>
      </c>
      <c r="B438" s="10" t="str">
        <f>IF(Tabla96[[#This Row],[Id]]="","",VLOOKUP(Tabla96[[#This Row],[Id]]+1,TablaEquipos[],3,FALSE))</f>
        <v/>
      </c>
      <c r="C438" s="45" t="str">
        <f>IF(Tabla96[[#This Row],[Id]]="","",VLOOKUP(Tabla96[[#This Row],[Id]]+1,TablaEquipos[],4,FALSE))</f>
        <v/>
      </c>
      <c r="D438" s="13" t="str">
        <f>IF(Tabla96[[#This Row],[Id]]="","",COUNTIF(TablaTiempos[Club],Tabla96[[#This Row],[Pos]]))</f>
        <v/>
      </c>
      <c r="E438" s="47" t="str">
        <f>IF(Tabla96[[#This Row],[Id]]="","",Tabla96[[#This Row],[Total Llegados a Meta]]/Tabla96[[#This Row],[Total Inscritos]])</f>
        <v/>
      </c>
      <c r="F43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38" s="43">
        <f ca="1">NOW()-'LOS TIEMPOS'!$K$2</f>
        <v>42368.075526157409</v>
      </c>
    </row>
    <row r="439" spans="1:8" x14ac:dyDescent="0.2">
      <c r="A439" s="13" t="str">
        <f>IF(ROW()-5&lt;=COUNTA(TablaEquipos[Compite]),ROW()-7,"")</f>
        <v/>
      </c>
      <c r="B439" s="10" t="str">
        <f>IF(Tabla96[[#This Row],[Id]]="","",VLOOKUP(Tabla96[[#This Row],[Id]]+1,TablaEquipos[],3,FALSE))</f>
        <v/>
      </c>
      <c r="C439" s="45" t="str">
        <f>IF(Tabla96[[#This Row],[Id]]="","",VLOOKUP(Tabla96[[#This Row],[Id]]+1,TablaEquipos[],4,FALSE))</f>
        <v/>
      </c>
      <c r="D439" s="13" t="str">
        <f>IF(Tabla96[[#This Row],[Id]]="","",COUNTIF(TablaTiempos[Club],Tabla96[[#This Row],[Pos]]))</f>
        <v/>
      </c>
      <c r="E439" s="47" t="str">
        <f>IF(Tabla96[[#This Row],[Id]]="","",Tabla96[[#This Row],[Total Llegados a Meta]]/Tabla96[[#This Row],[Total Inscritos]])</f>
        <v/>
      </c>
      <c r="F43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39" s="43">
        <f ca="1">NOW()-'LOS TIEMPOS'!$K$2</f>
        <v>42368.075526157409</v>
      </c>
    </row>
    <row r="440" spans="1:8" x14ac:dyDescent="0.2">
      <c r="A440" s="13" t="str">
        <f>IF(ROW()-5&lt;=COUNTA(TablaEquipos[Compite]),ROW()-7,"")</f>
        <v/>
      </c>
      <c r="B440" s="10" t="str">
        <f>IF(Tabla96[[#This Row],[Id]]="","",VLOOKUP(Tabla96[[#This Row],[Id]]+1,TablaEquipos[],3,FALSE))</f>
        <v/>
      </c>
      <c r="C440" s="45" t="str">
        <f>IF(Tabla96[[#This Row],[Id]]="","",VLOOKUP(Tabla96[[#This Row],[Id]]+1,TablaEquipos[],4,FALSE))</f>
        <v/>
      </c>
      <c r="D440" s="13" t="str">
        <f>IF(Tabla96[[#This Row],[Id]]="","",COUNTIF(TablaTiempos[Club],Tabla96[[#This Row],[Pos]]))</f>
        <v/>
      </c>
      <c r="E440" s="47" t="str">
        <f>IF(Tabla96[[#This Row],[Id]]="","",Tabla96[[#This Row],[Total Llegados a Meta]]/Tabla96[[#This Row],[Total Inscritos]])</f>
        <v/>
      </c>
      <c r="F44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40" s="43">
        <f ca="1">NOW()-'LOS TIEMPOS'!$K$2</f>
        <v>42368.075526157409</v>
      </c>
    </row>
    <row r="441" spans="1:8" x14ac:dyDescent="0.2">
      <c r="A441" s="13" t="str">
        <f>IF(ROW()-5&lt;=COUNTA(TablaEquipos[Compite]),ROW()-7,"")</f>
        <v/>
      </c>
      <c r="B441" s="10" t="str">
        <f>IF(Tabla96[[#This Row],[Id]]="","",VLOOKUP(Tabla96[[#This Row],[Id]]+1,TablaEquipos[],3,FALSE))</f>
        <v/>
      </c>
      <c r="C441" s="45" t="str">
        <f>IF(Tabla96[[#This Row],[Id]]="","",VLOOKUP(Tabla96[[#This Row],[Id]]+1,TablaEquipos[],4,FALSE))</f>
        <v/>
      </c>
      <c r="D441" s="13" t="str">
        <f>IF(Tabla96[[#This Row],[Id]]="","",COUNTIF(TablaTiempos[Club],Tabla96[[#This Row],[Pos]]))</f>
        <v/>
      </c>
      <c r="E441" s="47" t="str">
        <f>IF(Tabla96[[#This Row],[Id]]="","",Tabla96[[#This Row],[Total Llegados a Meta]]/Tabla96[[#This Row],[Total Inscritos]])</f>
        <v/>
      </c>
      <c r="F44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41" s="43">
        <f ca="1">NOW()-'LOS TIEMPOS'!$K$2</f>
        <v>42368.075526157409</v>
      </c>
    </row>
    <row r="442" spans="1:8" x14ac:dyDescent="0.2">
      <c r="A442" s="13" t="str">
        <f>IF(ROW()-5&lt;=COUNTA(TablaEquipos[Compite]),ROW()-7,"")</f>
        <v/>
      </c>
      <c r="B442" s="10" t="str">
        <f>IF(Tabla96[[#This Row],[Id]]="","",VLOOKUP(Tabla96[[#This Row],[Id]]+1,TablaEquipos[],3,FALSE))</f>
        <v/>
      </c>
      <c r="C442" s="45" t="str">
        <f>IF(Tabla96[[#This Row],[Id]]="","",VLOOKUP(Tabla96[[#This Row],[Id]]+1,TablaEquipos[],4,FALSE))</f>
        <v/>
      </c>
      <c r="D442" s="13" t="str">
        <f>IF(Tabla96[[#This Row],[Id]]="","",COUNTIF(TablaTiempos[Club],Tabla96[[#This Row],[Pos]]))</f>
        <v/>
      </c>
      <c r="E442" s="47" t="str">
        <f>IF(Tabla96[[#This Row],[Id]]="","",Tabla96[[#This Row],[Total Llegados a Meta]]/Tabla96[[#This Row],[Total Inscritos]])</f>
        <v/>
      </c>
      <c r="F44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42" s="43">
        <f ca="1">NOW()-'LOS TIEMPOS'!$K$2</f>
        <v>42368.075526157409</v>
      </c>
    </row>
    <row r="443" spans="1:8" x14ac:dyDescent="0.2">
      <c r="A443" s="13" t="str">
        <f>IF(ROW()-5&lt;=COUNTA(TablaEquipos[Compite]),ROW()-7,"")</f>
        <v/>
      </c>
      <c r="B443" s="10" t="str">
        <f>IF(Tabla96[[#This Row],[Id]]="","",VLOOKUP(Tabla96[[#This Row],[Id]]+1,TablaEquipos[],3,FALSE))</f>
        <v/>
      </c>
      <c r="C443" s="45" t="str">
        <f>IF(Tabla96[[#This Row],[Id]]="","",VLOOKUP(Tabla96[[#This Row],[Id]]+1,TablaEquipos[],4,FALSE))</f>
        <v/>
      </c>
      <c r="D443" s="13" t="str">
        <f>IF(Tabla96[[#This Row],[Id]]="","",COUNTIF(TablaTiempos[Club],Tabla96[[#This Row],[Pos]]))</f>
        <v/>
      </c>
      <c r="E443" s="47" t="str">
        <f>IF(Tabla96[[#This Row],[Id]]="","",Tabla96[[#This Row],[Total Llegados a Meta]]/Tabla96[[#This Row],[Total Inscritos]])</f>
        <v/>
      </c>
      <c r="F44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43" s="43">
        <f ca="1">NOW()-'LOS TIEMPOS'!$K$2</f>
        <v>42368.075526157409</v>
      </c>
    </row>
    <row r="444" spans="1:8" x14ac:dyDescent="0.2">
      <c r="A444" s="13" t="str">
        <f>IF(ROW()-5&lt;=COUNTA(TablaEquipos[Compite]),ROW()-7,"")</f>
        <v/>
      </c>
      <c r="B444" s="10" t="str">
        <f>IF(Tabla96[[#This Row],[Id]]="","",VLOOKUP(Tabla96[[#This Row],[Id]]+1,TablaEquipos[],3,FALSE))</f>
        <v/>
      </c>
      <c r="C444" s="45" t="str">
        <f>IF(Tabla96[[#This Row],[Id]]="","",VLOOKUP(Tabla96[[#This Row],[Id]]+1,TablaEquipos[],4,FALSE))</f>
        <v/>
      </c>
      <c r="D444" s="13" t="str">
        <f>IF(Tabla96[[#This Row],[Id]]="","",COUNTIF(TablaTiempos[Club],Tabla96[[#This Row],[Pos]]))</f>
        <v/>
      </c>
      <c r="E444" s="47" t="str">
        <f>IF(Tabla96[[#This Row],[Id]]="","",Tabla96[[#This Row],[Total Llegados a Meta]]/Tabla96[[#This Row],[Total Inscritos]])</f>
        <v/>
      </c>
      <c r="F44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44" s="43">
        <f ca="1">NOW()-'LOS TIEMPOS'!$K$2</f>
        <v>42368.075526157409</v>
      </c>
    </row>
    <row r="445" spans="1:8" x14ac:dyDescent="0.2">
      <c r="A445" s="13" t="str">
        <f>IF(ROW()-5&lt;=COUNTA(TablaEquipos[Compite]),ROW()-7,"")</f>
        <v/>
      </c>
      <c r="B445" s="10" t="str">
        <f>IF(Tabla96[[#This Row],[Id]]="","",VLOOKUP(Tabla96[[#This Row],[Id]]+1,TablaEquipos[],3,FALSE))</f>
        <v/>
      </c>
      <c r="C445" s="45" t="str">
        <f>IF(Tabla96[[#This Row],[Id]]="","",VLOOKUP(Tabla96[[#This Row],[Id]]+1,TablaEquipos[],4,FALSE))</f>
        <v/>
      </c>
      <c r="D445" s="13" t="str">
        <f>IF(Tabla96[[#This Row],[Id]]="","",COUNTIF(TablaTiempos[Club],Tabla96[[#This Row],[Pos]]))</f>
        <v/>
      </c>
      <c r="E445" s="47" t="str">
        <f>IF(Tabla96[[#This Row],[Id]]="","",Tabla96[[#This Row],[Total Llegados a Meta]]/Tabla96[[#This Row],[Total Inscritos]])</f>
        <v/>
      </c>
      <c r="F44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45" s="43">
        <f ca="1">NOW()-'LOS TIEMPOS'!$K$2</f>
        <v>42368.075526157409</v>
      </c>
    </row>
    <row r="446" spans="1:8" x14ac:dyDescent="0.2">
      <c r="A446" s="13" t="str">
        <f>IF(ROW()-5&lt;=COUNTA(TablaEquipos[Compite]),ROW()-7,"")</f>
        <v/>
      </c>
      <c r="B446" s="10" t="str">
        <f>IF(Tabla96[[#This Row],[Id]]="","",VLOOKUP(Tabla96[[#This Row],[Id]]+1,TablaEquipos[],3,FALSE))</f>
        <v/>
      </c>
      <c r="C446" s="45" t="str">
        <f>IF(Tabla96[[#This Row],[Id]]="","",VLOOKUP(Tabla96[[#This Row],[Id]]+1,TablaEquipos[],4,FALSE))</f>
        <v/>
      </c>
      <c r="D446" s="13" t="str">
        <f>IF(Tabla96[[#This Row],[Id]]="","",COUNTIF(TablaTiempos[Club],Tabla96[[#This Row],[Pos]]))</f>
        <v/>
      </c>
      <c r="E446" s="47" t="str">
        <f>IF(Tabla96[[#This Row],[Id]]="","",Tabla96[[#This Row],[Total Llegados a Meta]]/Tabla96[[#This Row],[Total Inscritos]])</f>
        <v/>
      </c>
      <c r="F44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46" s="43">
        <f ca="1">NOW()-'LOS TIEMPOS'!$K$2</f>
        <v>42368.075526157409</v>
      </c>
    </row>
    <row r="447" spans="1:8" x14ac:dyDescent="0.2">
      <c r="A447" s="13" t="str">
        <f>IF(ROW()-5&lt;=COUNTA(TablaEquipos[Compite]),ROW()-7,"")</f>
        <v/>
      </c>
      <c r="B447" s="10" t="str">
        <f>IF(Tabla96[[#This Row],[Id]]="","",VLOOKUP(Tabla96[[#This Row],[Id]]+1,TablaEquipos[],3,FALSE))</f>
        <v/>
      </c>
      <c r="C447" s="45" t="str">
        <f>IF(Tabla96[[#This Row],[Id]]="","",VLOOKUP(Tabla96[[#This Row],[Id]]+1,TablaEquipos[],4,FALSE))</f>
        <v/>
      </c>
      <c r="D447" s="13" t="str">
        <f>IF(Tabla96[[#This Row],[Id]]="","",COUNTIF(TablaTiempos[Club],Tabla96[[#This Row],[Pos]]))</f>
        <v/>
      </c>
      <c r="E447" s="47" t="str">
        <f>IF(Tabla96[[#This Row],[Id]]="","",Tabla96[[#This Row],[Total Llegados a Meta]]/Tabla96[[#This Row],[Total Inscritos]])</f>
        <v/>
      </c>
      <c r="F44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47" s="43">
        <f ca="1">NOW()-'LOS TIEMPOS'!$K$2</f>
        <v>42368.075526157409</v>
      </c>
    </row>
    <row r="448" spans="1:8" x14ac:dyDescent="0.2">
      <c r="A448" s="13" t="str">
        <f>IF(ROW()-5&lt;=COUNTA(TablaEquipos[Compite]),ROW()-7,"")</f>
        <v/>
      </c>
      <c r="B448" s="10" t="str">
        <f>IF(Tabla96[[#This Row],[Id]]="","",VLOOKUP(Tabla96[[#This Row],[Id]]+1,TablaEquipos[],3,FALSE))</f>
        <v/>
      </c>
      <c r="C448" s="45" t="str">
        <f>IF(Tabla96[[#This Row],[Id]]="","",VLOOKUP(Tabla96[[#This Row],[Id]]+1,TablaEquipos[],4,FALSE))</f>
        <v/>
      </c>
      <c r="D448" s="13" t="str">
        <f>IF(Tabla96[[#This Row],[Id]]="","",COUNTIF(TablaTiempos[Club],Tabla96[[#This Row],[Pos]]))</f>
        <v/>
      </c>
      <c r="E448" s="47" t="str">
        <f>IF(Tabla96[[#This Row],[Id]]="","",Tabla96[[#This Row],[Total Llegados a Meta]]/Tabla96[[#This Row],[Total Inscritos]])</f>
        <v/>
      </c>
      <c r="F44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48" s="43">
        <f ca="1">NOW()-'LOS TIEMPOS'!$K$2</f>
        <v>42368.075526157409</v>
      </c>
    </row>
    <row r="449" spans="1:8" x14ac:dyDescent="0.2">
      <c r="A449" s="13" t="str">
        <f>IF(ROW()-5&lt;=COUNTA(TablaEquipos[Compite]),ROW()-7,"")</f>
        <v/>
      </c>
      <c r="B449" s="10" t="str">
        <f>IF(Tabla96[[#This Row],[Id]]="","",VLOOKUP(Tabla96[[#This Row],[Id]]+1,TablaEquipos[],3,FALSE))</f>
        <v/>
      </c>
      <c r="C449" s="45" t="str">
        <f>IF(Tabla96[[#This Row],[Id]]="","",VLOOKUP(Tabla96[[#This Row],[Id]]+1,TablaEquipos[],4,FALSE))</f>
        <v/>
      </c>
      <c r="D449" s="13" t="str">
        <f>IF(Tabla96[[#This Row],[Id]]="","",COUNTIF(TablaTiempos[Club],Tabla96[[#This Row],[Pos]]))</f>
        <v/>
      </c>
      <c r="E449" s="47" t="str">
        <f>IF(Tabla96[[#This Row],[Id]]="","",Tabla96[[#This Row],[Total Llegados a Meta]]/Tabla96[[#This Row],[Total Inscritos]])</f>
        <v/>
      </c>
      <c r="F44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49" s="43">
        <f ca="1">NOW()-'LOS TIEMPOS'!$K$2</f>
        <v>42368.075526157409</v>
      </c>
    </row>
    <row r="450" spans="1:8" x14ac:dyDescent="0.2">
      <c r="A450" s="13" t="str">
        <f>IF(ROW()-5&lt;=COUNTA(TablaEquipos[Compite]),ROW()-7,"")</f>
        <v/>
      </c>
      <c r="B450" s="10" t="str">
        <f>IF(Tabla96[[#This Row],[Id]]="","",VLOOKUP(Tabla96[[#This Row],[Id]]+1,TablaEquipos[],3,FALSE))</f>
        <v/>
      </c>
      <c r="C450" s="45" t="str">
        <f>IF(Tabla96[[#This Row],[Id]]="","",VLOOKUP(Tabla96[[#This Row],[Id]]+1,TablaEquipos[],4,FALSE))</f>
        <v/>
      </c>
      <c r="D450" s="13" t="str">
        <f>IF(Tabla96[[#This Row],[Id]]="","",COUNTIF(TablaTiempos[Club],Tabla96[[#This Row],[Pos]]))</f>
        <v/>
      </c>
      <c r="E450" s="47" t="str">
        <f>IF(Tabla96[[#This Row],[Id]]="","",Tabla96[[#This Row],[Total Llegados a Meta]]/Tabla96[[#This Row],[Total Inscritos]])</f>
        <v/>
      </c>
      <c r="F45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50" s="43">
        <f ca="1">NOW()-'LOS TIEMPOS'!$K$2</f>
        <v>42368.075526157409</v>
      </c>
    </row>
    <row r="451" spans="1:8" x14ac:dyDescent="0.2">
      <c r="A451" s="13" t="str">
        <f>IF(ROW()-5&lt;=COUNTA(TablaEquipos[Compite]),ROW()-7,"")</f>
        <v/>
      </c>
      <c r="B451" s="10" t="str">
        <f>IF(Tabla96[[#This Row],[Id]]="","",VLOOKUP(Tabla96[[#This Row],[Id]]+1,TablaEquipos[],3,FALSE))</f>
        <v/>
      </c>
      <c r="C451" s="45" t="str">
        <f>IF(Tabla96[[#This Row],[Id]]="","",VLOOKUP(Tabla96[[#This Row],[Id]]+1,TablaEquipos[],4,FALSE))</f>
        <v/>
      </c>
      <c r="D451" s="13" t="str">
        <f>IF(Tabla96[[#This Row],[Id]]="","",COUNTIF(TablaTiempos[Club],Tabla96[[#This Row],[Pos]]))</f>
        <v/>
      </c>
      <c r="E451" s="47" t="str">
        <f>IF(Tabla96[[#This Row],[Id]]="","",Tabla96[[#This Row],[Total Llegados a Meta]]/Tabla96[[#This Row],[Total Inscritos]])</f>
        <v/>
      </c>
      <c r="F45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51" s="43">
        <f ca="1">NOW()-'LOS TIEMPOS'!$K$2</f>
        <v>42368.075526157409</v>
      </c>
    </row>
    <row r="452" spans="1:8" x14ac:dyDescent="0.2">
      <c r="A452" s="13" t="str">
        <f>IF(ROW()-5&lt;=COUNTA(TablaEquipos[Compite]),ROW()-7,"")</f>
        <v/>
      </c>
      <c r="B452" s="10" t="str">
        <f>IF(Tabla96[[#This Row],[Id]]="","",VLOOKUP(Tabla96[[#This Row],[Id]]+1,TablaEquipos[],3,FALSE))</f>
        <v/>
      </c>
      <c r="C452" s="45" t="str">
        <f>IF(Tabla96[[#This Row],[Id]]="","",VLOOKUP(Tabla96[[#This Row],[Id]]+1,TablaEquipos[],4,FALSE))</f>
        <v/>
      </c>
      <c r="D452" s="13" t="str">
        <f>IF(Tabla96[[#This Row],[Id]]="","",COUNTIF(TablaTiempos[Club],Tabla96[[#This Row],[Pos]]))</f>
        <v/>
      </c>
      <c r="E452" s="47" t="str">
        <f>IF(Tabla96[[#This Row],[Id]]="","",Tabla96[[#This Row],[Total Llegados a Meta]]/Tabla96[[#This Row],[Total Inscritos]])</f>
        <v/>
      </c>
      <c r="F45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52" s="43">
        <f ca="1">NOW()-'LOS TIEMPOS'!$K$2</f>
        <v>42368.075526157409</v>
      </c>
    </row>
    <row r="453" spans="1:8" x14ac:dyDescent="0.2">
      <c r="A453" s="13" t="str">
        <f>IF(ROW()-5&lt;=COUNTA(TablaEquipos[Compite]),ROW()-7,"")</f>
        <v/>
      </c>
      <c r="B453" s="10" t="str">
        <f>IF(Tabla96[[#This Row],[Id]]="","",VLOOKUP(Tabla96[[#This Row],[Id]]+1,TablaEquipos[],3,FALSE))</f>
        <v/>
      </c>
      <c r="C453" s="45" t="str">
        <f>IF(Tabla96[[#This Row],[Id]]="","",VLOOKUP(Tabla96[[#This Row],[Id]]+1,TablaEquipos[],4,FALSE))</f>
        <v/>
      </c>
      <c r="D453" s="13" t="str">
        <f>IF(Tabla96[[#This Row],[Id]]="","",COUNTIF(TablaTiempos[Club],Tabla96[[#This Row],[Pos]]))</f>
        <v/>
      </c>
      <c r="E453" s="47" t="str">
        <f>IF(Tabla96[[#This Row],[Id]]="","",Tabla96[[#This Row],[Total Llegados a Meta]]/Tabla96[[#This Row],[Total Inscritos]])</f>
        <v/>
      </c>
      <c r="F45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53" s="43">
        <f ca="1">NOW()-'LOS TIEMPOS'!$K$2</f>
        <v>42368.075526157409</v>
      </c>
    </row>
    <row r="454" spans="1:8" x14ac:dyDescent="0.2">
      <c r="A454" s="13" t="str">
        <f>IF(ROW()-5&lt;=COUNTA(TablaEquipos[Compite]),ROW()-7,"")</f>
        <v/>
      </c>
      <c r="B454" s="10" t="str">
        <f>IF(Tabla96[[#This Row],[Id]]="","",VLOOKUP(Tabla96[[#This Row],[Id]]+1,TablaEquipos[],3,FALSE))</f>
        <v/>
      </c>
      <c r="C454" s="45" t="str">
        <f>IF(Tabla96[[#This Row],[Id]]="","",VLOOKUP(Tabla96[[#This Row],[Id]]+1,TablaEquipos[],4,FALSE))</f>
        <v/>
      </c>
      <c r="D454" s="13" t="str">
        <f>IF(Tabla96[[#This Row],[Id]]="","",COUNTIF(TablaTiempos[Club],Tabla96[[#This Row],[Pos]]))</f>
        <v/>
      </c>
      <c r="E454" s="47" t="str">
        <f>IF(Tabla96[[#This Row],[Id]]="","",Tabla96[[#This Row],[Total Llegados a Meta]]/Tabla96[[#This Row],[Total Inscritos]])</f>
        <v/>
      </c>
      <c r="F45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54" s="43">
        <f ca="1">NOW()-'LOS TIEMPOS'!$K$2</f>
        <v>42368.075526157409</v>
      </c>
    </row>
    <row r="455" spans="1:8" x14ac:dyDescent="0.2">
      <c r="A455" s="13" t="str">
        <f>IF(ROW()-5&lt;=COUNTA(TablaEquipos[Compite]),ROW()-7,"")</f>
        <v/>
      </c>
      <c r="B455" s="10" t="str">
        <f>IF(Tabla96[[#This Row],[Id]]="","",VLOOKUP(Tabla96[[#This Row],[Id]]+1,TablaEquipos[],3,FALSE))</f>
        <v/>
      </c>
      <c r="C455" s="45" t="str">
        <f>IF(Tabla96[[#This Row],[Id]]="","",VLOOKUP(Tabla96[[#This Row],[Id]]+1,TablaEquipos[],4,FALSE))</f>
        <v/>
      </c>
      <c r="D455" s="13" t="str">
        <f>IF(Tabla96[[#This Row],[Id]]="","",COUNTIF(TablaTiempos[Club],Tabla96[[#This Row],[Pos]]))</f>
        <v/>
      </c>
      <c r="E455" s="47" t="str">
        <f>IF(Tabla96[[#This Row],[Id]]="","",Tabla96[[#This Row],[Total Llegados a Meta]]/Tabla96[[#This Row],[Total Inscritos]])</f>
        <v/>
      </c>
      <c r="F45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55" s="43">
        <f ca="1">NOW()-'LOS TIEMPOS'!$K$2</f>
        <v>42368.075526157409</v>
      </c>
    </row>
    <row r="456" spans="1:8" x14ac:dyDescent="0.2">
      <c r="A456" s="13" t="str">
        <f>IF(ROW()-5&lt;=COUNTA(TablaEquipos[Compite]),ROW()-7,"")</f>
        <v/>
      </c>
      <c r="B456" s="10" t="str">
        <f>IF(Tabla96[[#This Row],[Id]]="","",VLOOKUP(Tabla96[[#This Row],[Id]]+1,TablaEquipos[],3,FALSE))</f>
        <v/>
      </c>
      <c r="C456" s="45" t="str">
        <f>IF(Tabla96[[#This Row],[Id]]="","",VLOOKUP(Tabla96[[#This Row],[Id]]+1,TablaEquipos[],4,FALSE))</f>
        <v/>
      </c>
      <c r="D456" s="13" t="str">
        <f>IF(Tabla96[[#This Row],[Id]]="","",COUNTIF(TablaTiempos[Club],Tabla96[[#This Row],[Pos]]))</f>
        <v/>
      </c>
      <c r="E456" s="47" t="str">
        <f>IF(Tabla96[[#This Row],[Id]]="","",Tabla96[[#This Row],[Total Llegados a Meta]]/Tabla96[[#This Row],[Total Inscritos]])</f>
        <v/>
      </c>
      <c r="F45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56" s="43">
        <f ca="1">NOW()-'LOS TIEMPOS'!$K$2</f>
        <v>42368.075526157409</v>
      </c>
    </row>
    <row r="457" spans="1:8" x14ac:dyDescent="0.2">
      <c r="A457" s="13" t="str">
        <f>IF(ROW()-5&lt;=COUNTA(TablaEquipos[Compite]),ROW()-7,"")</f>
        <v/>
      </c>
      <c r="B457" s="10" t="str">
        <f>IF(Tabla96[[#This Row],[Id]]="","",VLOOKUP(Tabla96[[#This Row],[Id]]+1,TablaEquipos[],3,FALSE))</f>
        <v/>
      </c>
      <c r="C457" s="45" t="str">
        <f>IF(Tabla96[[#This Row],[Id]]="","",VLOOKUP(Tabla96[[#This Row],[Id]]+1,TablaEquipos[],4,FALSE))</f>
        <v/>
      </c>
      <c r="D457" s="13" t="str">
        <f>IF(Tabla96[[#This Row],[Id]]="","",COUNTIF(TablaTiempos[Club],Tabla96[[#This Row],[Pos]]))</f>
        <v/>
      </c>
      <c r="E457" s="47" t="str">
        <f>IF(Tabla96[[#This Row],[Id]]="","",Tabla96[[#This Row],[Total Llegados a Meta]]/Tabla96[[#This Row],[Total Inscritos]])</f>
        <v/>
      </c>
      <c r="F45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57" s="43">
        <f ca="1">NOW()-'LOS TIEMPOS'!$K$2</f>
        <v>42368.075526157409</v>
      </c>
    </row>
    <row r="458" spans="1:8" x14ac:dyDescent="0.2">
      <c r="A458" s="13" t="str">
        <f>IF(ROW()-5&lt;=COUNTA(TablaEquipos[Compite]),ROW()-7,"")</f>
        <v/>
      </c>
      <c r="B458" s="10" t="str">
        <f>IF(Tabla96[[#This Row],[Id]]="","",VLOOKUP(Tabla96[[#This Row],[Id]]+1,TablaEquipos[],3,FALSE))</f>
        <v/>
      </c>
      <c r="C458" s="45" t="str">
        <f>IF(Tabla96[[#This Row],[Id]]="","",VLOOKUP(Tabla96[[#This Row],[Id]]+1,TablaEquipos[],4,FALSE))</f>
        <v/>
      </c>
      <c r="D458" s="13" t="str">
        <f>IF(Tabla96[[#This Row],[Id]]="","",COUNTIF(TablaTiempos[Club],Tabla96[[#This Row],[Pos]]))</f>
        <v/>
      </c>
      <c r="E458" s="47" t="str">
        <f>IF(Tabla96[[#This Row],[Id]]="","",Tabla96[[#This Row],[Total Llegados a Meta]]/Tabla96[[#This Row],[Total Inscritos]])</f>
        <v/>
      </c>
      <c r="F45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58" s="43">
        <f ca="1">NOW()-'LOS TIEMPOS'!$K$2</f>
        <v>42368.075526157409</v>
      </c>
    </row>
    <row r="459" spans="1:8" x14ac:dyDescent="0.2">
      <c r="A459" s="13" t="str">
        <f>IF(ROW()-5&lt;=COUNTA(TablaEquipos[Compite]),ROW()-7,"")</f>
        <v/>
      </c>
      <c r="B459" s="10" t="str">
        <f>IF(Tabla96[[#This Row],[Id]]="","",VLOOKUP(Tabla96[[#This Row],[Id]]+1,TablaEquipos[],3,FALSE))</f>
        <v/>
      </c>
      <c r="C459" s="45" t="str">
        <f>IF(Tabla96[[#This Row],[Id]]="","",VLOOKUP(Tabla96[[#This Row],[Id]]+1,TablaEquipos[],4,FALSE))</f>
        <v/>
      </c>
      <c r="D459" s="13" t="str">
        <f>IF(Tabla96[[#This Row],[Id]]="","",COUNTIF(TablaTiempos[Club],Tabla96[[#This Row],[Pos]]))</f>
        <v/>
      </c>
      <c r="E459" s="47" t="str">
        <f>IF(Tabla96[[#This Row],[Id]]="","",Tabla96[[#This Row],[Total Llegados a Meta]]/Tabla96[[#This Row],[Total Inscritos]])</f>
        <v/>
      </c>
      <c r="F45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59" s="43">
        <f ca="1">NOW()-'LOS TIEMPOS'!$K$2</f>
        <v>42368.075526157409</v>
      </c>
    </row>
    <row r="460" spans="1:8" x14ac:dyDescent="0.2">
      <c r="A460" s="13" t="str">
        <f>IF(ROW()-5&lt;=COUNTA(TablaEquipos[Compite]),ROW()-7,"")</f>
        <v/>
      </c>
      <c r="B460" s="10" t="str">
        <f>IF(Tabla96[[#This Row],[Id]]="","",VLOOKUP(Tabla96[[#This Row],[Id]]+1,TablaEquipos[],3,FALSE))</f>
        <v/>
      </c>
      <c r="C460" s="45" t="str">
        <f>IF(Tabla96[[#This Row],[Id]]="","",VLOOKUP(Tabla96[[#This Row],[Id]]+1,TablaEquipos[],4,FALSE))</f>
        <v/>
      </c>
      <c r="D460" s="13" t="str">
        <f>IF(Tabla96[[#This Row],[Id]]="","",COUNTIF(TablaTiempos[Club],Tabla96[[#This Row],[Pos]]))</f>
        <v/>
      </c>
      <c r="E460" s="47" t="str">
        <f>IF(Tabla96[[#This Row],[Id]]="","",Tabla96[[#This Row],[Total Llegados a Meta]]/Tabla96[[#This Row],[Total Inscritos]])</f>
        <v/>
      </c>
      <c r="F46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60" s="43">
        <f ca="1">NOW()-'LOS TIEMPOS'!$K$2</f>
        <v>42368.075526157409</v>
      </c>
    </row>
    <row r="461" spans="1:8" x14ac:dyDescent="0.2">
      <c r="A461" s="13" t="str">
        <f>IF(ROW()-5&lt;=COUNTA(TablaEquipos[Compite]),ROW()-7,"")</f>
        <v/>
      </c>
      <c r="B461" s="10" t="str">
        <f>IF(Tabla96[[#This Row],[Id]]="","",VLOOKUP(Tabla96[[#This Row],[Id]]+1,TablaEquipos[],3,FALSE))</f>
        <v/>
      </c>
      <c r="C461" s="45" t="str">
        <f>IF(Tabla96[[#This Row],[Id]]="","",VLOOKUP(Tabla96[[#This Row],[Id]]+1,TablaEquipos[],4,FALSE))</f>
        <v/>
      </c>
      <c r="D461" s="13" t="str">
        <f>IF(Tabla96[[#This Row],[Id]]="","",COUNTIF(TablaTiempos[Club],Tabla96[[#This Row],[Pos]]))</f>
        <v/>
      </c>
      <c r="E461" s="47" t="str">
        <f>IF(Tabla96[[#This Row],[Id]]="","",Tabla96[[#This Row],[Total Llegados a Meta]]/Tabla96[[#This Row],[Total Inscritos]])</f>
        <v/>
      </c>
      <c r="F46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61" s="43">
        <f ca="1">NOW()-'LOS TIEMPOS'!$K$2</f>
        <v>42368.075526157409</v>
      </c>
    </row>
    <row r="462" spans="1:8" x14ac:dyDescent="0.2">
      <c r="A462" s="13" t="str">
        <f>IF(ROW()-5&lt;=COUNTA(TablaEquipos[Compite]),ROW()-7,"")</f>
        <v/>
      </c>
      <c r="B462" s="10" t="str">
        <f>IF(Tabla96[[#This Row],[Id]]="","",VLOOKUP(Tabla96[[#This Row],[Id]]+1,TablaEquipos[],3,FALSE))</f>
        <v/>
      </c>
      <c r="C462" s="45" t="str">
        <f>IF(Tabla96[[#This Row],[Id]]="","",VLOOKUP(Tabla96[[#This Row],[Id]]+1,TablaEquipos[],4,FALSE))</f>
        <v/>
      </c>
      <c r="D462" s="13" t="str">
        <f>IF(Tabla96[[#This Row],[Id]]="","",COUNTIF(TablaTiempos[Club],Tabla96[[#This Row],[Pos]]))</f>
        <v/>
      </c>
      <c r="E462" s="47" t="str">
        <f>IF(Tabla96[[#This Row],[Id]]="","",Tabla96[[#This Row],[Total Llegados a Meta]]/Tabla96[[#This Row],[Total Inscritos]])</f>
        <v/>
      </c>
      <c r="F46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62" s="43">
        <f ca="1">NOW()-'LOS TIEMPOS'!$K$2</f>
        <v>42368.075526157409</v>
      </c>
    </row>
    <row r="463" spans="1:8" x14ac:dyDescent="0.2">
      <c r="A463" s="13" t="str">
        <f>IF(ROW()-5&lt;=COUNTA(TablaEquipos[Compite]),ROW()-7,"")</f>
        <v/>
      </c>
      <c r="B463" s="10" t="str">
        <f>IF(Tabla96[[#This Row],[Id]]="","",VLOOKUP(Tabla96[[#This Row],[Id]]+1,TablaEquipos[],3,FALSE))</f>
        <v/>
      </c>
      <c r="C463" s="45" t="str">
        <f>IF(Tabla96[[#This Row],[Id]]="","",VLOOKUP(Tabla96[[#This Row],[Id]]+1,TablaEquipos[],4,FALSE))</f>
        <v/>
      </c>
      <c r="D463" s="13" t="str">
        <f>IF(Tabla96[[#This Row],[Id]]="","",COUNTIF(TablaTiempos[Club],Tabla96[[#This Row],[Pos]]))</f>
        <v/>
      </c>
      <c r="E463" s="47" t="str">
        <f>IF(Tabla96[[#This Row],[Id]]="","",Tabla96[[#This Row],[Total Llegados a Meta]]/Tabla96[[#This Row],[Total Inscritos]])</f>
        <v/>
      </c>
      <c r="F46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63" s="43">
        <f ca="1">NOW()-'LOS TIEMPOS'!$K$2</f>
        <v>42368.075526157409</v>
      </c>
    </row>
    <row r="464" spans="1:8" x14ac:dyDescent="0.2">
      <c r="A464" s="13" t="str">
        <f>IF(ROW()-5&lt;=COUNTA(TablaEquipos[Compite]),ROW()-7,"")</f>
        <v/>
      </c>
      <c r="B464" s="10" t="str">
        <f>IF(Tabla96[[#This Row],[Id]]="","",VLOOKUP(Tabla96[[#This Row],[Id]]+1,TablaEquipos[],3,FALSE))</f>
        <v/>
      </c>
      <c r="C464" s="45" t="str">
        <f>IF(Tabla96[[#This Row],[Id]]="","",VLOOKUP(Tabla96[[#This Row],[Id]]+1,TablaEquipos[],4,FALSE))</f>
        <v/>
      </c>
      <c r="D464" s="13" t="str">
        <f>IF(Tabla96[[#This Row],[Id]]="","",COUNTIF(TablaTiempos[Club],Tabla96[[#This Row],[Pos]]))</f>
        <v/>
      </c>
      <c r="E464" s="47" t="str">
        <f>IF(Tabla96[[#This Row],[Id]]="","",Tabla96[[#This Row],[Total Llegados a Meta]]/Tabla96[[#This Row],[Total Inscritos]])</f>
        <v/>
      </c>
      <c r="F46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64" s="43">
        <f ca="1">NOW()-'LOS TIEMPOS'!$K$2</f>
        <v>42368.075526157409</v>
      </c>
    </row>
    <row r="465" spans="1:8" x14ac:dyDescent="0.2">
      <c r="A465" s="13" t="str">
        <f>IF(ROW()-5&lt;=COUNTA(TablaEquipos[Compite]),ROW()-7,"")</f>
        <v/>
      </c>
      <c r="B465" s="10" t="str">
        <f>IF(Tabla96[[#This Row],[Id]]="","",VLOOKUP(Tabla96[[#This Row],[Id]]+1,TablaEquipos[],3,FALSE))</f>
        <v/>
      </c>
      <c r="C465" s="45" t="str">
        <f>IF(Tabla96[[#This Row],[Id]]="","",VLOOKUP(Tabla96[[#This Row],[Id]]+1,TablaEquipos[],4,FALSE))</f>
        <v/>
      </c>
      <c r="D465" s="13" t="str">
        <f>IF(Tabla96[[#This Row],[Id]]="","",COUNTIF(TablaTiempos[Club],Tabla96[[#This Row],[Pos]]))</f>
        <v/>
      </c>
      <c r="E465" s="47" t="str">
        <f>IF(Tabla96[[#This Row],[Id]]="","",Tabla96[[#This Row],[Total Llegados a Meta]]/Tabla96[[#This Row],[Total Inscritos]])</f>
        <v/>
      </c>
      <c r="F46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65" s="43">
        <f ca="1">NOW()-'LOS TIEMPOS'!$K$2</f>
        <v>42368.075526157409</v>
      </c>
    </row>
    <row r="466" spans="1:8" x14ac:dyDescent="0.2">
      <c r="A466" s="13" t="str">
        <f>IF(ROW()-5&lt;=COUNTA(TablaEquipos[Compite]),ROW()-7,"")</f>
        <v/>
      </c>
      <c r="B466" s="10" t="str">
        <f>IF(Tabla96[[#This Row],[Id]]="","",VLOOKUP(Tabla96[[#This Row],[Id]]+1,TablaEquipos[],3,FALSE))</f>
        <v/>
      </c>
      <c r="C466" s="45" t="str">
        <f>IF(Tabla96[[#This Row],[Id]]="","",VLOOKUP(Tabla96[[#This Row],[Id]]+1,TablaEquipos[],4,FALSE))</f>
        <v/>
      </c>
      <c r="D466" s="13" t="str">
        <f>IF(Tabla96[[#This Row],[Id]]="","",COUNTIF(TablaTiempos[Club],Tabla96[[#This Row],[Pos]]))</f>
        <v/>
      </c>
      <c r="E466" s="47" t="str">
        <f>IF(Tabla96[[#This Row],[Id]]="","",Tabla96[[#This Row],[Total Llegados a Meta]]/Tabla96[[#This Row],[Total Inscritos]])</f>
        <v/>
      </c>
      <c r="F46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66" s="43">
        <f ca="1">NOW()-'LOS TIEMPOS'!$K$2</f>
        <v>42368.075526157409</v>
      </c>
    </row>
    <row r="467" spans="1:8" x14ac:dyDescent="0.2">
      <c r="A467" s="13" t="str">
        <f>IF(ROW()-5&lt;=COUNTA(TablaEquipos[Compite]),ROW()-7,"")</f>
        <v/>
      </c>
      <c r="B467" s="10" t="str">
        <f>IF(Tabla96[[#This Row],[Id]]="","",VLOOKUP(Tabla96[[#This Row],[Id]]+1,TablaEquipos[],3,FALSE))</f>
        <v/>
      </c>
      <c r="C467" s="45" t="str">
        <f>IF(Tabla96[[#This Row],[Id]]="","",VLOOKUP(Tabla96[[#This Row],[Id]]+1,TablaEquipos[],4,FALSE))</f>
        <v/>
      </c>
      <c r="D467" s="13" t="str">
        <f>IF(Tabla96[[#This Row],[Id]]="","",COUNTIF(TablaTiempos[Club],Tabla96[[#This Row],[Pos]]))</f>
        <v/>
      </c>
      <c r="E467" s="47" t="str">
        <f>IF(Tabla96[[#This Row],[Id]]="","",Tabla96[[#This Row],[Total Llegados a Meta]]/Tabla96[[#This Row],[Total Inscritos]])</f>
        <v/>
      </c>
      <c r="F46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67" s="43">
        <f ca="1">NOW()-'LOS TIEMPOS'!$K$2</f>
        <v>42368.075526157409</v>
      </c>
    </row>
    <row r="468" spans="1:8" x14ac:dyDescent="0.2">
      <c r="A468" s="13" t="str">
        <f>IF(ROW()-5&lt;=COUNTA(TablaEquipos[Compite]),ROW()-7,"")</f>
        <v/>
      </c>
      <c r="B468" s="10" t="str">
        <f>IF(Tabla96[[#This Row],[Id]]="","",VLOOKUP(Tabla96[[#This Row],[Id]]+1,TablaEquipos[],3,FALSE))</f>
        <v/>
      </c>
      <c r="C468" s="45" t="str">
        <f>IF(Tabla96[[#This Row],[Id]]="","",VLOOKUP(Tabla96[[#This Row],[Id]]+1,TablaEquipos[],4,FALSE))</f>
        <v/>
      </c>
      <c r="D468" s="13" t="str">
        <f>IF(Tabla96[[#This Row],[Id]]="","",COUNTIF(TablaTiempos[Club],Tabla96[[#This Row],[Pos]]))</f>
        <v/>
      </c>
      <c r="E468" s="47" t="str">
        <f>IF(Tabla96[[#This Row],[Id]]="","",Tabla96[[#This Row],[Total Llegados a Meta]]/Tabla96[[#This Row],[Total Inscritos]])</f>
        <v/>
      </c>
      <c r="F46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68" s="43">
        <f ca="1">NOW()-'LOS TIEMPOS'!$K$2</f>
        <v>42368.075526157409</v>
      </c>
    </row>
    <row r="469" spans="1:8" x14ac:dyDescent="0.2">
      <c r="A469" s="13" t="str">
        <f>IF(ROW()-5&lt;=COUNTA(TablaEquipos[Compite]),ROW()-7,"")</f>
        <v/>
      </c>
      <c r="B469" s="10" t="str">
        <f>IF(Tabla96[[#This Row],[Id]]="","",VLOOKUP(Tabla96[[#This Row],[Id]]+1,TablaEquipos[],3,FALSE))</f>
        <v/>
      </c>
      <c r="C469" s="45" t="str">
        <f>IF(Tabla96[[#This Row],[Id]]="","",VLOOKUP(Tabla96[[#This Row],[Id]]+1,TablaEquipos[],4,FALSE))</f>
        <v/>
      </c>
      <c r="D469" s="13" t="str">
        <f>IF(Tabla96[[#This Row],[Id]]="","",COUNTIF(TablaTiempos[Club],Tabla96[[#This Row],[Pos]]))</f>
        <v/>
      </c>
      <c r="E469" s="47" t="str">
        <f>IF(Tabla96[[#This Row],[Id]]="","",Tabla96[[#This Row],[Total Llegados a Meta]]/Tabla96[[#This Row],[Total Inscritos]])</f>
        <v/>
      </c>
      <c r="F46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69" s="43">
        <f ca="1">NOW()-'LOS TIEMPOS'!$K$2</f>
        <v>42368.075526157409</v>
      </c>
    </row>
    <row r="470" spans="1:8" x14ac:dyDescent="0.2">
      <c r="A470" s="13" t="str">
        <f>IF(ROW()-5&lt;=COUNTA(TablaEquipos[Compite]),ROW()-7,"")</f>
        <v/>
      </c>
      <c r="B470" s="10" t="str">
        <f>IF(Tabla96[[#This Row],[Id]]="","",VLOOKUP(Tabla96[[#This Row],[Id]]+1,TablaEquipos[],3,FALSE))</f>
        <v/>
      </c>
      <c r="C470" s="45" t="str">
        <f>IF(Tabla96[[#This Row],[Id]]="","",VLOOKUP(Tabla96[[#This Row],[Id]]+1,TablaEquipos[],4,FALSE))</f>
        <v/>
      </c>
      <c r="D470" s="13" t="str">
        <f>IF(Tabla96[[#This Row],[Id]]="","",COUNTIF(TablaTiempos[Club],Tabla96[[#This Row],[Pos]]))</f>
        <v/>
      </c>
      <c r="E470" s="47" t="str">
        <f>IF(Tabla96[[#This Row],[Id]]="","",Tabla96[[#This Row],[Total Llegados a Meta]]/Tabla96[[#This Row],[Total Inscritos]])</f>
        <v/>
      </c>
      <c r="F47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70" s="43">
        <f ca="1">NOW()-'LOS TIEMPOS'!$K$2</f>
        <v>42368.075526157409</v>
      </c>
    </row>
    <row r="471" spans="1:8" x14ac:dyDescent="0.2">
      <c r="A471" s="13" t="str">
        <f>IF(ROW()-5&lt;=COUNTA(TablaEquipos[Compite]),ROW()-7,"")</f>
        <v/>
      </c>
      <c r="B471" s="10" t="str">
        <f>IF(Tabla96[[#This Row],[Id]]="","",VLOOKUP(Tabla96[[#This Row],[Id]]+1,TablaEquipos[],3,FALSE))</f>
        <v/>
      </c>
      <c r="C471" s="45" t="str">
        <f>IF(Tabla96[[#This Row],[Id]]="","",VLOOKUP(Tabla96[[#This Row],[Id]]+1,TablaEquipos[],4,FALSE))</f>
        <v/>
      </c>
      <c r="D471" s="13" t="str">
        <f>IF(Tabla96[[#This Row],[Id]]="","",COUNTIF(TablaTiempos[Club],Tabla96[[#This Row],[Pos]]))</f>
        <v/>
      </c>
      <c r="E471" s="47" t="str">
        <f>IF(Tabla96[[#This Row],[Id]]="","",Tabla96[[#This Row],[Total Llegados a Meta]]/Tabla96[[#This Row],[Total Inscritos]])</f>
        <v/>
      </c>
      <c r="F47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71" s="43">
        <f ca="1">NOW()-'LOS TIEMPOS'!$K$2</f>
        <v>42368.075526157409</v>
      </c>
    </row>
    <row r="472" spans="1:8" x14ac:dyDescent="0.2">
      <c r="A472" s="13" t="str">
        <f>IF(ROW()-5&lt;=COUNTA(TablaEquipos[Compite]),ROW()-7,"")</f>
        <v/>
      </c>
      <c r="B472" s="10" t="str">
        <f>IF(Tabla96[[#This Row],[Id]]="","",VLOOKUP(Tabla96[[#This Row],[Id]]+1,TablaEquipos[],3,FALSE))</f>
        <v/>
      </c>
      <c r="C472" s="45" t="str">
        <f>IF(Tabla96[[#This Row],[Id]]="","",VLOOKUP(Tabla96[[#This Row],[Id]]+1,TablaEquipos[],4,FALSE))</f>
        <v/>
      </c>
      <c r="D472" s="13" t="str">
        <f>IF(Tabla96[[#This Row],[Id]]="","",COUNTIF(TablaTiempos[Club],Tabla96[[#This Row],[Pos]]))</f>
        <v/>
      </c>
      <c r="E472" s="47" t="str">
        <f>IF(Tabla96[[#This Row],[Id]]="","",Tabla96[[#This Row],[Total Llegados a Meta]]/Tabla96[[#This Row],[Total Inscritos]])</f>
        <v/>
      </c>
      <c r="F47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72" s="43">
        <f ca="1">NOW()-'LOS TIEMPOS'!$K$2</f>
        <v>42368.075526157409</v>
      </c>
    </row>
    <row r="473" spans="1:8" x14ac:dyDescent="0.2">
      <c r="A473" s="13" t="str">
        <f>IF(ROW()-5&lt;=COUNTA(TablaEquipos[Compite]),ROW()-7,"")</f>
        <v/>
      </c>
      <c r="B473" s="10" t="str">
        <f>IF(Tabla96[[#This Row],[Id]]="","",VLOOKUP(Tabla96[[#This Row],[Id]]+1,TablaEquipos[],3,FALSE))</f>
        <v/>
      </c>
      <c r="C473" s="45" t="str">
        <f>IF(Tabla96[[#This Row],[Id]]="","",VLOOKUP(Tabla96[[#This Row],[Id]]+1,TablaEquipos[],4,FALSE))</f>
        <v/>
      </c>
      <c r="D473" s="13" t="str">
        <f>IF(Tabla96[[#This Row],[Id]]="","",COUNTIF(TablaTiempos[Club],Tabla96[[#This Row],[Pos]]))</f>
        <v/>
      </c>
      <c r="E473" s="47" t="str">
        <f>IF(Tabla96[[#This Row],[Id]]="","",Tabla96[[#This Row],[Total Llegados a Meta]]/Tabla96[[#This Row],[Total Inscritos]])</f>
        <v/>
      </c>
      <c r="F47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73" s="43">
        <f ca="1">NOW()-'LOS TIEMPOS'!$K$2</f>
        <v>42368.075526157409</v>
      </c>
    </row>
    <row r="474" spans="1:8" x14ac:dyDescent="0.2">
      <c r="A474" s="13" t="str">
        <f>IF(ROW()-5&lt;=COUNTA(TablaEquipos[Compite]),ROW()-7,"")</f>
        <v/>
      </c>
      <c r="B474" s="10" t="str">
        <f>IF(Tabla96[[#This Row],[Id]]="","",VLOOKUP(Tabla96[[#This Row],[Id]]+1,TablaEquipos[],3,FALSE))</f>
        <v/>
      </c>
      <c r="C474" s="45" t="str">
        <f>IF(Tabla96[[#This Row],[Id]]="","",VLOOKUP(Tabla96[[#This Row],[Id]]+1,TablaEquipos[],4,FALSE))</f>
        <v/>
      </c>
      <c r="D474" s="13" t="str">
        <f>IF(Tabla96[[#This Row],[Id]]="","",COUNTIF(TablaTiempos[Club],Tabla96[[#This Row],[Pos]]))</f>
        <v/>
      </c>
      <c r="E474" s="47" t="str">
        <f>IF(Tabla96[[#This Row],[Id]]="","",Tabla96[[#This Row],[Total Llegados a Meta]]/Tabla96[[#This Row],[Total Inscritos]])</f>
        <v/>
      </c>
      <c r="F47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74" s="43">
        <f ca="1">NOW()-'LOS TIEMPOS'!$K$2</f>
        <v>42368.075526157409</v>
      </c>
    </row>
    <row r="475" spans="1:8" x14ac:dyDescent="0.2">
      <c r="A475" s="13" t="str">
        <f>IF(ROW()-5&lt;=COUNTA(TablaEquipos[Compite]),ROW()-7,"")</f>
        <v/>
      </c>
      <c r="B475" s="10" t="str">
        <f>IF(Tabla96[[#This Row],[Id]]="","",VLOOKUP(Tabla96[[#This Row],[Id]]+1,TablaEquipos[],3,FALSE))</f>
        <v/>
      </c>
      <c r="C475" s="45" t="str">
        <f>IF(Tabla96[[#This Row],[Id]]="","",VLOOKUP(Tabla96[[#This Row],[Id]]+1,TablaEquipos[],4,FALSE))</f>
        <v/>
      </c>
      <c r="D475" s="13" t="str">
        <f>IF(Tabla96[[#This Row],[Id]]="","",COUNTIF(TablaTiempos[Club],Tabla96[[#This Row],[Pos]]))</f>
        <v/>
      </c>
      <c r="E475" s="47" t="str">
        <f>IF(Tabla96[[#This Row],[Id]]="","",Tabla96[[#This Row],[Total Llegados a Meta]]/Tabla96[[#This Row],[Total Inscritos]])</f>
        <v/>
      </c>
      <c r="F47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75" s="43">
        <f ca="1">NOW()-'LOS TIEMPOS'!$K$2</f>
        <v>42368.075526157409</v>
      </c>
    </row>
    <row r="476" spans="1:8" x14ac:dyDescent="0.2">
      <c r="A476" s="13" t="str">
        <f>IF(ROW()-5&lt;=COUNTA(TablaEquipos[Compite]),ROW()-7,"")</f>
        <v/>
      </c>
      <c r="B476" s="10" t="str">
        <f>IF(Tabla96[[#This Row],[Id]]="","",VLOOKUP(Tabla96[[#This Row],[Id]]+1,TablaEquipos[],3,FALSE))</f>
        <v/>
      </c>
      <c r="C476" s="45" t="str">
        <f>IF(Tabla96[[#This Row],[Id]]="","",VLOOKUP(Tabla96[[#This Row],[Id]]+1,TablaEquipos[],4,FALSE))</f>
        <v/>
      </c>
      <c r="D476" s="13" t="str">
        <f>IF(Tabla96[[#This Row],[Id]]="","",COUNTIF(TablaTiempos[Club],Tabla96[[#This Row],[Pos]]))</f>
        <v/>
      </c>
      <c r="E476" s="47" t="str">
        <f>IF(Tabla96[[#This Row],[Id]]="","",Tabla96[[#This Row],[Total Llegados a Meta]]/Tabla96[[#This Row],[Total Inscritos]])</f>
        <v/>
      </c>
      <c r="F47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76" s="43">
        <f ca="1">NOW()-'LOS TIEMPOS'!$K$2</f>
        <v>42368.075526157409</v>
      </c>
    </row>
    <row r="477" spans="1:8" x14ac:dyDescent="0.2">
      <c r="A477" s="13" t="str">
        <f>IF(ROW()-5&lt;=COUNTA(TablaEquipos[Compite]),ROW()-7,"")</f>
        <v/>
      </c>
      <c r="B477" s="10" t="str">
        <f>IF(Tabla96[[#This Row],[Id]]="","",VLOOKUP(Tabla96[[#This Row],[Id]]+1,TablaEquipos[],3,FALSE))</f>
        <v/>
      </c>
      <c r="C477" s="45" t="str">
        <f>IF(Tabla96[[#This Row],[Id]]="","",VLOOKUP(Tabla96[[#This Row],[Id]]+1,TablaEquipos[],4,FALSE))</f>
        <v/>
      </c>
      <c r="D477" s="13" t="str">
        <f>IF(Tabla96[[#This Row],[Id]]="","",COUNTIF(TablaTiempos[Club],Tabla96[[#This Row],[Pos]]))</f>
        <v/>
      </c>
      <c r="E477" s="47" t="str">
        <f>IF(Tabla96[[#This Row],[Id]]="","",Tabla96[[#This Row],[Total Llegados a Meta]]/Tabla96[[#This Row],[Total Inscritos]])</f>
        <v/>
      </c>
      <c r="F47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77" s="43">
        <f ca="1">NOW()-'LOS TIEMPOS'!$K$2</f>
        <v>42368.075526157409</v>
      </c>
    </row>
    <row r="478" spans="1:8" x14ac:dyDescent="0.2">
      <c r="A478" s="13" t="str">
        <f>IF(ROW()-5&lt;=COUNTA(TablaEquipos[Compite]),ROW()-7,"")</f>
        <v/>
      </c>
      <c r="B478" s="10" t="str">
        <f>IF(Tabla96[[#This Row],[Id]]="","",VLOOKUP(Tabla96[[#This Row],[Id]]+1,TablaEquipos[],3,FALSE))</f>
        <v/>
      </c>
      <c r="C478" s="45" t="str">
        <f>IF(Tabla96[[#This Row],[Id]]="","",VLOOKUP(Tabla96[[#This Row],[Id]]+1,TablaEquipos[],4,FALSE))</f>
        <v/>
      </c>
      <c r="D478" s="13" t="str">
        <f>IF(Tabla96[[#This Row],[Id]]="","",COUNTIF(TablaTiempos[Club],Tabla96[[#This Row],[Pos]]))</f>
        <v/>
      </c>
      <c r="E478" s="47" t="str">
        <f>IF(Tabla96[[#This Row],[Id]]="","",Tabla96[[#This Row],[Total Llegados a Meta]]/Tabla96[[#This Row],[Total Inscritos]])</f>
        <v/>
      </c>
      <c r="F47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78" s="43">
        <f ca="1">NOW()-'LOS TIEMPOS'!$K$2</f>
        <v>42368.075526157409</v>
      </c>
    </row>
    <row r="479" spans="1:8" x14ac:dyDescent="0.2">
      <c r="A479" s="13" t="str">
        <f>IF(ROW()-5&lt;=COUNTA(TablaEquipos[Compite]),ROW()-7,"")</f>
        <v/>
      </c>
      <c r="B479" s="10" t="str">
        <f>IF(Tabla96[[#This Row],[Id]]="","",VLOOKUP(Tabla96[[#This Row],[Id]]+1,TablaEquipos[],3,FALSE))</f>
        <v/>
      </c>
      <c r="C479" s="45" t="str">
        <f>IF(Tabla96[[#This Row],[Id]]="","",VLOOKUP(Tabla96[[#This Row],[Id]]+1,TablaEquipos[],4,FALSE))</f>
        <v/>
      </c>
      <c r="D479" s="13" t="str">
        <f>IF(Tabla96[[#This Row],[Id]]="","",COUNTIF(TablaTiempos[Club],Tabla96[[#This Row],[Pos]]))</f>
        <v/>
      </c>
      <c r="E479" s="47" t="str">
        <f>IF(Tabla96[[#This Row],[Id]]="","",Tabla96[[#This Row],[Total Llegados a Meta]]/Tabla96[[#This Row],[Total Inscritos]])</f>
        <v/>
      </c>
      <c r="F47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79" s="43">
        <f ca="1">NOW()-'LOS TIEMPOS'!$K$2</f>
        <v>42368.075526157409</v>
      </c>
    </row>
    <row r="480" spans="1:8" x14ac:dyDescent="0.2">
      <c r="A480" s="13" t="str">
        <f>IF(ROW()-5&lt;=COUNTA(TablaEquipos[Compite]),ROW()-7,"")</f>
        <v/>
      </c>
      <c r="B480" s="10" t="str">
        <f>IF(Tabla96[[#This Row],[Id]]="","",VLOOKUP(Tabla96[[#This Row],[Id]]+1,TablaEquipos[],3,FALSE))</f>
        <v/>
      </c>
      <c r="C480" s="45" t="str">
        <f>IF(Tabla96[[#This Row],[Id]]="","",VLOOKUP(Tabla96[[#This Row],[Id]]+1,TablaEquipos[],4,FALSE))</f>
        <v/>
      </c>
      <c r="D480" s="13" t="str">
        <f>IF(Tabla96[[#This Row],[Id]]="","",COUNTIF(TablaTiempos[Club],Tabla96[[#This Row],[Pos]]))</f>
        <v/>
      </c>
      <c r="E480" s="47" t="str">
        <f>IF(Tabla96[[#This Row],[Id]]="","",Tabla96[[#This Row],[Total Llegados a Meta]]/Tabla96[[#This Row],[Total Inscritos]])</f>
        <v/>
      </c>
      <c r="F48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80" s="43">
        <f ca="1">NOW()-'LOS TIEMPOS'!$K$2</f>
        <v>42368.075526157409</v>
      </c>
    </row>
    <row r="481" spans="1:8" x14ac:dyDescent="0.2">
      <c r="A481" s="13" t="str">
        <f>IF(ROW()-5&lt;=COUNTA(TablaEquipos[Compite]),ROW()-7,"")</f>
        <v/>
      </c>
      <c r="B481" s="10" t="str">
        <f>IF(Tabla96[[#This Row],[Id]]="","",VLOOKUP(Tabla96[[#This Row],[Id]]+1,TablaEquipos[],3,FALSE))</f>
        <v/>
      </c>
      <c r="C481" s="45" t="str">
        <f>IF(Tabla96[[#This Row],[Id]]="","",VLOOKUP(Tabla96[[#This Row],[Id]]+1,TablaEquipos[],4,FALSE))</f>
        <v/>
      </c>
      <c r="D481" s="13" t="str">
        <f>IF(Tabla96[[#This Row],[Id]]="","",COUNTIF(TablaTiempos[Club],Tabla96[[#This Row],[Pos]]))</f>
        <v/>
      </c>
      <c r="E481" s="47" t="str">
        <f>IF(Tabla96[[#This Row],[Id]]="","",Tabla96[[#This Row],[Total Llegados a Meta]]/Tabla96[[#This Row],[Total Inscritos]])</f>
        <v/>
      </c>
      <c r="F48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81" s="43">
        <f ca="1">NOW()-'LOS TIEMPOS'!$K$2</f>
        <v>42368.075526157409</v>
      </c>
    </row>
    <row r="482" spans="1:8" x14ac:dyDescent="0.2">
      <c r="A482" s="13" t="str">
        <f>IF(ROW()-5&lt;=COUNTA(TablaEquipos[Compite]),ROW()-7,"")</f>
        <v/>
      </c>
      <c r="B482" s="10" t="str">
        <f>IF(Tabla96[[#This Row],[Id]]="","",VLOOKUP(Tabla96[[#This Row],[Id]]+1,TablaEquipos[],3,FALSE))</f>
        <v/>
      </c>
      <c r="C482" s="45" t="str">
        <f>IF(Tabla96[[#This Row],[Id]]="","",VLOOKUP(Tabla96[[#This Row],[Id]]+1,TablaEquipos[],4,FALSE))</f>
        <v/>
      </c>
      <c r="D482" s="13" t="str">
        <f>IF(Tabla96[[#This Row],[Id]]="","",COUNTIF(TablaTiempos[Club],Tabla96[[#This Row],[Pos]]))</f>
        <v/>
      </c>
      <c r="E482" s="47" t="str">
        <f>IF(Tabla96[[#This Row],[Id]]="","",Tabla96[[#This Row],[Total Llegados a Meta]]/Tabla96[[#This Row],[Total Inscritos]])</f>
        <v/>
      </c>
      <c r="F48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82" s="43">
        <f ca="1">NOW()-'LOS TIEMPOS'!$K$2</f>
        <v>42368.075526157409</v>
      </c>
    </row>
    <row r="483" spans="1:8" x14ac:dyDescent="0.2">
      <c r="A483" s="13" t="str">
        <f>IF(ROW()-5&lt;=COUNTA(TablaEquipos[Compite]),ROW()-7,"")</f>
        <v/>
      </c>
      <c r="B483" s="10" t="str">
        <f>IF(Tabla96[[#This Row],[Id]]="","",VLOOKUP(Tabla96[[#This Row],[Id]]+1,TablaEquipos[],3,FALSE))</f>
        <v/>
      </c>
      <c r="C483" s="45" t="str">
        <f>IF(Tabla96[[#This Row],[Id]]="","",VLOOKUP(Tabla96[[#This Row],[Id]]+1,TablaEquipos[],4,FALSE))</f>
        <v/>
      </c>
      <c r="D483" s="13" t="str">
        <f>IF(Tabla96[[#This Row],[Id]]="","",COUNTIF(TablaTiempos[Club],Tabla96[[#This Row],[Pos]]))</f>
        <v/>
      </c>
      <c r="E483" s="47" t="str">
        <f>IF(Tabla96[[#This Row],[Id]]="","",Tabla96[[#This Row],[Total Llegados a Meta]]/Tabla96[[#This Row],[Total Inscritos]])</f>
        <v/>
      </c>
      <c r="F48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83" s="43">
        <f ca="1">NOW()-'LOS TIEMPOS'!$K$2</f>
        <v>42368.075526157409</v>
      </c>
    </row>
    <row r="484" spans="1:8" x14ac:dyDescent="0.2">
      <c r="A484" s="13" t="str">
        <f>IF(ROW()-5&lt;=COUNTA(TablaEquipos[Compite]),ROW()-7,"")</f>
        <v/>
      </c>
      <c r="B484" s="10" t="str">
        <f>IF(Tabla96[[#This Row],[Id]]="","",VLOOKUP(Tabla96[[#This Row],[Id]]+1,TablaEquipos[],3,FALSE))</f>
        <v/>
      </c>
      <c r="C484" s="45" t="str">
        <f>IF(Tabla96[[#This Row],[Id]]="","",VLOOKUP(Tabla96[[#This Row],[Id]]+1,TablaEquipos[],4,FALSE))</f>
        <v/>
      </c>
      <c r="D484" s="13" t="str">
        <f>IF(Tabla96[[#This Row],[Id]]="","",COUNTIF(TablaTiempos[Club],Tabla96[[#This Row],[Pos]]))</f>
        <v/>
      </c>
      <c r="E484" s="47" t="str">
        <f>IF(Tabla96[[#This Row],[Id]]="","",Tabla96[[#This Row],[Total Llegados a Meta]]/Tabla96[[#This Row],[Total Inscritos]])</f>
        <v/>
      </c>
      <c r="F48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84" s="43">
        <f ca="1">NOW()-'LOS TIEMPOS'!$K$2</f>
        <v>42368.075526157409</v>
      </c>
    </row>
    <row r="485" spans="1:8" x14ac:dyDescent="0.2">
      <c r="A485" s="13" t="str">
        <f>IF(ROW()-5&lt;=COUNTA(TablaEquipos[Compite]),ROW()-7,"")</f>
        <v/>
      </c>
      <c r="B485" s="10" t="str">
        <f>IF(Tabla96[[#This Row],[Id]]="","",VLOOKUP(Tabla96[[#This Row],[Id]]+1,TablaEquipos[],3,FALSE))</f>
        <v/>
      </c>
      <c r="C485" s="45" t="str">
        <f>IF(Tabla96[[#This Row],[Id]]="","",VLOOKUP(Tabla96[[#This Row],[Id]]+1,TablaEquipos[],4,FALSE))</f>
        <v/>
      </c>
      <c r="D485" s="13" t="str">
        <f>IF(Tabla96[[#This Row],[Id]]="","",COUNTIF(TablaTiempos[Club],Tabla96[[#This Row],[Pos]]))</f>
        <v/>
      </c>
      <c r="E485" s="47" t="str">
        <f>IF(Tabla96[[#This Row],[Id]]="","",Tabla96[[#This Row],[Total Llegados a Meta]]/Tabla96[[#This Row],[Total Inscritos]])</f>
        <v/>
      </c>
      <c r="F48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85" s="43">
        <f ca="1">NOW()-'LOS TIEMPOS'!$K$2</f>
        <v>42368.075526157409</v>
      </c>
    </row>
    <row r="486" spans="1:8" x14ac:dyDescent="0.2">
      <c r="A486" s="13" t="str">
        <f>IF(ROW()-5&lt;=COUNTA(TablaEquipos[Compite]),ROW()-7,"")</f>
        <v/>
      </c>
      <c r="B486" s="10" t="str">
        <f>IF(Tabla96[[#This Row],[Id]]="","",VLOOKUP(Tabla96[[#This Row],[Id]]+1,TablaEquipos[],3,FALSE))</f>
        <v/>
      </c>
      <c r="C486" s="45" t="str">
        <f>IF(Tabla96[[#This Row],[Id]]="","",VLOOKUP(Tabla96[[#This Row],[Id]]+1,TablaEquipos[],4,FALSE))</f>
        <v/>
      </c>
      <c r="D486" s="13" t="str">
        <f>IF(Tabla96[[#This Row],[Id]]="","",COUNTIF(TablaTiempos[Club],Tabla96[[#This Row],[Pos]]))</f>
        <v/>
      </c>
      <c r="E486" s="47" t="str">
        <f>IF(Tabla96[[#This Row],[Id]]="","",Tabla96[[#This Row],[Total Llegados a Meta]]/Tabla96[[#This Row],[Total Inscritos]])</f>
        <v/>
      </c>
      <c r="F48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86" s="43">
        <f ca="1">NOW()-'LOS TIEMPOS'!$K$2</f>
        <v>42368.075526157409</v>
      </c>
    </row>
    <row r="487" spans="1:8" x14ac:dyDescent="0.2">
      <c r="A487" s="13" t="str">
        <f>IF(ROW()-5&lt;=COUNTA(TablaEquipos[Compite]),ROW()-7,"")</f>
        <v/>
      </c>
      <c r="B487" s="10" t="str">
        <f>IF(Tabla96[[#This Row],[Id]]="","",VLOOKUP(Tabla96[[#This Row],[Id]]+1,TablaEquipos[],3,FALSE))</f>
        <v/>
      </c>
      <c r="C487" s="45" t="str">
        <f>IF(Tabla96[[#This Row],[Id]]="","",VLOOKUP(Tabla96[[#This Row],[Id]]+1,TablaEquipos[],4,FALSE))</f>
        <v/>
      </c>
      <c r="D487" s="13" t="str">
        <f>IF(Tabla96[[#This Row],[Id]]="","",COUNTIF(TablaTiempos[Club],Tabla96[[#This Row],[Pos]]))</f>
        <v/>
      </c>
      <c r="E487" s="47" t="str">
        <f>IF(Tabla96[[#This Row],[Id]]="","",Tabla96[[#This Row],[Total Llegados a Meta]]/Tabla96[[#This Row],[Total Inscritos]])</f>
        <v/>
      </c>
      <c r="F48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87" s="43">
        <f ca="1">NOW()-'LOS TIEMPOS'!$K$2</f>
        <v>42368.075526157409</v>
      </c>
    </row>
    <row r="488" spans="1:8" x14ac:dyDescent="0.2">
      <c r="A488" s="13" t="str">
        <f>IF(ROW()-5&lt;=COUNTA(TablaEquipos[Compite]),ROW()-7,"")</f>
        <v/>
      </c>
      <c r="B488" s="10" t="str">
        <f>IF(Tabla96[[#This Row],[Id]]="","",VLOOKUP(Tabla96[[#This Row],[Id]]+1,TablaEquipos[],3,FALSE))</f>
        <v/>
      </c>
      <c r="C488" s="45" t="str">
        <f>IF(Tabla96[[#This Row],[Id]]="","",VLOOKUP(Tabla96[[#This Row],[Id]]+1,TablaEquipos[],4,FALSE))</f>
        <v/>
      </c>
      <c r="D488" s="13" t="str">
        <f>IF(Tabla96[[#This Row],[Id]]="","",COUNTIF(TablaTiempos[Club],Tabla96[[#This Row],[Pos]]))</f>
        <v/>
      </c>
      <c r="E488" s="47" t="str">
        <f>IF(Tabla96[[#This Row],[Id]]="","",Tabla96[[#This Row],[Total Llegados a Meta]]/Tabla96[[#This Row],[Total Inscritos]])</f>
        <v/>
      </c>
      <c r="F48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88" s="43">
        <f ca="1">NOW()-'LOS TIEMPOS'!$K$2</f>
        <v>42368.075526157409</v>
      </c>
    </row>
    <row r="489" spans="1:8" x14ac:dyDescent="0.2">
      <c r="A489" s="13" t="str">
        <f>IF(ROW()-5&lt;=COUNTA(TablaEquipos[Compite]),ROW()-7,"")</f>
        <v/>
      </c>
      <c r="B489" s="10" t="str">
        <f>IF(Tabla96[[#This Row],[Id]]="","",VLOOKUP(Tabla96[[#This Row],[Id]]+1,TablaEquipos[],3,FALSE))</f>
        <v/>
      </c>
      <c r="C489" s="45" t="str">
        <f>IF(Tabla96[[#This Row],[Id]]="","",VLOOKUP(Tabla96[[#This Row],[Id]]+1,TablaEquipos[],4,FALSE))</f>
        <v/>
      </c>
      <c r="D489" s="13" t="str">
        <f>IF(Tabla96[[#This Row],[Id]]="","",COUNTIF(TablaTiempos[Club],Tabla96[[#This Row],[Pos]]))</f>
        <v/>
      </c>
      <c r="E489" s="47" t="str">
        <f>IF(Tabla96[[#This Row],[Id]]="","",Tabla96[[#This Row],[Total Llegados a Meta]]/Tabla96[[#This Row],[Total Inscritos]])</f>
        <v/>
      </c>
      <c r="F48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89" s="43">
        <f ca="1">NOW()-'LOS TIEMPOS'!$K$2</f>
        <v>42368.075526157409</v>
      </c>
    </row>
    <row r="490" spans="1:8" x14ac:dyDescent="0.2">
      <c r="A490" s="13" t="str">
        <f>IF(ROW()-5&lt;=COUNTA(TablaEquipos[Compite]),ROW()-7,"")</f>
        <v/>
      </c>
      <c r="B490" s="10" t="str">
        <f>IF(Tabla96[[#This Row],[Id]]="","",VLOOKUP(Tabla96[[#This Row],[Id]]+1,TablaEquipos[],3,FALSE))</f>
        <v/>
      </c>
      <c r="C490" s="45" t="str">
        <f>IF(Tabla96[[#This Row],[Id]]="","",VLOOKUP(Tabla96[[#This Row],[Id]]+1,TablaEquipos[],4,FALSE))</f>
        <v/>
      </c>
      <c r="D490" s="13" t="str">
        <f>IF(Tabla96[[#This Row],[Id]]="","",COUNTIF(TablaTiempos[Club],Tabla96[[#This Row],[Pos]]))</f>
        <v/>
      </c>
      <c r="E490" s="47" t="str">
        <f>IF(Tabla96[[#This Row],[Id]]="","",Tabla96[[#This Row],[Total Llegados a Meta]]/Tabla96[[#This Row],[Total Inscritos]])</f>
        <v/>
      </c>
      <c r="F49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90" s="43">
        <f ca="1">NOW()-'LOS TIEMPOS'!$K$2</f>
        <v>42368.075526157409</v>
      </c>
    </row>
    <row r="491" spans="1:8" x14ac:dyDescent="0.2">
      <c r="A491" s="13" t="str">
        <f>IF(ROW()-5&lt;=COUNTA(TablaEquipos[Compite]),ROW()-7,"")</f>
        <v/>
      </c>
      <c r="B491" s="10" t="str">
        <f>IF(Tabla96[[#This Row],[Id]]="","",VLOOKUP(Tabla96[[#This Row],[Id]]+1,TablaEquipos[],3,FALSE))</f>
        <v/>
      </c>
      <c r="C491" s="45" t="str">
        <f>IF(Tabla96[[#This Row],[Id]]="","",VLOOKUP(Tabla96[[#This Row],[Id]]+1,TablaEquipos[],4,FALSE))</f>
        <v/>
      </c>
      <c r="D491" s="13" t="str">
        <f>IF(Tabla96[[#This Row],[Id]]="","",COUNTIF(TablaTiempos[Club],Tabla96[[#This Row],[Pos]]))</f>
        <v/>
      </c>
      <c r="E491" s="47" t="str">
        <f>IF(Tabla96[[#This Row],[Id]]="","",Tabla96[[#This Row],[Total Llegados a Meta]]/Tabla96[[#This Row],[Total Inscritos]])</f>
        <v/>
      </c>
      <c r="F49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91" s="43">
        <f ca="1">NOW()-'LOS TIEMPOS'!$K$2</f>
        <v>42368.075526157409</v>
      </c>
    </row>
    <row r="492" spans="1:8" x14ac:dyDescent="0.2">
      <c r="A492" s="13" t="str">
        <f>IF(ROW()-5&lt;=COUNTA(TablaEquipos[Compite]),ROW()-7,"")</f>
        <v/>
      </c>
      <c r="B492" s="10" t="str">
        <f>IF(Tabla96[[#This Row],[Id]]="","",VLOOKUP(Tabla96[[#This Row],[Id]]+1,TablaEquipos[],3,FALSE))</f>
        <v/>
      </c>
      <c r="C492" s="45" t="str">
        <f>IF(Tabla96[[#This Row],[Id]]="","",VLOOKUP(Tabla96[[#This Row],[Id]]+1,TablaEquipos[],4,FALSE))</f>
        <v/>
      </c>
      <c r="D492" s="13" t="str">
        <f>IF(Tabla96[[#This Row],[Id]]="","",COUNTIF(TablaTiempos[Club],Tabla96[[#This Row],[Pos]]))</f>
        <v/>
      </c>
      <c r="E492" s="47" t="str">
        <f>IF(Tabla96[[#This Row],[Id]]="","",Tabla96[[#This Row],[Total Llegados a Meta]]/Tabla96[[#This Row],[Total Inscritos]])</f>
        <v/>
      </c>
      <c r="F49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92" s="43">
        <f ca="1">NOW()-'LOS TIEMPOS'!$K$2</f>
        <v>42368.075526157409</v>
      </c>
    </row>
    <row r="493" spans="1:8" x14ac:dyDescent="0.2">
      <c r="A493" s="13" t="str">
        <f>IF(ROW()-5&lt;=COUNTA(TablaEquipos[Compite]),ROW()-7,"")</f>
        <v/>
      </c>
      <c r="B493" s="10" t="str">
        <f>IF(Tabla96[[#This Row],[Id]]="","",VLOOKUP(Tabla96[[#This Row],[Id]]+1,TablaEquipos[],3,FALSE))</f>
        <v/>
      </c>
      <c r="C493" s="45" t="str">
        <f>IF(Tabla96[[#This Row],[Id]]="","",VLOOKUP(Tabla96[[#This Row],[Id]]+1,TablaEquipos[],4,FALSE))</f>
        <v/>
      </c>
      <c r="D493" s="13" t="str">
        <f>IF(Tabla96[[#This Row],[Id]]="","",COUNTIF(TablaTiempos[Club],Tabla96[[#This Row],[Pos]]))</f>
        <v/>
      </c>
      <c r="E493" s="47" t="str">
        <f>IF(Tabla96[[#This Row],[Id]]="","",Tabla96[[#This Row],[Total Llegados a Meta]]/Tabla96[[#This Row],[Total Inscritos]])</f>
        <v/>
      </c>
      <c r="F49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93" s="43">
        <f ca="1">NOW()-'LOS TIEMPOS'!$K$2</f>
        <v>42368.075526157409</v>
      </c>
    </row>
    <row r="494" spans="1:8" x14ac:dyDescent="0.2">
      <c r="A494" s="13" t="str">
        <f>IF(ROW()-5&lt;=COUNTA(TablaEquipos[Compite]),ROW()-7,"")</f>
        <v/>
      </c>
      <c r="B494" s="10" t="str">
        <f>IF(Tabla96[[#This Row],[Id]]="","",VLOOKUP(Tabla96[[#This Row],[Id]]+1,TablaEquipos[],3,FALSE))</f>
        <v/>
      </c>
      <c r="C494" s="45" t="str">
        <f>IF(Tabla96[[#This Row],[Id]]="","",VLOOKUP(Tabla96[[#This Row],[Id]]+1,TablaEquipos[],4,FALSE))</f>
        <v/>
      </c>
      <c r="D494" s="13" t="str">
        <f>IF(Tabla96[[#This Row],[Id]]="","",COUNTIF(TablaTiempos[Club],Tabla96[[#This Row],[Pos]]))</f>
        <v/>
      </c>
      <c r="E494" s="47" t="str">
        <f>IF(Tabla96[[#This Row],[Id]]="","",Tabla96[[#This Row],[Total Llegados a Meta]]/Tabla96[[#This Row],[Total Inscritos]])</f>
        <v/>
      </c>
      <c r="F49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94" s="43">
        <f ca="1">NOW()-'LOS TIEMPOS'!$K$2</f>
        <v>42368.075526157409</v>
      </c>
    </row>
    <row r="495" spans="1:8" x14ac:dyDescent="0.2">
      <c r="A495" s="13" t="str">
        <f>IF(ROW()-5&lt;=COUNTA(TablaEquipos[Compite]),ROW()-7,"")</f>
        <v/>
      </c>
      <c r="B495" s="10" t="str">
        <f>IF(Tabla96[[#This Row],[Id]]="","",VLOOKUP(Tabla96[[#This Row],[Id]]+1,TablaEquipos[],3,FALSE))</f>
        <v/>
      </c>
      <c r="C495" s="45" t="str">
        <f>IF(Tabla96[[#This Row],[Id]]="","",VLOOKUP(Tabla96[[#This Row],[Id]]+1,TablaEquipos[],4,FALSE))</f>
        <v/>
      </c>
      <c r="D495" s="13" t="str">
        <f>IF(Tabla96[[#This Row],[Id]]="","",COUNTIF(TablaTiempos[Club],Tabla96[[#This Row],[Pos]]))</f>
        <v/>
      </c>
      <c r="E495" s="47" t="str">
        <f>IF(Tabla96[[#This Row],[Id]]="","",Tabla96[[#This Row],[Total Llegados a Meta]]/Tabla96[[#This Row],[Total Inscritos]])</f>
        <v/>
      </c>
      <c r="F49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95" s="43">
        <f ca="1">NOW()-'LOS TIEMPOS'!$K$2</f>
        <v>42368.075526157409</v>
      </c>
    </row>
    <row r="496" spans="1:8" x14ac:dyDescent="0.2">
      <c r="A496" s="13" t="str">
        <f>IF(ROW()-5&lt;=COUNTA(TablaEquipos[Compite]),ROW()-7,"")</f>
        <v/>
      </c>
      <c r="B496" s="10" t="str">
        <f>IF(Tabla96[[#This Row],[Id]]="","",VLOOKUP(Tabla96[[#This Row],[Id]]+1,TablaEquipos[],3,FALSE))</f>
        <v/>
      </c>
      <c r="C496" s="45" t="str">
        <f>IF(Tabla96[[#This Row],[Id]]="","",VLOOKUP(Tabla96[[#This Row],[Id]]+1,TablaEquipos[],4,FALSE))</f>
        <v/>
      </c>
      <c r="D496" s="13" t="str">
        <f>IF(Tabla96[[#This Row],[Id]]="","",COUNTIF(TablaTiempos[Club],Tabla96[[#This Row],[Pos]]))</f>
        <v/>
      </c>
      <c r="E496" s="47" t="str">
        <f>IF(Tabla96[[#This Row],[Id]]="","",Tabla96[[#This Row],[Total Llegados a Meta]]/Tabla96[[#This Row],[Total Inscritos]])</f>
        <v/>
      </c>
      <c r="F49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96" s="43">
        <f ca="1">NOW()-'LOS TIEMPOS'!$K$2</f>
        <v>42368.075526157409</v>
      </c>
    </row>
    <row r="497" spans="1:8" x14ac:dyDescent="0.2">
      <c r="A497" s="13" t="str">
        <f>IF(ROW()-5&lt;=COUNTA(TablaEquipos[Compite]),ROW()-7,"")</f>
        <v/>
      </c>
      <c r="B497" s="10" t="str">
        <f>IF(Tabla96[[#This Row],[Id]]="","",VLOOKUP(Tabla96[[#This Row],[Id]]+1,TablaEquipos[],3,FALSE))</f>
        <v/>
      </c>
      <c r="C497" s="45" t="str">
        <f>IF(Tabla96[[#This Row],[Id]]="","",VLOOKUP(Tabla96[[#This Row],[Id]]+1,TablaEquipos[],4,FALSE))</f>
        <v/>
      </c>
      <c r="D497" s="13" t="str">
        <f>IF(Tabla96[[#This Row],[Id]]="","",COUNTIF(TablaTiempos[Club],Tabla96[[#This Row],[Pos]]))</f>
        <v/>
      </c>
      <c r="E497" s="47" t="str">
        <f>IF(Tabla96[[#This Row],[Id]]="","",Tabla96[[#This Row],[Total Llegados a Meta]]/Tabla96[[#This Row],[Total Inscritos]])</f>
        <v/>
      </c>
      <c r="F49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97" s="43">
        <f ca="1">NOW()-'LOS TIEMPOS'!$K$2</f>
        <v>42368.075526157409</v>
      </c>
    </row>
    <row r="498" spans="1:8" x14ac:dyDescent="0.2">
      <c r="A498" s="13" t="str">
        <f>IF(ROW()-5&lt;=COUNTA(TablaEquipos[Compite]),ROW()-7,"")</f>
        <v/>
      </c>
      <c r="B498" s="10" t="str">
        <f>IF(Tabla96[[#This Row],[Id]]="","",VLOOKUP(Tabla96[[#This Row],[Id]]+1,TablaEquipos[],3,FALSE))</f>
        <v/>
      </c>
      <c r="C498" s="45" t="str">
        <f>IF(Tabla96[[#This Row],[Id]]="","",VLOOKUP(Tabla96[[#This Row],[Id]]+1,TablaEquipos[],4,FALSE))</f>
        <v/>
      </c>
      <c r="D498" s="13" t="str">
        <f>IF(Tabla96[[#This Row],[Id]]="","",COUNTIF(TablaTiempos[Club],Tabla96[[#This Row],[Pos]]))</f>
        <v/>
      </c>
      <c r="E498" s="47" t="str">
        <f>IF(Tabla96[[#This Row],[Id]]="","",Tabla96[[#This Row],[Total Llegados a Meta]]/Tabla96[[#This Row],[Total Inscritos]])</f>
        <v/>
      </c>
      <c r="F49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98" s="43">
        <f ca="1">NOW()-'LOS TIEMPOS'!$K$2</f>
        <v>42368.075526157409</v>
      </c>
    </row>
    <row r="499" spans="1:8" x14ac:dyDescent="0.2">
      <c r="A499" s="13" t="str">
        <f>IF(ROW()-5&lt;=COUNTA(TablaEquipos[Compite]),ROW()-7,"")</f>
        <v/>
      </c>
      <c r="B499" s="10" t="str">
        <f>IF(Tabla96[[#This Row],[Id]]="","",VLOOKUP(Tabla96[[#This Row],[Id]]+1,TablaEquipos[],3,FALSE))</f>
        <v/>
      </c>
      <c r="C499" s="45" t="str">
        <f>IF(Tabla96[[#This Row],[Id]]="","",VLOOKUP(Tabla96[[#This Row],[Id]]+1,TablaEquipos[],4,FALSE))</f>
        <v/>
      </c>
      <c r="D499" s="13" t="str">
        <f>IF(Tabla96[[#This Row],[Id]]="","",COUNTIF(TablaTiempos[Club],Tabla96[[#This Row],[Pos]]))</f>
        <v/>
      </c>
      <c r="E499" s="47" t="str">
        <f>IF(Tabla96[[#This Row],[Id]]="","",Tabla96[[#This Row],[Total Llegados a Meta]]/Tabla96[[#This Row],[Total Inscritos]])</f>
        <v/>
      </c>
      <c r="F49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499" s="43">
        <f ca="1">NOW()-'LOS TIEMPOS'!$K$2</f>
        <v>42368.075526157409</v>
      </c>
    </row>
    <row r="500" spans="1:8" x14ac:dyDescent="0.2">
      <c r="A500" s="13" t="str">
        <f>IF(ROW()-5&lt;=COUNTA(TablaEquipos[Compite]),ROW()-7,"")</f>
        <v/>
      </c>
      <c r="B500" s="10" t="str">
        <f>IF(Tabla96[[#This Row],[Id]]="","",VLOOKUP(Tabla96[[#This Row],[Id]]+1,TablaEquipos[],3,FALSE))</f>
        <v/>
      </c>
      <c r="C500" s="45" t="str">
        <f>IF(Tabla96[[#This Row],[Id]]="","",VLOOKUP(Tabla96[[#This Row],[Id]]+1,TablaEquipos[],4,FALSE))</f>
        <v/>
      </c>
      <c r="D500" s="13" t="str">
        <f>IF(Tabla96[[#This Row],[Id]]="","",COUNTIF(TablaTiempos[Club],Tabla96[[#This Row],[Pos]]))</f>
        <v/>
      </c>
      <c r="E500" s="47" t="str">
        <f>IF(Tabla96[[#This Row],[Id]]="","",Tabla96[[#This Row],[Total Llegados a Meta]]/Tabla96[[#This Row],[Total Inscritos]])</f>
        <v/>
      </c>
      <c r="F50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00" s="43">
        <f ca="1">NOW()-'LOS TIEMPOS'!$K$2</f>
        <v>42368.075526157409</v>
      </c>
    </row>
    <row r="501" spans="1:8" x14ac:dyDescent="0.2">
      <c r="A501" s="13" t="str">
        <f>IF(ROW()-5&lt;=COUNTA(TablaEquipos[Compite]),ROW()-7,"")</f>
        <v/>
      </c>
      <c r="B501" s="10" t="str">
        <f>IF(Tabla96[[#This Row],[Id]]="","",VLOOKUP(Tabla96[[#This Row],[Id]]+1,TablaEquipos[],3,FALSE))</f>
        <v/>
      </c>
      <c r="C501" s="45" t="str">
        <f>IF(Tabla96[[#This Row],[Id]]="","",VLOOKUP(Tabla96[[#This Row],[Id]]+1,TablaEquipos[],4,FALSE))</f>
        <v/>
      </c>
      <c r="D501" s="13" t="str">
        <f>IF(Tabla96[[#This Row],[Id]]="","",COUNTIF(TablaTiempos[Club],Tabla96[[#This Row],[Pos]]))</f>
        <v/>
      </c>
      <c r="E501" s="47" t="str">
        <f>IF(Tabla96[[#This Row],[Id]]="","",Tabla96[[#This Row],[Total Llegados a Meta]]/Tabla96[[#This Row],[Total Inscritos]])</f>
        <v/>
      </c>
      <c r="F50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01" s="43">
        <f ca="1">NOW()-'LOS TIEMPOS'!$K$2</f>
        <v>42368.075526157409</v>
      </c>
    </row>
    <row r="502" spans="1:8" x14ac:dyDescent="0.2">
      <c r="A502" s="13" t="str">
        <f>IF(ROW()-5&lt;=COUNTA(TablaEquipos[Compite]),ROW()-7,"")</f>
        <v/>
      </c>
      <c r="B502" s="10" t="str">
        <f>IF(Tabla96[[#This Row],[Id]]="","",VLOOKUP(Tabla96[[#This Row],[Id]]+1,TablaEquipos[],3,FALSE))</f>
        <v/>
      </c>
      <c r="C502" s="45" t="str">
        <f>IF(Tabla96[[#This Row],[Id]]="","",VLOOKUP(Tabla96[[#This Row],[Id]]+1,TablaEquipos[],4,FALSE))</f>
        <v/>
      </c>
      <c r="D502" s="13" t="str">
        <f>IF(Tabla96[[#This Row],[Id]]="","",COUNTIF(TablaTiempos[Club],Tabla96[[#This Row],[Pos]]))</f>
        <v/>
      </c>
      <c r="E502" s="47" t="str">
        <f>IF(Tabla96[[#This Row],[Id]]="","",Tabla96[[#This Row],[Total Llegados a Meta]]/Tabla96[[#This Row],[Total Inscritos]])</f>
        <v/>
      </c>
      <c r="F50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02" s="43">
        <f ca="1">NOW()-'LOS TIEMPOS'!$K$2</f>
        <v>42368.075526157409</v>
      </c>
    </row>
    <row r="503" spans="1:8" x14ac:dyDescent="0.2">
      <c r="A503" s="13" t="str">
        <f>IF(ROW()-5&lt;=COUNTA(TablaEquipos[Compite]),ROW()-7,"")</f>
        <v/>
      </c>
      <c r="B503" s="10" t="str">
        <f>IF(Tabla96[[#This Row],[Id]]="","",VLOOKUP(Tabla96[[#This Row],[Id]]+1,TablaEquipos[],3,FALSE))</f>
        <v/>
      </c>
      <c r="C503" s="45" t="str">
        <f>IF(Tabla96[[#This Row],[Id]]="","",VLOOKUP(Tabla96[[#This Row],[Id]]+1,TablaEquipos[],4,FALSE))</f>
        <v/>
      </c>
      <c r="D503" s="13" t="str">
        <f>IF(Tabla96[[#This Row],[Id]]="","",COUNTIF(TablaTiempos[Club],Tabla96[[#This Row],[Pos]]))</f>
        <v/>
      </c>
      <c r="E503" s="47" t="str">
        <f>IF(Tabla96[[#This Row],[Id]]="","",Tabla96[[#This Row],[Total Llegados a Meta]]/Tabla96[[#This Row],[Total Inscritos]])</f>
        <v/>
      </c>
      <c r="F50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03" s="43">
        <f ca="1">NOW()-'LOS TIEMPOS'!$K$2</f>
        <v>42368.075526157409</v>
      </c>
    </row>
    <row r="504" spans="1:8" x14ac:dyDescent="0.2">
      <c r="A504" s="13" t="str">
        <f>IF(ROW()-5&lt;=COUNTA(TablaEquipos[Compite]),ROW()-7,"")</f>
        <v/>
      </c>
      <c r="B504" s="10" t="str">
        <f>IF(Tabla96[[#This Row],[Id]]="","",VLOOKUP(Tabla96[[#This Row],[Id]]+1,TablaEquipos[],3,FALSE))</f>
        <v/>
      </c>
      <c r="C504" s="45" t="str">
        <f>IF(Tabla96[[#This Row],[Id]]="","",VLOOKUP(Tabla96[[#This Row],[Id]]+1,TablaEquipos[],4,FALSE))</f>
        <v/>
      </c>
      <c r="D504" s="13" t="str">
        <f>IF(Tabla96[[#This Row],[Id]]="","",COUNTIF(TablaTiempos[Club],Tabla96[[#This Row],[Pos]]))</f>
        <v/>
      </c>
      <c r="E504" s="47" t="str">
        <f>IF(Tabla96[[#This Row],[Id]]="","",Tabla96[[#This Row],[Total Llegados a Meta]]/Tabla96[[#This Row],[Total Inscritos]])</f>
        <v/>
      </c>
      <c r="F50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04" s="43">
        <f ca="1">NOW()-'LOS TIEMPOS'!$K$2</f>
        <v>42368.075526157409</v>
      </c>
    </row>
    <row r="505" spans="1:8" x14ac:dyDescent="0.2">
      <c r="A505" s="13" t="str">
        <f>IF(ROW()-5&lt;=COUNTA(TablaEquipos[Compite]),ROW()-7,"")</f>
        <v/>
      </c>
      <c r="B505" s="10" t="str">
        <f>IF(Tabla96[[#This Row],[Id]]="","",VLOOKUP(Tabla96[[#This Row],[Id]]+1,TablaEquipos[],3,FALSE))</f>
        <v/>
      </c>
      <c r="C505" s="45" t="str">
        <f>IF(Tabla96[[#This Row],[Id]]="","",VLOOKUP(Tabla96[[#This Row],[Id]]+1,TablaEquipos[],4,FALSE))</f>
        <v/>
      </c>
      <c r="D505" s="13" t="str">
        <f>IF(Tabla96[[#This Row],[Id]]="","",COUNTIF(TablaTiempos[Club],Tabla96[[#This Row],[Pos]]))</f>
        <v/>
      </c>
      <c r="E505" s="47" t="str">
        <f>IF(Tabla96[[#This Row],[Id]]="","",Tabla96[[#This Row],[Total Llegados a Meta]]/Tabla96[[#This Row],[Total Inscritos]])</f>
        <v/>
      </c>
      <c r="F50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05" s="43">
        <f ca="1">NOW()-'LOS TIEMPOS'!$K$2</f>
        <v>42368.075526157409</v>
      </c>
    </row>
    <row r="506" spans="1:8" x14ac:dyDescent="0.2">
      <c r="A506" s="13" t="str">
        <f>IF(ROW()-5&lt;=COUNTA(TablaEquipos[Compite]),ROW()-7,"")</f>
        <v/>
      </c>
      <c r="B506" s="10" t="str">
        <f>IF(Tabla96[[#This Row],[Id]]="","",VLOOKUP(Tabla96[[#This Row],[Id]]+1,TablaEquipos[],3,FALSE))</f>
        <v/>
      </c>
      <c r="C506" s="45" t="str">
        <f>IF(Tabla96[[#This Row],[Id]]="","",VLOOKUP(Tabla96[[#This Row],[Id]]+1,TablaEquipos[],4,FALSE))</f>
        <v/>
      </c>
      <c r="D506" s="13" t="str">
        <f>IF(Tabla96[[#This Row],[Id]]="","",COUNTIF(TablaTiempos[Club],Tabla96[[#This Row],[Pos]]))</f>
        <v/>
      </c>
      <c r="E506" s="47" t="str">
        <f>IF(Tabla96[[#This Row],[Id]]="","",Tabla96[[#This Row],[Total Llegados a Meta]]/Tabla96[[#This Row],[Total Inscritos]])</f>
        <v/>
      </c>
      <c r="F50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06" s="43">
        <f ca="1">NOW()-'LOS TIEMPOS'!$K$2</f>
        <v>42368.075526157409</v>
      </c>
    </row>
    <row r="507" spans="1:8" x14ac:dyDescent="0.2">
      <c r="A507" s="13" t="str">
        <f>IF(ROW()-5&lt;=COUNTA(TablaEquipos[Compite]),ROW()-7,"")</f>
        <v/>
      </c>
      <c r="B507" s="10" t="str">
        <f>IF(Tabla96[[#This Row],[Id]]="","",VLOOKUP(Tabla96[[#This Row],[Id]]+1,TablaEquipos[],3,FALSE))</f>
        <v/>
      </c>
      <c r="C507" s="45" t="str">
        <f>IF(Tabla96[[#This Row],[Id]]="","",VLOOKUP(Tabla96[[#This Row],[Id]]+1,TablaEquipos[],4,FALSE))</f>
        <v/>
      </c>
      <c r="D507" s="13" t="str">
        <f>IF(Tabla96[[#This Row],[Id]]="","",COUNTIF(TablaTiempos[Club],Tabla96[[#This Row],[Pos]]))</f>
        <v/>
      </c>
      <c r="E507" s="47" t="str">
        <f>IF(Tabla96[[#This Row],[Id]]="","",Tabla96[[#This Row],[Total Llegados a Meta]]/Tabla96[[#This Row],[Total Inscritos]])</f>
        <v/>
      </c>
      <c r="F50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07" s="43">
        <f ca="1">NOW()-'LOS TIEMPOS'!$K$2</f>
        <v>42368.075526157409</v>
      </c>
    </row>
    <row r="508" spans="1:8" x14ac:dyDescent="0.2">
      <c r="A508" s="13" t="str">
        <f>IF(ROW()-5&lt;=COUNTA(TablaEquipos[Compite]),ROW()-7,"")</f>
        <v/>
      </c>
      <c r="B508" s="10" t="str">
        <f>IF(Tabla96[[#This Row],[Id]]="","",VLOOKUP(Tabla96[[#This Row],[Id]]+1,TablaEquipos[],3,FALSE))</f>
        <v/>
      </c>
      <c r="C508" s="45" t="str">
        <f>IF(Tabla96[[#This Row],[Id]]="","",VLOOKUP(Tabla96[[#This Row],[Id]]+1,TablaEquipos[],4,FALSE))</f>
        <v/>
      </c>
      <c r="D508" s="13" t="str">
        <f>IF(Tabla96[[#This Row],[Id]]="","",COUNTIF(TablaTiempos[Club],Tabla96[[#This Row],[Pos]]))</f>
        <v/>
      </c>
      <c r="E508" s="47" t="str">
        <f>IF(Tabla96[[#This Row],[Id]]="","",Tabla96[[#This Row],[Total Llegados a Meta]]/Tabla96[[#This Row],[Total Inscritos]])</f>
        <v/>
      </c>
      <c r="F50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08" s="43">
        <f ca="1">NOW()-'LOS TIEMPOS'!$K$2</f>
        <v>42368.075526157409</v>
      </c>
    </row>
    <row r="509" spans="1:8" x14ac:dyDescent="0.2">
      <c r="A509" s="13" t="str">
        <f>IF(ROW()-5&lt;=COUNTA(TablaEquipos[Compite]),ROW()-7,"")</f>
        <v/>
      </c>
      <c r="B509" s="10" t="str">
        <f>IF(Tabla96[[#This Row],[Id]]="","",VLOOKUP(Tabla96[[#This Row],[Id]]+1,TablaEquipos[],3,FALSE))</f>
        <v/>
      </c>
      <c r="C509" s="45" t="str">
        <f>IF(Tabla96[[#This Row],[Id]]="","",VLOOKUP(Tabla96[[#This Row],[Id]]+1,TablaEquipos[],4,FALSE))</f>
        <v/>
      </c>
      <c r="D509" s="13" t="str">
        <f>IF(Tabla96[[#This Row],[Id]]="","",COUNTIF(TablaTiempos[Club],Tabla96[[#This Row],[Pos]]))</f>
        <v/>
      </c>
      <c r="E509" s="47" t="str">
        <f>IF(Tabla96[[#This Row],[Id]]="","",Tabla96[[#This Row],[Total Llegados a Meta]]/Tabla96[[#This Row],[Total Inscritos]])</f>
        <v/>
      </c>
      <c r="F50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09" s="43">
        <f ca="1">NOW()-'LOS TIEMPOS'!$K$2</f>
        <v>42368.075526157409</v>
      </c>
    </row>
    <row r="510" spans="1:8" x14ac:dyDescent="0.2">
      <c r="A510" s="13" t="str">
        <f>IF(ROW()-5&lt;=COUNTA(TablaEquipos[Compite]),ROW()-7,"")</f>
        <v/>
      </c>
      <c r="B510" s="10" t="str">
        <f>IF(Tabla96[[#This Row],[Id]]="","",VLOOKUP(Tabla96[[#This Row],[Id]]+1,TablaEquipos[],3,FALSE))</f>
        <v/>
      </c>
      <c r="C510" s="45" t="str">
        <f>IF(Tabla96[[#This Row],[Id]]="","",VLOOKUP(Tabla96[[#This Row],[Id]]+1,TablaEquipos[],4,FALSE))</f>
        <v/>
      </c>
      <c r="D510" s="13" t="str">
        <f>IF(Tabla96[[#This Row],[Id]]="","",COUNTIF(TablaTiempos[Club],Tabla96[[#This Row],[Pos]]))</f>
        <v/>
      </c>
      <c r="E510" s="47" t="str">
        <f>IF(Tabla96[[#This Row],[Id]]="","",Tabla96[[#This Row],[Total Llegados a Meta]]/Tabla96[[#This Row],[Total Inscritos]])</f>
        <v/>
      </c>
      <c r="F51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10" s="43">
        <f ca="1">NOW()-'LOS TIEMPOS'!$K$2</f>
        <v>42368.075526157409</v>
      </c>
    </row>
    <row r="511" spans="1:8" x14ac:dyDescent="0.2">
      <c r="A511" s="13" t="str">
        <f>IF(ROW()-5&lt;=COUNTA(TablaEquipos[Compite]),ROW()-7,"")</f>
        <v/>
      </c>
      <c r="B511" s="10" t="str">
        <f>IF(Tabla96[[#This Row],[Id]]="","",VLOOKUP(Tabla96[[#This Row],[Id]]+1,TablaEquipos[],3,FALSE))</f>
        <v/>
      </c>
      <c r="C511" s="45" t="str">
        <f>IF(Tabla96[[#This Row],[Id]]="","",VLOOKUP(Tabla96[[#This Row],[Id]]+1,TablaEquipos[],4,FALSE))</f>
        <v/>
      </c>
      <c r="D511" s="13" t="str">
        <f>IF(Tabla96[[#This Row],[Id]]="","",COUNTIF(TablaTiempos[Club],Tabla96[[#This Row],[Pos]]))</f>
        <v/>
      </c>
      <c r="E511" s="47" t="str">
        <f>IF(Tabla96[[#This Row],[Id]]="","",Tabla96[[#This Row],[Total Llegados a Meta]]/Tabla96[[#This Row],[Total Inscritos]])</f>
        <v/>
      </c>
      <c r="F51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11" s="43">
        <f ca="1">NOW()-'LOS TIEMPOS'!$K$2</f>
        <v>42368.075526157409</v>
      </c>
    </row>
    <row r="512" spans="1:8" x14ac:dyDescent="0.2">
      <c r="A512" s="13" t="str">
        <f>IF(ROW()-5&lt;=COUNTA(TablaEquipos[Compite]),ROW()-7,"")</f>
        <v/>
      </c>
      <c r="B512" s="10" t="str">
        <f>IF(Tabla96[[#This Row],[Id]]="","",VLOOKUP(Tabla96[[#This Row],[Id]]+1,TablaEquipos[],3,FALSE))</f>
        <v/>
      </c>
      <c r="C512" s="45" t="str">
        <f>IF(Tabla96[[#This Row],[Id]]="","",VLOOKUP(Tabla96[[#This Row],[Id]]+1,TablaEquipos[],4,FALSE))</f>
        <v/>
      </c>
      <c r="D512" s="13" t="str">
        <f>IF(Tabla96[[#This Row],[Id]]="","",COUNTIF(TablaTiempos[Club],Tabla96[[#This Row],[Pos]]))</f>
        <v/>
      </c>
      <c r="E512" s="47" t="str">
        <f>IF(Tabla96[[#This Row],[Id]]="","",Tabla96[[#This Row],[Total Llegados a Meta]]/Tabla96[[#This Row],[Total Inscritos]])</f>
        <v/>
      </c>
      <c r="F51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12" s="43">
        <f ca="1">NOW()-'LOS TIEMPOS'!$K$2</f>
        <v>42368.075526157409</v>
      </c>
    </row>
    <row r="513" spans="1:8" x14ac:dyDescent="0.2">
      <c r="A513" s="13" t="str">
        <f>IF(ROW()-5&lt;=COUNTA(TablaEquipos[Compite]),ROW()-7,"")</f>
        <v/>
      </c>
      <c r="B513" s="10" t="str">
        <f>IF(Tabla96[[#This Row],[Id]]="","",VLOOKUP(Tabla96[[#This Row],[Id]]+1,TablaEquipos[],3,FALSE))</f>
        <v/>
      </c>
      <c r="C513" s="45" t="str">
        <f>IF(Tabla96[[#This Row],[Id]]="","",VLOOKUP(Tabla96[[#This Row],[Id]]+1,TablaEquipos[],4,FALSE))</f>
        <v/>
      </c>
      <c r="D513" s="13" t="str">
        <f>IF(Tabla96[[#This Row],[Id]]="","",COUNTIF(TablaTiempos[Club],Tabla96[[#This Row],[Pos]]))</f>
        <v/>
      </c>
      <c r="E513" s="47" t="str">
        <f>IF(Tabla96[[#This Row],[Id]]="","",Tabla96[[#This Row],[Total Llegados a Meta]]/Tabla96[[#This Row],[Total Inscritos]])</f>
        <v/>
      </c>
      <c r="F51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13" s="43">
        <f ca="1">NOW()-'LOS TIEMPOS'!$K$2</f>
        <v>42368.075526157409</v>
      </c>
    </row>
    <row r="514" spans="1:8" x14ac:dyDescent="0.2">
      <c r="A514" s="13" t="str">
        <f>IF(ROW()-5&lt;=COUNTA(TablaEquipos[Compite]),ROW()-7,"")</f>
        <v/>
      </c>
      <c r="B514" s="10" t="str">
        <f>IF(Tabla96[[#This Row],[Id]]="","",VLOOKUP(Tabla96[[#This Row],[Id]]+1,TablaEquipos[],3,FALSE))</f>
        <v/>
      </c>
      <c r="C514" s="45" t="str">
        <f>IF(Tabla96[[#This Row],[Id]]="","",VLOOKUP(Tabla96[[#This Row],[Id]]+1,TablaEquipos[],4,FALSE))</f>
        <v/>
      </c>
      <c r="D514" s="13" t="str">
        <f>IF(Tabla96[[#This Row],[Id]]="","",COUNTIF(TablaTiempos[Club],Tabla96[[#This Row],[Pos]]))</f>
        <v/>
      </c>
      <c r="E514" s="47" t="str">
        <f>IF(Tabla96[[#This Row],[Id]]="","",Tabla96[[#This Row],[Total Llegados a Meta]]/Tabla96[[#This Row],[Total Inscritos]])</f>
        <v/>
      </c>
      <c r="F51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14" s="43">
        <f ca="1">NOW()-'LOS TIEMPOS'!$K$2</f>
        <v>42368.075526157409</v>
      </c>
    </row>
    <row r="515" spans="1:8" x14ac:dyDescent="0.2">
      <c r="A515" s="13" t="str">
        <f>IF(ROW()-5&lt;=COUNTA(TablaEquipos[Compite]),ROW()-7,"")</f>
        <v/>
      </c>
      <c r="B515" s="10" t="str">
        <f>IF(Tabla96[[#This Row],[Id]]="","",VLOOKUP(Tabla96[[#This Row],[Id]]+1,TablaEquipos[],3,FALSE))</f>
        <v/>
      </c>
      <c r="C515" s="45" t="str">
        <f>IF(Tabla96[[#This Row],[Id]]="","",VLOOKUP(Tabla96[[#This Row],[Id]]+1,TablaEquipos[],4,FALSE))</f>
        <v/>
      </c>
      <c r="D515" s="13" t="str">
        <f>IF(Tabla96[[#This Row],[Id]]="","",COUNTIF(TablaTiempos[Club],Tabla96[[#This Row],[Pos]]))</f>
        <v/>
      </c>
      <c r="E515" s="47" t="str">
        <f>IF(Tabla96[[#This Row],[Id]]="","",Tabla96[[#This Row],[Total Llegados a Meta]]/Tabla96[[#This Row],[Total Inscritos]])</f>
        <v/>
      </c>
      <c r="F51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15" s="43">
        <f ca="1">NOW()-'LOS TIEMPOS'!$K$2</f>
        <v>42368.075526157409</v>
      </c>
    </row>
    <row r="516" spans="1:8" x14ac:dyDescent="0.2">
      <c r="A516" s="13" t="str">
        <f>IF(ROW()-5&lt;=COUNTA(TablaEquipos[Compite]),ROW()-7,"")</f>
        <v/>
      </c>
      <c r="B516" s="10" t="str">
        <f>IF(Tabla96[[#This Row],[Id]]="","",VLOOKUP(Tabla96[[#This Row],[Id]]+1,TablaEquipos[],3,FALSE))</f>
        <v/>
      </c>
      <c r="C516" s="45" t="str">
        <f>IF(Tabla96[[#This Row],[Id]]="","",VLOOKUP(Tabla96[[#This Row],[Id]]+1,TablaEquipos[],4,FALSE))</f>
        <v/>
      </c>
      <c r="D516" s="13" t="str">
        <f>IF(Tabla96[[#This Row],[Id]]="","",COUNTIF(TablaTiempos[Club],Tabla96[[#This Row],[Pos]]))</f>
        <v/>
      </c>
      <c r="E516" s="47" t="str">
        <f>IF(Tabla96[[#This Row],[Id]]="","",Tabla96[[#This Row],[Total Llegados a Meta]]/Tabla96[[#This Row],[Total Inscritos]])</f>
        <v/>
      </c>
      <c r="F51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16" s="43">
        <f ca="1">NOW()-'LOS TIEMPOS'!$K$2</f>
        <v>42368.075526157409</v>
      </c>
    </row>
    <row r="517" spans="1:8" x14ac:dyDescent="0.2">
      <c r="A517" s="13" t="str">
        <f>IF(ROW()-5&lt;=COUNTA(TablaEquipos[Compite]),ROW()-7,"")</f>
        <v/>
      </c>
      <c r="B517" s="10" t="str">
        <f>IF(Tabla96[[#This Row],[Id]]="","",VLOOKUP(Tabla96[[#This Row],[Id]]+1,TablaEquipos[],3,FALSE))</f>
        <v/>
      </c>
      <c r="C517" s="45" t="str">
        <f>IF(Tabla96[[#This Row],[Id]]="","",VLOOKUP(Tabla96[[#This Row],[Id]]+1,TablaEquipos[],4,FALSE))</f>
        <v/>
      </c>
      <c r="D517" s="13" t="str">
        <f>IF(Tabla96[[#This Row],[Id]]="","",COUNTIF(TablaTiempos[Club],Tabla96[[#This Row],[Pos]]))</f>
        <v/>
      </c>
      <c r="E517" s="47" t="str">
        <f>IF(Tabla96[[#This Row],[Id]]="","",Tabla96[[#This Row],[Total Llegados a Meta]]/Tabla96[[#This Row],[Total Inscritos]])</f>
        <v/>
      </c>
      <c r="F51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17" s="43">
        <f ca="1">NOW()-'LOS TIEMPOS'!$K$2</f>
        <v>42368.075526157409</v>
      </c>
    </row>
    <row r="518" spans="1:8" x14ac:dyDescent="0.2">
      <c r="A518" s="13" t="str">
        <f>IF(ROW()-5&lt;=COUNTA(TablaEquipos[Compite]),ROW()-7,"")</f>
        <v/>
      </c>
      <c r="B518" s="10" t="str">
        <f>IF(Tabla96[[#This Row],[Id]]="","",VLOOKUP(Tabla96[[#This Row],[Id]]+1,TablaEquipos[],3,FALSE))</f>
        <v/>
      </c>
      <c r="C518" s="45" t="str">
        <f>IF(Tabla96[[#This Row],[Id]]="","",VLOOKUP(Tabla96[[#This Row],[Id]]+1,TablaEquipos[],4,FALSE))</f>
        <v/>
      </c>
      <c r="D518" s="13" t="str">
        <f>IF(Tabla96[[#This Row],[Id]]="","",COUNTIF(TablaTiempos[Club],Tabla96[[#This Row],[Pos]]))</f>
        <v/>
      </c>
      <c r="E518" s="47" t="str">
        <f>IF(Tabla96[[#This Row],[Id]]="","",Tabla96[[#This Row],[Total Llegados a Meta]]/Tabla96[[#This Row],[Total Inscritos]])</f>
        <v/>
      </c>
      <c r="F51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18" s="43">
        <f ca="1">NOW()-'LOS TIEMPOS'!$K$2</f>
        <v>42368.075526157409</v>
      </c>
    </row>
    <row r="519" spans="1:8" x14ac:dyDescent="0.2">
      <c r="A519" s="13" t="str">
        <f>IF(ROW()-5&lt;=COUNTA(TablaEquipos[Compite]),ROW()-7,"")</f>
        <v/>
      </c>
      <c r="B519" s="10" t="str">
        <f>IF(Tabla96[[#This Row],[Id]]="","",VLOOKUP(Tabla96[[#This Row],[Id]]+1,TablaEquipos[],3,FALSE))</f>
        <v/>
      </c>
      <c r="C519" s="45" t="str">
        <f>IF(Tabla96[[#This Row],[Id]]="","",VLOOKUP(Tabla96[[#This Row],[Id]]+1,TablaEquipos[],4,FALSE))</f>
        <v/>
      </c>
      <c r="D519" s="13" t="str">
        <f>IF(Tabla96[[#This Row],[Id]]="","",COUNTIF(TablaTiempos[Club],Tabla96[[#This Row],[Pos]]))</f>
        <v/>
      </c>
      <c r="E519" s="47" t="str">
        <f>IF(Tabla96[[#This Row],[Id]]="","",Tabla96[[#This Row],[Total Llegados a Meta]]/Tabla96[[#This Row],[Total Inscritos]])</f>
        <v/>
      </c>
      <c r="F51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19" s="43">
        <f ca="1">NOW()-'LOS TIEMPOS'!$K$2</f>
        <v>42368.075526157409</v>
      </c>
    </row>
    <row r="520" spans="1:8" x14ac:dyDescent="0.2">
      <c r="A520" s="13" t="str">
        <f>IF(ROW()-5&lt;=COUNTA(TablaEquipos[Compite]),ROW()-7,"")</f>
        <v/>
      </c>
      <c r="B520" s="10" t="str">
        <f>IF(Tabla96[[#This Row],[Id]]="","",VLOOKUP(Tabla96[[#This Row],[Id]]+1,TablaEquipos[],3,FALSE))</f>
        <v/>
      </c>
      <c r="C520" s="45" t="str">
        <f>IF(Tabla96[[#This Row],[Id]]="","",VLOOKUP(Tabla96[[#This Row],[Id]]+1,TablaEquipos[],4,FALSE))</f>
        <v/>
      </c>
      <c r="D520" s="13" t="str">
        <f>IF(Tabla96[[#This Row],[Id]]="","",COUNTIF(TablaTiempos[Club],Tabla96[[#This Row],[Pos]]))</f>
        <v/>
      </c>
      <c r="E520" s="47" t="str">
        <f>IF(Tabla96[[#This Row],[Id]]="","",Tabla96[[#This Row],[Total Llegados a Meta]]/Tabla96[[#This Row],[Total Inscritos]])</f>
        <v/>
      </c>
      <c r="F52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20" s="43">
        <f ca="1">NOW()-'LOS TIEMPOS'!$K$2</f>
        <v>42368.075526157409</v>
      </c>
    </row>
    <row r="521" spans="1:8" x14ac:dyDescent="0.2">
      <c r="A521" s="13" t="str">
        <f>IF(ROW()-5&lt;=COUNTA(TablaEquipos[Compite]),ROW()-7,"")</f>
        <v/>
      </c>
      <c r="B521" s="10" t="str">
        <f>IF(Tabla96[[#This Row],[Id]]="","",VLOOKUP(Tabla96[[#This Row],[Id]]+1,TablaEquipos[],3,FALSE))</f>
        <v/>
      </c>
      <c r="C521" s="45" t="str">
        <f>IF(Tabla96[[#This Row],[Id]]="","",VLOOKUP(Tabla96[[#This Row],[Id]]+1,TablaEquipos[],4,FALSE))</f>
        <v/>
      </c>
      <c r="D521" s="13" t="str">
        <f>IF(Tabla96[[#This Row],[Id]]="","",COUNTIF(TablaTiempos[Club],Tabla96[[#This Row],[Pos]]))</f>
        <v/>
      </c>
      <c r="E521" s="47" t="str">
        <f>IF(Tabla96[[#This Row],[Id]]="","",Tabla96[[#This Row],[Total Llegados a Meta]]/Tabla96[[#This Row],[Total Inscritos]])</f>
        <v/>
      </c>
      <c r="F52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21" s="43">
        <f ca="1">NOW()-'LOS TIEMPOS'!$K$2</f>
        <v>42368.075526157409</v>
      </c>
    </row>
    <row r="522" spans="1:8" x14ac:dyDescent="0.2">
      <c r="A522" s="13" t="str">
        <f>IF(ROW()-5&lt;=COUNTA(TablaEquipos[Compite]),ROW()-7,"")</f>
        <v/>
      </c>
      <c r="B522" s="10" t="str">
        <f>IF(Tabla96[[#This Row],[Id]]="","",VLOOKUP(Tabla96[[#This Row],[Id]]+1,TablaEquipos[],3,FALSE))</f>
        <v/>
      </c>
      <c r="C522" s="45" t="str">
        <f>IF(Tabla96[[#This Row],[Id]]="","",VLOOKUP(Tabla96[[#This Row],[Id]]+1,TablaEquipos[],4,FALSE))</f>
        <v/>
      </c>
      <c r="D522" s="13" t="str">
        <f>IF(Tabla96[[#This Row],[Id]]="","",COUNTIF(TablaTiempos[Club],Tabla96[[#This Row],[Pos]]))</f>
        <v/>
      </c>
      <c r="E522" s="47" t="str">
        <f>IF(Tabla96[[#This Row],[Id]]="","",Tabla96[[#This Row],[Total Llegados a Meta]]/Tabla96[[#This Row],[Total Inscritos]])</f>
        <v/>
      </c>
      <c r="F52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22" s="43">
        <f ca="1">NOW()-'LOS TIEMPOS'!$K$2</f>
        <v>42368.075526157409</v>
      </c>
    </row>
    <row r="523" spans="1:8" x14ac:dyDescent="0.2">
      <c r="A523" s="13" t="str">
        <f>IF(ROW()-5&lt;=COUNTA(TablaEquipos[Compite]),ROW()-7,"")</f>
        <v/>
      </c>
      <c r="B523" s="10" t="str">
        <f>IF(Tabla96[[#This Row],[Id]]="","",VLOOKUP(Tabla96[[#This Row],[Id]]+1,TablaEquipos[],3,FALSE))</f>
        <v/>
      </c>
      <c r="C523" s="45" t="str">
        <f>IF(Tabla96[[#This Row],[Id]]="","",VLOOKUP(Tabla96[[#This Row],[Id]]+1,TablaEquipos[],4,FALSE))</f>
        <v/>
      </c>
      <c r="D523" s="13" t="str">
        <f>IF(Tabla96[[#This Row],[Id]]="","",COUNTIF(TablaTiempos[Club],Tabla96[[#This Row],[Pos]]))</f>
        <v/>
      </c>
      <c r="E523" s="47" t="str">
        <f>IF(Tabla96[[#This Row],[Id]]="","",Tabla96[[#This Row],[Total Llegados a Meta]]/Tabla96[[#This Row],[Total Inscritos]])</f>
        <v/>
      </c>
      <c r="F52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23" s="43">
        <f ca="1">NOW()-'LOS TIEMPOS'!$K$2</f>
        <v>42368.075526157409</v>
      </c>
    </row>
    <row r="524" spans="1:8" x14ac:dyDescent="0.2">
      <c r="A524" s="13" t="str">
        <f>IF(ROW()-5&lt;=COUNTA(TablaEquipos[Compite]),ROW()-7,"")</f>
        <v/>
      </c>
      <c r="B524" s="10" t="str">
        <f>IF(Tabla96[[#This Row],[Id]]="","",VLOOKUP(Tabla96[[#This Row],[Id]]+1,TablaEquipos[],3,FALSE))</f>
        <v/>
      </c>
      <c r="C524" s="45" t="str">
        <f>IF(Tabla96[[#This Row],[Id]]="","",VLOOKUP(Tabla96[[#This Row],[Id]]+1,TablaEquipos[],4,FALSE))</f>
        <v/>
      </c>
      <c r="D524" s="13" t="str">
        <f>IF(Tabla96[[#This Row],[Id]]="","",COUNTIF(TablaTiempos[Club],Tabla96[[#This Row],[Pos]]))</f>
        <v/>
      </c>
      <c r="E524" s="47" t="str">
        <f>IF(Tabla96[[#This Row],[Id]]="","",Tabla96[[#This Row],[Total Llegados a Meta]]/Tabla96[[#This Row],[Total Inscritos]])</f>
        <v/>
      </c>
      <c r="F52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24" s="43">
        <f ca="1">NOW()-'LOS TIEMPOS'!$K$2</f>
        <v>42368.075526157409</v>
      </c>
    </row>
    <row r="525" spans="1:8" x14ac:dyDescent="0.2">
      <c r="A525" s="13" t="str">
        <f>IF(ROW()-5&lt;=COUNTA(TablaEquipos[Compite]),ROW()-7,"")</f>
        <v/>
      </c>
      <c r="B525" s="10" t="str">
        <f>IF(Tabla96[[#This Row],[Id]]="","",VLOOKUP(Tabla96[[#This Row],[Id]]+1,TablaEquipos[],3,FALSE))</f>
        <v/>
      </c>
      <c r="C525" s="45" t="str">
        <f>IF(Tabla96[[#This Row],[Id]]="","",VLOOKUP(Tabla96[[#This Row],[Id]]+1,TablaEquipos[],4,FALSE))</f>
        <v/>
      </c>
      <c r="D525" s="13" t="str">
        <f>IF(Tabla96[[#This Row],[Id]]="","",COUNTIF(TablaTiempos[Club],Tabla96[[#This Row],[Pos]]))</f>
        <v/>
      </c>
      <c r="E525" s="47" t="str">
        <f>IF(Tabla96[[#This Row],[Id]]="","",Tabla96[[#This Row],[Total Llegados a Meta]]/Tabla96[[#This Row],[Total Inscritos]])</f>
        <v/>
      </c>
      <c r="F52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25" s="43">
        <f ca="1">NOW()-'LOS TIEMPOS'!$K$2</f>
        <v>42368.075526157409</v>
      </c>
    </row>
    <row r="526" spans="1:8" x14ac:dyDescent="0.2">
      <c r="A526" s="13" t="str">
        <f>IF(ROW()-5&lt;=COUNTA(TablaEquipos[Compite]),ROW()-7,"")</f>
        <v/>
      </c>
      <c r="B526" s="10" t="str">
        <f>IF(Tabla96[[#This Row],[Id]]="","",VLOOKUP(Tabla96[[#This Row],[Id]]+1,TablaEquipos[],3,FALSE))</f>
        <v/>
      </c>
      <c r="C526" s="45" t="str">
        <f>IF(Tabla96[[#This Row],[Id]]="","",VLOOKUP(Tabla96[[#This Row],[Id]]+1,TablaEquipos[],4,FALSE))</f>
        <v/>
      </c>
      <c r="D526" s="13" t="str">
        <f>IF(Tabla96[[#This Row],[Id]]="","",COUNTIF(TablaTiempos[Club],Tabla96[[#This Row],[Pos]]))</f>
        <v/>
      </c>
      <c r="E526" s="47" t="str">
        <f>IF(Tabla96[[#This Row],[Id]]="","",Tabla96[[#This Row],[Total Llegados a Meta]]/Tabla96[[#This Row],[Total Inscritos]])</f>
        <v/>
      </c>
      <c r="F52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26" s="43">
        <f ca="1">NOW()-'LOS TIEMPOS'!$K$2</f>
        <v>42368.075526157409</v>
      </c>
    </row>
    <row r="527" spans="1:8" x14ac:dyDescent="0.2">
      <c r="A527" s="13" t="str">
        <f>IF(ROW()-5&lt;=COUNTA(TablaEquipos[Compite]),ROW()-7,"")</f>
        <v/>
      </c>
      <c r="B527" s="10" t="str">
        <f>IF(Tabla96[[#This Row],[Id]]="","",VLOOKUP(Tabla96[[#This Row],[Id]]+1,TablaEquipos[],3,FALSE))</f>
        <v/>
      </c>
      <c r="C527" s="45" t="str">
        <f>IF(Tabla96[[#This Row],[Id]]="","",VLOOKUP(Tabla96[[#This Row],[Id]]+1,TablaEquipos[],4,FALSE))</f>
        <v/>
      </c>
      <c r="D527" s="13" t="str">
        <f>IF(Tabla96[[#This Row],[Id]]="","",COUNTIF(TablaTiempos[Club],Tabla96[[#This Row],[Pos]]))</f>
        <v/>
      </c>
      <c r="E527" s="47" t="str">
        <f>IF(Tabla96[[#This Row],[Id]]="","",Tabla96[[#This Row],[Total Llegados a Meta]]/Tabla96[[#This Row],[Total Inscritos]])</f>
        <v/>
      </c>
      <c r="F52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27" s="43">
        <f ca="1">NOW()-'LOS TIEMPOS'!$K$2</f>
        <v>42368.075526157409</v>
      </c>
    </row>
    <row r="528" spans="1:8" x14ac:dyDescent="0.2">
      <c r="A528" s="13" t="str">
        <f>IF(ROW()-5&lt;=COUNTA(TablaEquipos[Compite]),ROW()-7,"")</f>
        <v/>
      </c>
      <c r="B528" s="10" t="str">
        <f>IF(Tabla96[[#This Row],[Id]]="","",VLOOKUP(Tabla96[[#This Row],[Id]]+1,TablaEquipos[],3,FALSE))</f>
        <v/>
      </c>
      <c r="C528" s="45" t="str">
        <f>IF(Tabla96[[#This Row],[Id]]="","",VLOOKUP(Tabla96[[#This Row],[Id]]+1,TablaEquipos[],4,FALSE))</f>
        <v/>
      </c>
      <c r="D528" s="13" t="str">
        <f>IF(Tabla96[[#This Row],[Id]]="","",COUNTIF(TablaTiempos[Club],Tabla96[[#This Row],[Pos]]))</f>
        <v/>
      </c>
      <c r="E528" s="47" t="str">
        <f>IF(Tabla96[[#This Row],[Id]]="","",Tabla96[[#This Row],[Total Llegados a Meta]]/Tabla96[[#This Row],[Total Inscritos]])</f>
        <v/>
      </c>
      <c r="F52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28" s="43">
        <f ca="1">NOW()-'LOS TIEMPOS'!$K$2</f>
        <v>42368.075526157409</v>
      </c>
    </row>
    <row r="529" spans="1:8" x14ac:dyDescent="0.2">
      <c r="A529" s="13" t="str">
        <f>IF(ROW()-5&lt;=COUNTA(TablaEquipos[Compite]),ROW()-7,"")</f>
        <v/>
      </c>
      <c r="B529" s="10" t="str">
        <f>IF(Tabla96[[#This Row],[Id]]="","",VLOOKUP(Tabla96[[#This Row],[Id]]+1,TablaEquipos[],3,FALSE))</f>
        <v/>
      </c>
      <c r="C529" s="45" t="str">
        <f>IF(Tabla96[[#This Row],[Id]]="","",VLOOKUP(Tabla96[[#This Row],[Id]]+1,TablaEquipos[],4,FALSE))</f>
        <v/>
      </c>
      <c r="D529" s="13" t="str">
        <f>IF(Tabla96[[#This Row],[Id]]="","",COUNTIF(TablaTiempos[Club],Tabla96[[#This Row],[Pos]]))</f>
        <v/>
      </c>
      <c r="E529" s="47" t="str">
        <f>IF(Tabla96[[#This Row],[Id]]="","",Tabla96[[#This Row],[Total Llegados a Meta]]/Tabla96[[#This Row],[Total Inscritos]])</f>
        <v/>
      </c>
      <c r="F52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29" s="43">
        <f ca="1">NOW()-'LOS TIEMPOS'!$K$2</f>
        <v>42368.075526157409</v>
      </c>
    </row>
    <row r="530" spans="1:8" x14ac:dyDescent="0.2">
      <c r="A530" s="13" t="str">
        <f>IF(ROW()-5&lt;=COUNTA(TablaEquipos[Compite]),ROW()-7,"")</f>
        <v/>
      </c>
      <c r="B530" s="10" t="str">
        <f>IF(Tabla96[[#This Row],[Id]]="","",VLOOKUP(Tabla96[[#This Row],[Id]]+1,TablaEquipos[],3,FALSE))</f>
        <v/>
      </c>
      <c r="C530" s="45" t="str">
        <f>IF(Tabla96[[#This Row],[Id]]="","",VLOOKUP(Tabla96[[#This Row],[Id]]+1,TablaEquipos[],4,FALSE))</f>
        <v/>
      </c>
      <c r="D530" s="13" t="str">
        <f>IF(Tabla96[[#This Row],[Id]]="","",COUNTIF(TablaTiempos[Club],Tabla96[[#This Row],[Pos]]))</f>
        <v/>
      </c>
      <c r="E530" s="47" t="str">
        <f>IF(Tabla96[[#This Row],[Id]]="","",Tabla96[[#This Row],[Total Llegados a Meta]]/Tabla96[[#This Row],[Total Inscritos]])</f>
        <v/>
      </c>
      <c r="F53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30" s="43">
        <f ca="1">NOW()-'LOS TIEMPOS'!$K$2</f>
        <v>42368.075526157409</v>
      </c>
    </row>
    <row r="531" spans="1:8" x14ac:dyDescent="0.2">
      <c r="A531" s="13" t="str">
        <f>IF(ROW()-5&lt;=COUNTA(TablaEquipos[Compite]),ROW()-7,"")</f>
        <v/>
      </c>
      <c r="B531" s="10" t="str">
        <f>IF(Tabla96[[#This Row],[Id]]="","",VLOOKUP(Tabla96[[#This Row],[Id]]+1,TablaEquipos[],3,FALSE))</f>
        <v/>
      </c>
      <c r="C531" s="45" t="str">
        <f>IF(Tabla96[[#This Row],[Id]]="","",VLOOKUP(Tabla96[[#This Row],[Id]]+1,TablaEquipos[],4,FALSE))</f>
        <v/>
      </c>
      <c r="D531" s="13" t="str">
        <f>IF(Tabla96[[#This Row],[Id]]="","",COUNTIF(TablaTiempos[Club],Tabla96[[#This Row],[Pos]]))</f>
        <v/>
      </c>
      <c r="E531" s="47" t="str">
        <f>IF(Tabla96[[#This Row],[Id]]="","",Tabla96[[#This Row],[Total Llegados a Meta]]/Tabla96[[#This Row],[Total Inscritos]])</f>
        <v/>
      </c>
      <c r="F53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31" s="43">
        <f ca="1">NOW()-'LOS TIEMPOS'!$K$2</f>
        <v>42368.075526157409</v>
      </c>
    </row>
    <row r="532" spans="1:8" x14ac:dyDescent="0.2">
      <c r="A532" s="13" t="str">
        <f>IF(ROW()-5&lt;=COUNTA(TablaEquipos[Compite]),ROW()-7,"")</f>
        <v/>
      </c>
      <c r="B532" s="10" t="str">
        <f>IF(Tabla96[[#This Row],[Id]]="","",VLOOKUP(Tabla96[[#This Row],[Id]]+1,TablaEquipos[],3,FALSE))</f>
        <v/>
      </c>
      <c r="C532" s="45" t="str">
        <f>IF(Tabla96[[#This Row],[Id]]="","",VLOOKUP(Tabla96[[#This Row],[Id]]+1,TablaEquipos[],4,FALSE))</f>
        <v/>
      </c>
      <c r="D532" s="13" t="str">
        <f>IF(Tabla96[[#This Row],[Id]]="","",COUNTIF(TablaTiempos[Club],Tabla96[[#This Row],[Pos]]))</f>
        <v/>
      </c>
      <c r="E532" s="47" t="str">
        <f>IF(Tabla96[[#This Row],[Id]]="","",Tabla96[[#This Row],[Total Llegados a Meta]]/Tabla96[[#This Row],[Total Inscritos]])</f>
        <v/>
      </c>
      <c r="F53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32" s="43">
        <f ca="1">NOW()-'LOS TIEMPOS'!$K$2</f>
        <v>42368.075526157409</v>
      </c>
    </row>
    <row r="533" spans="1:8" x14ac:dyDescent="0.2">
      <c r="A533" s="13" t="str">
        <f>IF(ROW()-5&lt;=COUNTA(TablaEquipos[Compite]),ROW()-7,"")</f>
        <v/>
      </c>
      <c r="B533" s="10" t="str">
        <f>IF(Tabla96[[#This Row],[Id]]="","",VLOOKUP(Tabla96[[#This Row],[Id]]+1,TablaEquipos[],3,FALSE))</f>
        <v/>
      </c>
      <c r="C533" s="45" t="str">
        <f>IF(Tabla96[[#This Row],[Id]]="","",VLOOKUP(Tabla96[[#This Row],[Id]]+1,TablaEquipos[],4,FALSE))</f>
        <v/>
      </c>
      <c r="D533" s="13" t="str">
        <f>IF(Tabla96[[#This Row],[Id]]="","",COUNTIF(TablaTiempos[Club],Tabla96[[#This Row],[Pos]]))</f>
        <v/>
      </c>
      <c r="E533" s="47" t="str">
        <f>IF(Tabla96[[#This Row],[Id]]="","",Tabla96[[#This Row],[Total Llegados a Meta]]/Tabla96[[#This Row],[Total Inscritos]])</f>
        <v/>
      </c>
      <c r="F53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33" s="43">
        <f ca="1">NOW()-'LOS TIEMPOS'!$K$2</f>
        <v>42368.075526157409</v>
      </c>
    </row>
    <row r="534" spans="1:8" x14ac:dyDescent="0.2">
      <c r="A534" s="13" t="str">
        <f>IF(ROW()-5&lt;=COUNTA(TablaEquipos[Compite]),ROW()-7,"")</f>
        <v/>
      </c>
      <c r="B534" s="10" t="str">
        <f>IF(Tabla96[[#This Row],[Id]]="","",VLOOKUP(Tabla96[[#This Row],[Id]]+1,TablaEquipos[],3,FALSE))</f>
        <v/>
      </c>
      <c r="C534" s="45" t="str">
        <f>IF(Tabla96[[#This Row],[Id]]="","",VLOOKUP(Tabla96[[#This Row],[Id]]+1,TablaEquipos[],4,FALSE))</f>
        <v/>
      </c>
      <c r="D534" s="13" t="str">
        <f>IF(Tabla96[[#This Row],[Id]]="","",COUNTIF(TablaTiempos[Club],Tabla96[[#This Row],[Pos]]))</f>
        <v/>
      </c>
      <c r="E534" s="47" t="str">
        <f>IF(Tabla96[[#This Row],[Id]]="","",Tabla96[[#This Row],[Total Llegados a Meta]]/Tabla96[[#This Row],[Total Inscritos]])</f>
        <v/>
      </c>
      <c r="F53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34" s="43">
        <f ca="1">NOW()-'LOS TIEMPOS'!$K$2</f>
        <v>42368.075526157409</v>
      </c>
    </row>
    <row r="535" spans="1:8" x14ac:dyDescent="0.2">
      <c r="A535" s="13" t="str">
        <f>IF(ROW()-5&lt;=COUNTA(TablaEquipos[Compite]),ROW()-7,"")</f>
        <v/>
      </c>
      <c r="B535" s="10" t="str">
        <f>IF(Tabla96[[#This Row],[Id]]="","",VLOOKUP(Tabla96[[#This Row],[Id]]+1,TablaEquipos[],3,FALSE))</f>
        <v/>
      </c>
      <c r="C535" s="45" t="str">
        <f>IF(Tabla96[[#This Row],[Id]]="","",VLOOKUP(Tabla96[[#This Row],[Id]]+1,TablaEquipos[],4,FALSE))</f>
        <v/>
      </c>
      <c r="D535" s="13" t="str">
        <f>IF(Tabla96[[#This Row],[Id]]="","",COUNTIF(TablaTiempos[Club],Tabla96[[#This Row],[Pos]]))</f>
        <v/>
      </c>
      <c r="E535" s="47" t="str">
        <f>IF(Tabla96[[#This Row],[Id]]="","",Tabla96[[#This Row],[Total Llegados a Meta]]/Tabla96[[#This Row],[Total Inscritos]])</f>
        <v/>
      </c>
      <c r="F53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35" s="43">
        <f ca="1">NOW()-'LOS TIEMPOS'!$K$2</f>
        <v>42368.075526157409</v>
      </c>
    </row>
    <row r="536" spans="1:8" x14ac:dyDescent="0.2">
      <c r="A536" s="13" t="str">
        <f>IF(ROW()-5&lt;=COUNTA(TablaEquipos[Compite]),ROW()-7,"")</f>
        <v/>
      </c>
      <c r="B536" s="10" t="str">
        <f>IF(Tabla96[[#This Row],[Id]]="","",VLOOKUP(Tabla96[[#This Row],[Id]]+1,TablaEquipos[],3,FALSE))</f>
        <v/>
      </c>
      <c r="C536" s="45" t="str">
        <f>IF(Tabla96[[#This Row],[Id]]="","",VLOOKUP(Tabla96[[#This Row],[Id]]+1,TablaEquipos[],4,FALSE))</f>
        <v/>
      </c>
      <c r="D536" s="13" t="str">
        <f>IF(Tabla96[[#This Row],[Id]]="","",COUNTIF(TablaTiempos[Club],Tabla96[[#This Row],[Pos]]))</f>
        <v/>
      </c>
      <c r="E536" s="47" t="str">
        <f>IF(Tabla96[[#This Row],[Id]]="","",Tabla96[[#This Row],[Total Llegados a Meta]]/Tabla96[[#This Row],[Total Inscritos]])</f>
        <v/>
      </c>
      <c r="F53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36" s="43">
        <f ca="1">NOW()-'LOS TIEMPOS'!$K$2</f>
        <v>42368.075526157409</v>
      </c>
    </row>
    <row r="537" spans="1:8" x14ac:dyDescent="0.2">
      <c r="A537" s="13" t="str">
        <f>IF(ROW()-5&lt;=COUNTA(TablaEquipos[Compite]),ROW()-7,"")</f>
        <v/>
      </c>
      <c r="B537" s="10" t="str">
        <f>IF(Tabla96[[#This Row],[Id]]="","",VLOOKUP(Tabla96[[#This Row],[Id]]+1,TablaEquipos[],3,FALSE))</f>
        <v/>
      </c>
      <c r="C537" s="45" t="str">
        <f>IF(Tabla96[[#This Row],[Id]]="","",VLOOKUP(Tabla96[[#This Row],[Id]]+1,TablaEquipos[],4,FALSE))</f>
        <v/>
      </c>
      <c r="D537" s="13" t="str">
        <f>IF(Tabla96[[#This Row],[Id]]="","",COUNTIF(TablaTiempos[Club],Tabla96[[#This Row],[Pos]]))</f>
        <v/>
      </c>
      <c r="E537" s="47" t="str">
        <f>IF(Tabla96[[#This Row],[Id]]="","",Tabla96[[#This Row],[Total Llegados a Meta]]/Tabla96[[#This Row],[Total Inscritos]])</f>
        <v/>
      </c>
      <c r="F53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37" s="43">
        <f ca="1">NOW()-'LOS TIEMPOS'!$K$2</f>
        <v>42368.075526157409</v>
      </c>
    </row>
    <row r="538" spans="1:8" x14ac:dyDescent="0.2">
      <c r="A538" s="13" t="str">
        <f>IF(ROW()-5&lt;=COUNTA(TablaEquipos[Compite]),ROW()-7,"")</f>
        <v/>
      </c>
      <c r="B538" s="10" t="str">
        <f>IF(Tabla96[[#This Row],[Id]]="","",VLOOKUP(Tabla96[[#This Row],[Id]]+1,TablaEquipos[],3,FALSE))</f>
        <v/>
      </c>
      <c r="C538" s="45" t="str">
        <f>IF(Tabla96[[#This Row],[Id]]="","",VLOOKUP(Tabla96[[#This Row],[Id]]+1,TablaEquipos[],4,FALSE))</f>
        <v/>
      </c>
      <c r="D538" s="13" t="str">
        <f>IF(Tabla96[[#This Row],[Id]]="","",COUNTIF(TablaTiempos[Club],Tabla96[[#This Row],[Pos]]))</f>
        <v/>
      </c>
      <c r="E538" s="47" t="str">
        <f>IF(Tabla96[[#This Row],[Id]]="","",Tabla96[[#This Row],[Total Llegados a Meta]]/Tabla96[[#This Row],[Total Inscritos]])</f>
        <v/>
      </c>
      <c r="F53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38" s="43">
        <f ca="1">NOW()-'LOS TIEMPOS'!$K$2</f>
        <v>42368.075526157409</v>
      </c>
    </row>
    <row r="539" spans="1:8" x14ac:dyDescent="0.2">
      <c r="A539" s="13" t="str">
        <f>IF(ROW()-5&lt;=COUNTA(TablaEquipos[Compite]),ROW()-7,"")</f>
        <v/>
      </c>
      <c r="B539" s="10" t="str">
        <f>IF(Tabla96[[#This Row],[Id]]="","",VLOOKUP(Tabla96[[#This Row],[Id]]+1,TablaEquipos[],3,FALSE))</f>
        <v/>
      </c>
      <c r="C539" s="45" t="str">
        <f>IF(Tabla96[[#This Row],[Id]]="","",VLOOKUP(Tabla96[[#This Row],[Id]]+1,TablaEquipos[],4,FALSE))</f>
        <v/>
      </c>
      <c r="D539" s="13" t="str">
        <f>IF(Tabla96[[#This Row],[Id]]="","",COUNTIF(TablaTiempos[Club],Tabla96[[#This Row],[Pos]]))</f>
        <v/>
      </c>
      <c r="E539" s="47" t="str">
        <f>IF(Tabla96[[#This Row],[Id]]="","",Tabla96[[#This Row],[Total Llegados a Meta]]/Tabla96[[#This Row],[Total Inscritos]])</f>
        <v/>
      </c>
      <c r="F53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39" s="43">
        <f ca="1">NOW()-'LOS TIEMPOS'!$K$2</f>
        <v>42368.075526157409</v>
      </c>
    </row>
    <row r="540" spans="1:8" x14ac:dyDescent="0.2">
      <c r="A540" s="13" t="str">
        <f>IF(ROW()-5&lt;=COUNTA(TablaEquipos[Compite]),ROW()-7,"")</f>
        <v/>
      </c>
      <c r="B540" s="10" t="str">
        <f>IF(Tabla96[[#This Row],[Id]]="","",VLOOKUP(Tabla96[[#This Row],[Id]]+1,TablaEquipos[],3,FALSE))</f>
        <v/>
      </c>
      <c r="C540" s="45" t="str">
        <f>IF(Tabla96[[#This Row],[Id]]="","",VLOOKUP(Tabla96[[#This Row],[Id]]+1,TablaEquipos[],4,FALSE))</f>
        <v/>
      </c>
      <c r="D540" s="13" t="str">
        <f>IF(Tabla96[[#This Row],[Id]]="","",COUNTIF(TablaTiempos[Club],Tabla96[[#This Row],[Pos]]))</f>
        <v/>
      </c>
      <c r="E540" s="47" t="str">
        <f>IF(Tabla96[[#This Row],[Id]]="","",Tabla96[[#This Row],[Total Llegados a Meta]]/Tabla96[[#This Row],[Total Inscritos]])</f>
        <v/>
      </c>
      <c r="F54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40" s="43">
        <f ca="1">NOW()-'LOS TIEMPOS'!$K$2</f>
        <v>42368.075526157409</v>
      </c>
    </row>
    <row r="541" spans="1:8" x14ac:dyDescent="0.2">
      <c r="A541" s="13" t="str">
        <f>IF(ROW()-5&lt;=COUNTA(TablaEquipos[Compite]),ROW()-7,"")</f>
        <v/>
      </c>
      <c r="B541" s="10" t="str">
        <f>IF(Tabla96[[#This Row],[Id]]="","",VLOOKUP(Tabla96[[#This Row],[Id]]+1,TablaEquipos[],3,FALSE))</f>
        <v/>
      </c>
      <c r="C541" s="45" t="str">
        <f>IF(Tabla96[[#This Row],[Id]]="","",VLOOKUP(Tabla96[[#This Row],[Id]]+1,TablaEquipos[],4,FALSE))</f>
        <v/>
      </c>
      <c r="D541" s="13" t="str">
        <f>IF(Tabla96[[#This Row],[Id]]="","",COUNTIF(TablaTiempos[Club],Tabla96[[#This Row],[Pos]]))</f>
        <v/>
      </c>
      <c r="E541" s="47" t="str">
        <f>IF(Tabla96[[#This Row],[Id]]="","",Tabla96[[#This Row],[Total Llegados a Meta]]/Tabla96[[#This Row],[Total Inscritos]])</f>
        <v/>
      </c>
      <c r="F54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41" s="43">
        <f ca="1">NOW()-'LOS TIEMPOS'!$K$2</f>
        <v>42368.075526157409</v>
      </c>
    </row>
    <row r="542" spans="1:8" x14ac:dyDescent="0.2">
      <c r="A542" s="13" t="str">
        <f>IF(ROW()-5&lt;=COUNTA(TablaEquipos[Compite]),ROW()-7,"")</f>
        <v/>
      </c>
      <c r="B542" s="10" t="str">
        <f>IF(Tabla96[[#This Row],[Id]]="","",VLOOKUP(Tabla96[[#This Row],[Id]]+1,TablaEquipos[],3,FALSE))</f>
        <v/>
      </c>
      <c r="C542" s="45" t="str">
        <f>IF(Tabla96[[#This Row],[Id]]="","",VLOOKUP(Tabla96[[#This Row],[Id]]+1,TablaEquipos[],4,FALSE))</f>
        <v/>
      </c>
      <c r="D542" s="13" t="str">
        <f>IF(Tabla96[[#This Row],[Id]]="","",COUNTIF(TablaTiempos[Club],Tabla96[[#This Row],[Pos]]))</f>
        <v/>
      </c>
      <c r="E542" s="47" t="str">
        <f>IF(Tabla96[[#This Row],[Id]]="","",Tabla96[[#This Row],[Total Llegados a Meta]]/Tabla96[[#This Row],[Total Inscritos]])</f>
        <v/>
      </c>
      <c r="F54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42" s="43">
        <f ca="1">NOW()-'LOS TIEMPOS'!$K$2</f>
        <v>42368.075526157409</v>
      </c>
    </row>
    <row r="543" spans="1:8" x14ac:dyDescent="0.2">
      <c r="A543" s="13" t="str">
        <f>IF(ROW()-5&lt;=COUNTA(TablaEquipos[Compite]),ROW()-7,"")</f>
        <v/>
      </c>
      <c r="B543" s="10" t="str">
        <f>IF(Tabla96[[#This Row],[Id]]="","",VLOOKUP(Tabla96[[#This Row],[Id]]+1,TablaEquipos[],3,FALSE))</f>
        <v/>
      </c>
      <c r="C543" s="45" t="str">
        <f>IF(Tabla96[[#This Row],[Id]]="","",VLOOKUP(Tabla96[[#This Row],[Id]]+1,TablaEquipos[],4,FALSE))</f>
        <v/>
      </c>
      <c r="D543" s="13" t="str">
        <f>IF(Tabla96[[#This Row],[Id]]="","",COUNTIF(TablaTiempos[Club],Tabla96[[#This Row],[Pos]]))</f>
        <v/>
      </c>
      <c r="E543" s="47" t="str">
        <f>IF(Tabla96[[#This Row],[Id]]="","",Tabla96[[#This Row],[Total Llegados a Meta]]/Tabla96[[#This Row],[Total Inscritos]])</f>
        <v/>
      </c>
      <c r="F54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43" s="43">
        <f ca="1">NOW()-'LOS TIEMPOS'!$K$2</f>
        <v>42368.075526157409</v>
      </c>
    </row>
    <row r="544" spans="1:8" x14ac:dyDescent="0.2">
      <c r="A544" s="13" t="str">
        <f>IF(ROW()-5&lt;=COUNTA(TablaEquipos[Compite]),ROW()-7,"")</f>
        <v/>
      </c>
      <c r="B544" s="10" t="str">
        <f>IF(Tabla96[[#This Row],[Id]]="","",VLOOKUP(Tabla96[[#This Row],[Id]]+1,TablaEquipos[],3,FALSE))</f>
        <v/>
      </c>
      <c r="C544" s="45" t="str">
        <f>IF(Tabla96[[#This Row],[Id]]="","",VLOOKUP(Tabla96[[#This Row],[Id]]+1,TablaEquipos[],4,FALSE))</f>
        <v/>
      </c>
      <c r="D544" s="13" t="str">
        <f>IF(Tabla96[[#This Row],[Id]]="","",COUNTIF(TablaTiempos[Club],Tabla96[[#This Row],[Pos]]))</f>
        <v/>
      </c>
      <c r="E544" s="47" t="str">
        <f>IF(Tabla96[[#This Row],[Id]]="","",Tabla96[[#This Row],[Total Llegados a Meta]]/Tabla96[[#This Row],[Total Inscritos]])</f>
        <v/>
      </c>
      <c r="F54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44" s="43">
        <f ca="1">NOW()-'LOS TIEMPOS'!$K$2</f>
        <v>42368.075526157409</v>
      </c>
    </row>
    <row r="545" spans="1:8" x14ac:dyDescent="0.2">
      <c r="A545" s="13" t="str">
        <f>IF(ROW()-5&lt;=COUNTA(TablaEquipos[Compite]),ROW()-7,"")</f>
        <v/>
      </c>
      <c r="B545" s="10" t="str">
        <f>IF(Tabla96[[#This Row],[Id]]="","",VLOOKUP(Tabla96[[#This Row],[Id]]+1,TablaEquipos[],3,FALSE))</f>
        <v/>
      </c>
      <c r="C545" s="45" t="str">
        <f>IF(Tabla96[[#This Row],[Id]]="","",VLOOKUP(Tabla96[[#This Row],[Id]]+1,TablaEquipos[],4,FALSE))</f>
        <v/>
      </c>
      <c r="D545" s="13" t="str">
        <f>IF(Tabla96[[#This Row],[Id]]="","",COUNTIF(TablaTiempos[Club],Tabla96[[#This Row],[Pos]]))</f>
        <v/>
      </c>
      <c r="E545" s="47" t="str">
        <f>IF(Tabla96[[#This Row],[Id]]="","",Tabla96[[#This Row],[Total Llegados a Meta]]/Tabla96[[#This Row],[Total Inscritos]])</f>
        <v/>
      </c>
      <c r="F54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45" s="43">
        <f ca="1">NOW()-'LOS TIEMPOS'!$K$2</f>
        <v>42368.075526157409</v>
      </c>
    </row>
    <row r="546" spans="1:8" x14ac:dyDescent="0.2">
      <c r="A546" s="13" t="str">
        <f>IF(ROW()-5&lt;=COUNTA(TablaEquipos[Compite]),ROW()-7,"")</f>
        <v/>
      </c>
      <c r="B546" s="10" t="str">
        <f>IF(Tabla96[[#This Row],[Id]]="","",VLOOKUP(Tabla96[[#This Row],[Id]]+1,TablaEquipos[],3,FALSE))</f>
        <v/>
      </c>
      <c r="C546" s="45" t="str">
        <f>IF(Tabla96[[#This Row],[Id]]="","",VLOOKUP(Tabla96[[#This Row],[Id]]+1,TablaEquipos[],4,FALSE))</f>
        <v/>
      </c>
      <c r="D546" s="13" t="str">
        <f>IF(Tabla96[[#This Row],[Id]]="","",COUNTIF(TablaTiempos[Club],Tabla96[[#This Row],[Pos]]))</f>
        <v/>
      </c>
      <c r="E546" s="47" t="str">
        <f>IF(Tabla96[[#This Row],[Id]]="","",Tabla96[[#This Row],[Total Llegados a Meta]]/Tabla96[[#This Row],[Total Inscritos]])</f>
        <v/>
      </c>
      <c r="F54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46" s="43">
        <f ca="1">NOW()-'LOS TIEMPOS'!$K$2</f>
        <v>42368.075526157409</v>
      </c>
    </row>
    <row r="547" spans="1:8" x14ac:dyDescent="0.2">
      <c r="A547" s="13" t="str">
        <f>IF(ROW()-5&lt;=COUNTA(TablaEquipos[Compite]),ROW()-7,"")</f>
        <v/>
      </c>
      <c r="B547" s="10" t="str">
        <f>IF(Tabla96[[#This Row],[Id]]="","",VLOOKUP(Tabla96[[#This Row],[Id]]+1,TablaEquipos[],3,FALSE))</f>
        <v/>
      </c>
      <c r="C547" s="45" t="str">
        <f>IF(Tabla96[[#This Row],[Id]]="","",VLOOKUP(Tabla96[[#This Row],[Id]]+1,TablaEquipos[],4,FALSE))</f>
        <v/>
      </c>
      <c r="D547" s="13" t="str">
        <f>IF(Tabla96[[#This Row],[Id]]="","",COUNTIF(TablaTiempos[Club],Tabla96[[#This Row],[Pos]]))</f>
        <v/>
      </c>
      <c r="E547" s="47" t="str">
        <f>IF(Tabla96[[#This Row],[Id]]="","",Tabla96[[#This Row],[Total Llegados a Meta]]/Tabla96[[#This Row],[Total Inscritos]])</f>
        <v/>
      </c>
      <c r="F54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47" s="43">
        <f ca="1">NOW()-'LOS TIEMPOS'!$K$2</f>
        <v>42368.075526157409</v>
      </c>
    </row>
    <row r="548" spans="1:8" x14ac:dyDescent="0.2">
      <c r="A548" s="13" t="str">
        <f>IF(ROW()-5&lt;=COUNTA(TablaEquipos[Compite]),ROW()-7,"")</f>
        <v/>
      </c>
      <c r="B548" s="10" t="str">
        <f>IF(Tabla96[[#This Row],[Id]]="","",VLOOKUP(Tabla96[[#This Row],[Id]]+1,TablaEquipos[],3,FALSE))</f>
        <v/>
      </c>
      <c r="C548" s="45" t="str">
        <f>IF(Tabla96[[#This Row],[Id]]="","",VLOOKUP(Tabla96[[#This Row],[Id]]+1,TablaEquipos[],4,FALSE))</f>
        <v/>
      </c>
      <c r="D548" s="13" t="str">
        <f>IF(Tabla96[[#This Row],[Id]]="","",COUNTIF(TablaTiempos[Club],Tabla96[[#This Row],[Pos]]))</f>
        <v/>
      </c>
      <c r="E548" s="47" t="str">
        <f>IF(Tabla96[[#This Row],[Id]]="","",Tabla96[[#This Row],[Total Llegados a Meta]]/Tabla96[[#This Row],[Total Inscritos]])</f>
        <v/>
      </c>
      <c r="F54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48" s="43">
        <f ca="1">NOW()-'LOS TIEMPOS'!$K$2</f>
        <v>42368.075526157409</v>
      </c>
    </row>
    <row r="549" spans="1:8" x14ac:dyDescent="0.2">
      <c r="A549" s="13" t="str">
        <f>IF(ROW()-5&lt;=COUNTA(TablaEquipos[Compite]),ROW()-7,"")</f>
        <v/>
      </c>
      <c r="B549" s="10" t="str">
        <f>IF(Tabla96[[#This Row],[Id]]="","",VLOOKUP(Tabla96[[#This Row],[Id]]+1,TablaEquipos[],3,FALSE))</f>
        <v/>
      </c>
      <c r="C549" s="45" t="str">
        <f>IF(Tabla96[[#This Row],[Id]]="","",VLOOKUP(Tabla96[[#This Row],[Id]]+1,TablaEquipos[],4,FALSE))</f>
        <v/>
      </c>
      <c r="D549" s="13" t="str">
        <f>IF(Tabla96[[#This Row],[Id]]="","",COUNTIF(TablaTiempos[Club],Tabla96[[#This Row],[Pos]]))</f>
        <v/>
      </c>
      <c r="E549" s="47" t="str">
        <f>IF(Tabla96[[#This Row],[Id]]="","",Tabla96[[#This Row],[Total Llegados a Meta]]/Tabla96[[#This Row],[Total Inscritos]])</f>
        <v/>
      </c>
      <c r="F54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49" s="43">
        <f ca="1">NOW()-'LOS TIEMPOS'!$K$2</f>
        <v>42368.075526157409</v>
      </c>
    </row>
    <row r="550" spans="1:8" x14ac:dyDescent="0.2">
      <c r="A550" s="13" t="str">
        <f>IF(ROW()-5&lt;=COUNTA(TablaEquipos[Compite]),ROW()-7,"")</f>
        <v/>
      </c>
      <c r="B550" s="10" t="str">
        <f>IF(Tabla96[[#This Row],[Id]]="","",VLOOKUP(Tabla96[[#This Row],[Id]]+1,TablaEquipos[],3,FALSE))</f>
        <v/>
      </c>
      <c r="C550" s="45" t="str">
        <f>IF(Tabla96[[#This Row],[Id]]="","",VLOOKUP(Tabla96[[#This Row],[Id]]+1,TablaEquipos[],4,FALSE))</f>
        <v/>
      </c>
      <c r="D550" s="13" t="str">
        <f>IF(Tabla96[[#This Row],[Id]]="","",COUNTIF(TablaTiempos[Club],Tabla96[[#This Row],[Pos]]))</f>
        <v/>
      </c>
      <c r="E550" s="47" t="str">
        <f>IF(Tabla96[[#This Row],[Id]]="","",Tabla96[[#This Row],[Total Llegados a Meta]]/Tabla96[[#This Row],[Total Inscritos]])</f>
        <v/>
      </c>
      <c r="F55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50" s="43">
        <f ca="1">NOW()-'LOS TIEMPOS'!$K$2</f>
        <v>42368.075526157409</v>
      </c>
    </row>
    <row r="551" spans="1:8" x14ac:dyDescent="0.2">
      <c r="A551" s="13" t="str">
        <f>IF(ROW()-5&lt;=COUNTA(TablaEquipos[Compite]),ROW()-7,"")</f>
        <v/>
      </c>
      <c r="B551" s="10" t="str">
        <f>IF(Tabla96[[#This Row],[Id]]="","",VLOOKUP(Tabla96[[#This Row],[Id]]+1,TablaEquipos[],3,FALSE))</f>
        <v/>
      </c>
      <c r="C551" s="45" t="str">
        <f>IF(Tabla96[[#This Row],[Id]]="","",VLOOKUP(Tabla96[[#This Row],[Id]]+1,TablaEquipos[],4,FALSE))</f>
        <v/>
      </c>
      <c r="D551" s="13" t="str">
        <f>IF(Tabla96[[#This Row],[Id]]="","",COUNTIF(TablaTiempos[Club],Tabla96[[#This Row],[Pos]]))</f>
        <v/>
      </c>
      <c r="E551" s="47" t="str">
        <f>IF(Tabla96[[#This Row],[Id]]="","",Tabla96[[#This Row],[Total Llegados a Meta]]/Tabla96[[#This Row],[Total Inscritos]])</f>
        <v/>
      </c>
      <c r="F55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51" s="43">
        <f ca="1">NOW()-'LOS TIEMPOS'!$K$2</f>
        <v>42368.075526157409</v>
      </c>
    </row>
    <row r="552" spans="1:8" x14ac:dyDescent="0.2">
      <c r="A552" s="13" t="str">
        <f>IF(ROW()-5&lt;=COUNTA(TablaEquipos[Compite]),ROW()-7,"")</f>
        <v/>
      </c>
      <c r="B552" s="10" t="str">
        <f>IF(Tabla96[[#This Row],[Id]]="","",VLOOKUP(Tabla96[[#This Row],[Id]]+1,TablaEquipos[],3,FALSE))</f>
        <v/>
      </c>
      <c r="C552" s="45" t="str">
        <f>IF(Tabla96[[#This Row],[Id]]="","",VLOOKUP(Tabla96[[#This Row],[Id]]+1,TablaEquipos[],4,FALSE))</f>
        <v/>
      </c>
      <c r="D552" s="13" t="str">
        <f>IF(Tabla96[[#This Row],[Id]]="","",COUNTIF(TablaTiempos[Club],Tabla96[[#This Row],[Pos]]))</f>
        <v/>
      </c>
      <c r="E552" s="47" t="str">
        <f>IF(Tabla96[[#This Row],[Id]]="","",Tabla96[[#This Row],[Total Llegados a Meta]]/Tabla96[[#This Row],[Total Inscritos]])</f>
        <v/>
      </c>
      <c r="F55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52" s="43">
        <f ca="1">NOW()-'LOS TIEMPOS'!$K$2</f>
        <v>42368.075526157409</v>
      </c>
    </row>
    <row r="553" spans="1:8" x14ac:dyDescent="0.2">
      <c r="A553" s="13" t="str">
        <f>IF(ROW()-5&lt;=COUNTA(TablaEquipos[Compite]),ROW()-7,"")</f>
        <v/>
      </c>
      <c r="B553" s="10" t="str">
        <f>IF(Tabla96[[#This Row],[Id]]="","",VLOOKUP(Tabla96[[#This Row],[Id]]+1,TablaEquipos[],3,FALSE))</f>
        <v/>
      </c>
      <c r="C553" s="45" t="str">
        <f>IF(Tabla96[[#This Row],[Id]]="","",VLOOKUP(Tabla96[[#This Row],[Id]]+1,TablaEquipos[],4,FALSE))</f>
        <v/>
      </c>
      <c r="D553" s="13" t="str">
        <f>IF(Tabla96[[#This Row],[Id]]="","",COUNTIF(TablaTiempos[Club],Tabla96[[#This Row],[Pos]]))</f>
        <v/>
      </c>
      <c r="E553" s="47" t="str">
        <f>IF(Tabla96[[#This Row],[Id]]="","",Tabla96[[#This Row],[Total Llegados a Meta]]/Tabla96[[#This Row],[Total Inscritos]])</f>
        <v/>
      </c>
      <c r="F55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53" s="43">
        <f ca="1">NOW()-'LOS TIEMPOS'!$K$2</f>
        <v>42368.075526157409</v>
      </c>
    </row>
    <row r="554" spans="1:8" x14ac:dyDescent="0.2">
      <c r="A554" s="13" t="str">
        <f>IF(ROW()-5&lt;=COUNTA(TablaEquipos[Compite]),ROW()-7,"")</f>
        <v/>
      </c>
      <c r="B554" s="10" t="str">
        <f>IF(Tabla96[[#This Row],[Id]]="","",VLOOKUP(Tabla96[[#This Row],[Id]]+1,TablaEquipos[],3,FALSE))</f>
        <v/>
      </c>
      <c r="C554" s="45" t="str">
        <f>IF(Tabla96[[#This Row],[Id]]="","",VLOOKUP(Tabla96[[#This Row],[Id]]+1,TablaEquipos[],4,FALSE))</f>
        <v/>
      </c>
      <c r="D554" s="13" t="str">
        <f>IF(Tabla96[[#This Row],[Id]]="","",COUNTIF(TablaTiempos[Club],Tabla96[[#This Row],[Pos]]))</f>
        <v/>
      </c>
      <c r="E554" s="47" t="str">
        <f>IF(Tabla96[[#This Row],[Id]]="","",Tabla96[[#This Row],[Total Llegados a Meta]]/Tabla96[[#This Row],[Total Inscritos]])</f>
        <v/>
      </c>
      <c r="F55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54" s="43">
        <f ca="1">NOW()-'LOS TIEMPOS'!$K$2</f>
        <v>42368.075526157409</v>
      </c>
    </row>
    <row r="555" spans="1:8" x14ac:dyDescent="0.2">
      <c r="A555" s="13" t="str">
        <f>IF(ROW()-5&lt;=COUNTA(TablaEquipos[Compite]),ROW()-7,"")</f>
        <v/>
      </c>
      <c r="B555" s="10" t="str">
        <f>IF(Tabla96[[#This Row],[Id]]="","",VLOOKUP(Tabla96[[#This Row],[Id]]+1,TablaEquipos[],3,FALSE))</f>
        <v/>
      </c>
      <c r="C555" s="45" t="str">
        <f>IF(Tabla96[[#This Row],[Id]]="","",VLOOKUP(Tabla96[[#This Row],[Id]]+1,TablaEquipos[],4,FALSE))</f>
        <v/>
      </c>
      <c r="D555" s="13" t="str">
        <f>IF(Tabla96[[#This Row],[Id]]="","",COUNTIF(TablaTiempos[Club],Tabla96[[#This Row],[Pos]]))</f>
        <v/>
      </c>
      <c r="E555" s="47" t="str">
        <f>IF(Tabla96[[#This Row],[Id]]="","",Tabla96[[#This Row],[Total Llegados a Meta]]/Tabla96[[#This Row],[Total Inscritos]])</f>
        <v/>
      </c>
      <c r="F55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55" s="43">
        <f ca="1">NOW()-'LOS TIEMPOS'!$K$2</f>
        <v>42368.075526157409</v>
      </c>
    </row>
    <row r="556" spans="1:8" x14ac:dyDescent="0.2">
      <c r="A556" s="13" t="str">
        <f>IF(ROW()-5&lt;=COUNTA(TablaEquipos[Compite]),ROW()-7,"")</f>
        <v/>
      </c>
      <c r="B556" s="10" t="str">
        <f>IF(Tabla96[[#This Row],[Id]]="","",VLOOKUP(Tabla96[[#This Row],[Id]]+1,TablaEquipos[],3,FALSE))</f>
        <v/>
      </c>
      <c r="C556" s="45" t="str">
        <f>IF(Tabla96[[#This Row],[Id]]="","",VLOOKUP(Tabla96[[#This Row],[Id]]+1,TablaEquipos[],4,FALSE))</f>
        <v/>
      </c>
      <c r="D556" s="13" t="str">
        <f>IF(Tabla96[[#This Row],[Id]]="","",COUNTIF(TablaTiempos[Club],Tabla96[[#This Row],[Pos]]))</f>
        <v/>
      </c>
      <c r="E556" s="47" t="str">
        <f>IF(Tabla96[[#This Row],[Id]]="","",Tabla96[[#This Row],[Total Llegados a Meta]]/Tabla96[[#This Row],[Total Inscritos]])</f>
        <v/>
      </c>
      <c r="F55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56" s="43">
        <f ca="1">NOW()-'LOS TIEMPOS'!$K$2</f>
        <v>42368.075526157409</v>
      </c>
    </row>
    <row r="557" spans="1:8" x14ac:dyDescent="0.2">
      <c r="A557" s="13" t="str">
        <f>IF(ROW()-5&lt;=COUNTA(TablaEquipos[Compite]),ROW()-7,"")</f>
        <v/>
      </c>
      <c r="B557" s="10" t="str">
        <f>IF(Tabla96[[#This Row],[Id]]="","",VLOOKUP(Tabla96[[#This Row],[Id]]+1,TablaEquipos[],3,FALSE))</f>
        <v/>
      </c>
      <c r="C557" s="45" t="str">
        <f>IF(Tabla96[[#This Row],[Id]]="","",VLOOKUP(Tabla96[[#This Row],[Id]]+1,TablaEquipos[],4,FALSE))</f>
        <v/>
      </c>
      <c r="D557" s="13" t="str">
        <f>IF(Tabla96[[#This Row],[Id]]="","",COUNTIF(TablaTiempos[Club],Tabla96[[#This Row],[Pos]]))</f>
        <v/>
      </c>
      <c r="E557" s="47" t="str">
        <f>IF(Tabla96[[#This Row],[Id]]="","",Tabla96[[#This Row],[Total Llegados a Meta]]/Tabla96[[#This Row],[Total Inscritos]])</f>
        <v/>
      </c>
      <c r="F55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57" s="43">
        <f ca="1">NOW()-'LOS TIEMPOS'!$K$2</f>
        <v>42368.075526157409</v>
      </c>
    </row>
    <row r="558" spans="1:8" x14ac:dyDescent="0.2">
      <c r="A558" s="13" t="str">
        <f>IF(ROW()-5&lt;=COUNTA(TablaEquipos[Compite]),ROW()-7,"")</f>
        <v/>
      </c>
      <c r="B558" s="10" t="str">
        <f>IF(Tabla96[[#This Row],[Id]]="","",VLOOKUP(Tabla96[[#This Row],[Id]]+1,TablaEquipos[],3,FALSE))</f>
        <v/>
      </c>
      <c r="C558" s="45" t="str">
        <f>IF(Tabla96[[#This Row],[Id]]="","",VLOOKUP(Tabla96[[#This Row],[Id]]+1,TablaEquipos[],4,FALSE))</f>
        <v/>
      </c>
      <c r="D558" s="13" t="str">
        <f>IF(Tabla96[[#This Row],[Id]]="","",COUNTIF(TablaTiempos[Club],Tabla96[[#This Row],[Pos]]))</f>
        <v/>
      </c>
      <c r="E558" s="47" t="str">
        <f>IF(Tabla96[[#This Row],[Id]]="","",Tabla96[[#This Row],[Total Llegados a Meta]]/Tabla96[[#This Row],[Total Inscritos]])</f>
        <v/>
      </c>
      <c r="F55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58" s="43">
        <f ca="1">NOW()-'LOS TIEMPOS'!$K$2</f>
        <v>42368.075526157409</v>
      </c>
    </row>
    <row r="559" spans="1:8" x14ac:dyDescent="0.2">
      <c r="A559" s="13" t="str">
        <f>IF(ROW()-5&lt;=COUNTA(TablaEquipos[Compite]),ROW()-7,"")</f>
        <v/>
      </c>
      <c r="B559" s="10" t="str">
        <f>IF(Tabla96[[#This Row],[Id]]="","",VLOOKUP(Tabla96[[#This Row],[Id]]+1,TablaEquipos[],3,FALSE))</f>
        <v/>
      </c>
      <c r="C559" s="45" t="str">
        <f>IF(Tabla96[[#This Row],[Id]]="","",VLOOKUP(Tabla96[[#This Row],[Id]]+1,TablaEquipos[],4,FALSE))</f>
        <v/>
      </c>
      <c r="D559" s="13" t="str">
        <f>IF(Tabla96[[#This Row],[Id]]="","",COUNTIF(TablaTiempos[Club],Tabla96[[#This Row],[Pos]]))</f>
        <v/>
      </c>
      <c r="E559" s="47" t="str">
        <f>IF(Tabla96[[#This Row],[Id]]="","",Tabla96[[#This Row],[Total Llegados a Meta]]/Tabla96[[#This Row],[Total Inscritos]])</f>
        <v/>
      </c>
      <c r="F55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59" s="43">
        <f ca="1">NOW()-'LOS TIEMPOS'!$K$2</f>
        <v>42368.075526157409</v>
      </c>
    </row>
    <row r="560" spans="1:8" x14ac:dyDescent="0.2">
      <c r="A560" s="13" t="str">
        <f>IF(ROW()-5&lt;=COUNTA(TablaEquipos[Compite]),ROW()-7,"")</f>
        <v/>
      </c>
      <c r="B560" s="10" t="str">
        <f>IF(Tabla96[[#This Row],[Id]]="","",VLOOKUP(Tabla96[[#This Row],[Id]]+1,TablaEquipos[],3,FALSE))</f>
        <v/>
      </c>
      <c r="C560" s="45" t="str">
        <f>IF(Tabla96[[#This Row],[Id]]="","",VLOOKUP(Tabla96[[#This Row],[Id]]+1,TablaEquipos[],4,FALSE))</f>
        <v/>
      </c>
      <c r="D560" s="13" t="str">
        <f>IF(Tabla96[[#This Row],[Id]]="","",COUNTIF(TablaTiempos[Club],Tabla96[[#This Row],[Pos]]))</f>
        <v/>
      </c>
      <c r="E560" s="47" t="str">
        <f>IF(Tabla96[[#This Row],[Id]]="","",Tabla96[[#This Row],[Total Llegados a Meta]]/Tabla96[[#This Row],[Total Inscritos]])</f>
        <v/>
      </c>
      <c r="F56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60" s="43">
        <f ca="1">NOW()-'LOS TIEMPOS'!$K$2</f>
        <v>42368.075526157409</v>
      </c>
    </row>
    <row r="561" spans="1:8" x14ac:dyDescent="0.2">
      <c r="A561" s="13" t="str">
        <f>IF(ROW()-5&lt;=COUNTA(TablaEquipos[Compite]),ROW()-7,"")</f>
        <v/>
      </c>
      <c r="B561" s="10" t="str">
        <f>IF(Tabla96[[#This Row],[Id]]="","",VLOOKUP(Tabla96[[#This Row],[Id]]+1,TablaEquipos[],3,FALSE))</f>
        <v/>
      </c>
      <c r="C561" s="45" t="str">
        <f>IF(Tabla96[[#This Row],[Id]]="","",VLOOKUP(Tabla96[[#This Row],[Id]]+1,TablaEquipos[],4,FALSE))</f>
        <v/>
      </c>
      <c r="D561" s="13" t="str">
        <f>IF(Tabla96[[#This Row],[Id]]="","",COUNTIF(TablaTiempos[Club],Tabla96[[#This Row],[Pos]]))</f>
        <v/>
      </c>
      <c r="E561" s="47" t="str">
        <f>IF(Tabla96[[#This Row],[Id]]="","",Tabla96[[#This Row],[Total Llegados a Meta]]/Tabla96[[#This Row],[Total Inscritos]])</f>
        <v/>
      </c>
      <c r="F56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61" s="43">
        <f ca="1">NOW()-'LOS TIEMPOS'!$K$2</f>
        <v>42368.075526157409</v>
      </c>
    </row>
    <row r="562" spans="1:8" x14ac:dyDescent="0.2">
      <c r="A562" s="13" t="str">
        <f>IF(ROW()-5&lt;=COUNTA(TablaEquipos[Compite]),ROW()-7,"")</f>
        <v/>
      </c>
      <c r="B562" s="10" t="str">
        <f>IF(Tabla96[[#This Row],[Id]]="","",VLOOKUP(Tabla96[[#This Row],[Id]]+1,TablaEquipos[],3,FALSE))</f>
        <v/>
      </c>
      <c r="C562" s="45" t="str">
        <f>IF(Tabla96[[#This Row],[Id]]="","",VLOOKUP(Tabla96[[#This Row],[Id]]+1,TablaEquipos[],4,FALSE))</f>
        <v/>
      </c>
      <c r="D562" s="13" t="str">
        <f>IF(Tabla96[[#This Row],[Id]]="","",COUNTIF(TablaTiempos[Club],Tabla96[[#This Row],[Pos]]))</f>
        <v/>
      </c>
      <c r="E562" s="47" t="str">
        <f>IF(Tabla96[[#This Row],[Id]]="","",Tabla96[[#This Row],[Total Llegados a Meta]]/Tabla96[[#This Row],[Total Inscritos]])</f>
        <v/>
      </c>
      <c r="F56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62" s="43">
        <f ca="1">NOW()-'LOS TIEMPOS'!$K$2</f>
        <v>42368.075526157409</v>
      </c>
    </row>
    <row r="563" spans="1:8" x14ac:dyDescent="0.2">
      <c r="A563" s="13" t="str">
        <f>IF(ROW()-5&lt;=COUNTA(TablaEquipos[Compite]),ROW()-7,"")</f>
        <v/>
      </c>
      <c r="B563" s="10" t="str">
        <f>IF(Tabla96[[#This Row],[Id]]="","",VLOOKUP(Tabla96[[#This Row],[Id]]+1,TablaEquipos[],3,FALSE))</f>
        <v/>
      </c>
      <c r="C563" s="45" t="str">
        <f>IF(Tabla96[[#This Row],[Id]]="","",VLOOKUP(Tabla96[[#This Row],[Id]]+1,TablaEquipos[],4,FALSE))</f>
        <v/>
      </c>
      <c r="D563" s="13" t="str">
        <f>IF(Tabla96[[#This Row],[Id]]="","",COUNTIF(TablaTiempos[Club],Tabla96[[#This Row],[Pos]]))</f>
        <v/>
      </c>
      <c r="E563" s="47" t="str">
        <f>IF(Tabla96[[#This Row],[Id]]="","",Tabla96[[#This Row],[Total Llegados a Meta]]/Tabla96[[#This Row],[Total Inscritos]])</f>
        <v/>
      </c>
      <c r="F56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63" s="43">
        <f ca="1">NOW()-'LOS TIEMPOS'!$K$2</f>
        <v>42368.075526157409</v>
      </c>
    </row>
    <row r="564" spans="1:8" x14ac:dyDescent="0.2">
      <c r="A564" s="13" t="str">
        <f>IF(ROW()-5&lt;=COUNTA(TablaEquipos[Compite]),ROW()-7,"")</f>
        <v/>
      </c>
      <c r="B564" s="10" t="str">
        <f>IF(Tabla96[[#This Row],[Id]]="","",VLOOKUP(Tabla96[[#This Row],[Id]]+1,TablaEquipos[],3,FALSE))</f>
        <v/>
      </c>
      <c r="C564" s="45" t="str">
        <f>IF(Tabla96[[#This Row],[Id]]="","",VLOOKUP(Tabla96[[#This Row],[Id]]+1,TablaEquipos[],4,FALSE))</f>
        <v/>
      </c>
      <c r="D564" s="13" t="str">
        <f>IF(Tabla96[[#This Row],[Id]]="","",COUNTIF(TablaTiempos[Club],Tabla96[[#This Row],[Pos]]))</f>
        <v/>
      </c>
      <c r="E564" s="47" t="str">
        <f>IF(Tabla96[[#This Row],[Id]]="","",Tabla96[[#This Row],[Total Llegados a Meta]]/Tabla96[[#This Row],[Total Inscritos]])</f>
        <v/>
      </c>
      <c r="F56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64" s="43">
        <f ca="1">NOW()-'LOS TIEMPOS'!$K$2</f>
        <v>42368.075526157409</v>
      </c>
    </row>
    <row r="565" spans="1:8" x14ac:dyDescent="0.2">
      <c r="A565" s="13" t="str">
        <f>IF(ROW()-5&lt;=COUNTA(TablaEquipos[Compite]),ROW()-7,"")</f>
        <v/>
      </c>
      <c r="B565" s="10" t="str">
        <f>IF(Tabla96[[#This Row],[Id]]="","",VLOOKUP(Tabla96[[#This Row],[Id]]+1,TablaEquipos[],3,FALSE))</f>
        <v/>
      </c>
      <c r="C565" s="45" t="str">
        <f>IF(Tabla96[[#This Row],[Id]]="","",VLOOKUP(Tabla96[[#This Row],[Id]]+1,TablaEquipos[],4,FALSE))</f>
        <v/>
      </c>
      <c r="D565" s="13" t="str">
        <f>IF(Tabla96[[#This Row],[Id]]="","",COUNTIF(TablaTiempos[Club],Tabla96[[#This Row],[Pos]]))</f>
        <v/>
      </c>
      <c r="E565" s="47" t="str">
        <f>IF(Tabla96[[#This Row],[Id]]="","",Tabla96[[#This Row],[Total Llegados a Meta]]/Tabla96[[#This Row],[Total Inscritos]])</f>
        <v/>
      </c>
      <c r="F56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65" s="43">
        <f ca="1">NOW()-'LOS TIEMPOS'!$K$2</f>
        <v>42368.075526157409</v>
      </c>
    </row>
    <row r="566" spans="1:8" x14ac:dyDescent="0.2">
      <c r="A566" s="13" t="str">
        <f>IF(ROW()-5&lt;=COUNTA(TablaEquipos[Compite]),ROW()-7,"")</f>
        <v/>
      </c>
      <c r="B566" s="10" t="str">
        <f>IF(Tabla96[[#This Row],[Id]]="","",VLOOKUP(Tabla96[[#This Row],[Id]]+1,TablaEquipos[],3,FALSE))</f>
        <v/>
      </c>
      <c r="C566" s="45" t="str">
        <f>IF(Tabla96[[#This Row],[Id]]="","",VLOOKUP(Tabla96[[#This Row],[Id]]+1,TablaEquipos[],4,FALSE))</f>
        <v/>
      </c>
      <c r="D566" s="13" t="str">
        <f>IF(Tabla96[[#This Row],[Id]]="","",COUNTIF(TablaTiempos[Club],Tabla96[[#This Row],[Pos]]))</f>
        <v/>
      </c>
      <c r="E566" s="47" t="str">
        <f>IF(Tabla96[[#This Row],[Id]]="","",Tabla96[[#This Row],[Total Llegados a Meta]]/Tabla96[[#This Row],[Total Inscritos]])</f>
        <v/>
      </c>
      <c r="F56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66" s="43">
        <f ca="1">NOW()-'LOS TIEMPOS'!$K$2</f>
        <v>42368.075526157409</v>
      </c>
    </row>
    <row r="567" spans="1:8" x14ac:dyDescent="0.2">
      <c r="A567" s="13" t="str">
        <f>IF(ROW()-5&lt;=COUNTA(TablaEquipos[Compite]),ROW()-7,"")</f>
        <v/>
      </c>
      <c r="B567" s="10" t="str">
        <f>IF(Tabla96[[#This Row],[Id]]="","",VLOOKUP(Tabla96[[#This Row],[Id]]+1,TablaEquipos[],3,FALSE))</f>
        <v/>
      </c>
      <c r="C567" s="45" t="str">
        <f>IF(Tabla96[[#This Row],[Id]]="","",VLOOKUP(Tabla96[[#This Row],[Id]]+1,TablaEquipos[],4,FALSE))</f>
        <v/>
      </c>
      <c r="D567" s="13" t="str">
        <f>IF(Tabla96[[#This Row],[Id]]="","",COUNTIF(TablaTiempos[Club],Tabla96[[#This Row],[Pos]]))</f>
        <v/>
      </c>
      <c r="E567" s="47" t="str">
        <f>IF(Tabla96[[#This Row],[Id]]="","",Tabla96[[#This Row],[Total Llegados a Meta]]/Tabla96[[#This Row],[Total Inscritos]])</f>
        <v/>
      </c>
      <c r="F56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67" s="43">
        <f ca="1">NOW()-'LOS TIEMPOS'!$K$2</f>
        <v>42368.075526157409</v>
      </c>
    </row>
    <row r="568" spans="1:8" x14ac:dyDescent="0.2">
      <c r="A568" s="13" t="str">
        <f>IF(ROW()-5&lt;=COUNTA(TablaEquipos[Compite]),ROW()-7,"")</f>
        <v/>
      </c>
      <c r="B568" s="10" t="str">
        <f>IF(Tabla96[[#This Row],[Id]]="","",VLOOKUP(Tabla96[[#This Row],[Id]]+1,TablaEquipos[],3,FALSE))</f>
        <v/>
      </c>
      <c r="C568" s="45" t="str">
        <f>IF(Tabla96[[#This Row],[Id]]="","",VLOOKUP(Tabla96[[#This Row],[Id]]+1,TablaEquipos[],4,FALSE))</f>
        <v/>
      </c>
      <c r="D568" s="13" t="str">
        <f>IF(Tabla96[[#This Row],[Id]]="","",COUNTIF(TablaTiempos[Club],Tabla96[[#This Row],[Pos]]))</f>
        <v/>
      </c>
      <c r="E568" s="47" t="str">
        <f>IF(Tabla96[[#This Row],[Id]]="","",Tabla96[[#This Row],[Total Llegados a Meta]]/Tabla96[[#This Row],[Total Inscritos]])</f>
        <v/>
      </c>
      <c r="F56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68" s="43">
        <f ca="1">NOW()-'LOS TIEMPOS'!$K$2</f>
        <v>42368.075526157409</v>
      </c>
    </row>
    <row r="569" spans="1:8" x14ac:dyDescent="0.2">
      <c r="A569" s="13" t="str">
        <f>IF(ROW()-5&lt;=COUNTA(TablaEquipos[Compite]),ROW()-7,"")</f>
        <v/>
      </c>
      <c r="B569" s="10" t="str">
        <f>IF(Tabla96[[#This Row],[Id]]="","",VLOOKUP(Tabla96[[#This Row],[Id]]+1,TablaEquipos[],3,FALSE))</f>
        <v/>
      </c>
      <c r="C569" s="45" t="str">
        <f>IF(Tabla96[[#This Row],[Id]]="","",VLOOKUP(Tabla96[[#This Row],[Id]]+1,TablaEquipos[],4,FALSE))</f>
        <v/>
      </c>
      <c r="D569" s="13" t="str">
        <f>IF(Tabla96[[#This Row],[Id]]="","",COUNTIF(TablaTiempos[Club],Tabla96[[#This Row],[Pos]]))</f>
        <v/>
      </c>
      <c r="E569" s="47" t="str">
        <f>IF(Tabla96[[#This Row],[Id]]="","",Tabla96[[#This Row],[Total Llegados a Meta]]/Tabla96[[#This Row],[Total Inscritos]])</f>
        <v/>
      </c>
      <c r="F56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69" s="43">
        <f ca="1">NOW()-'LOS TIEMPOS'!$K$2</f>
        <v>42368.075526157409</v>
      </c>
    </row>
    <row r="570" spans="1:8" x14ac:dyDescent="0.2">
      <c r="A570" s="13" t="str">
        <f>IF(ROW()-5&lt;=COUNTA(TablaEquipos[Compite]),ROW()-7,"")</f>
        <v/>
      </c>
      <c r="B570" s="10" t="str">
        <f>IF(Tabla96[[#This Row],[Id]]="","",VLOOKUP(Tabla96[[#This Row],[Id]]+1,TablaEquipos[],3,FALSE))</f>
        <v/>
      </c>
      <c r="C570" s="45" t="str">
        <f>IF(Tabla96[[#This Row],[Id]]="","",VLOOKUP(Tabla96[[#This Row],[Id]]+1,TablaEquipos[],4,FALSE))</f>
        <v/>
      </c>
      <c r="D570" s="13" t="str">
        <f>IF(Tabla96[[#This Row],[Id]]="","",COUNTIF(TablaTiempos[Club],Tabla96[[#This Row],[Pos]]))</f>
        <v/>
      </c>
      <c r="E570" s="47" t="str">
        <f>IF(Tabla96[[#This Row],[Id]]="","",Tabla96[[#This Row],[Total Llegados a Meta]]/Tabla96[[#This Row],[Total Inscritos]])</f>
        <v/>
      </c>
      <c r="F57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70" s="43">
        <f ca="1">NOW()-'LOS TIEMPOS'!$K$2</f>
        <v>42368.075526157409</v>
      </c>
    </row>
    <row r="571" spans="1:8" x14ac:dyDescent="0.2">
      <c r="A571" s="13" t="str">
        <f>IF(ROW()-5&lt;=COUNTA(TablaEquipos[Compite]),ROW()-7,"")</f>
        <v/>
      </c>
      <c r="B571" s="10" t="str">
        <f>IF(Tabla96[[#This Row],[Id]]="","",VLOOKUP(Tabla96[[#This Row],[Id]]+1,TablaEquipos[],3,FALSE))</f>
        <v/>
      </c>
      <c r="C571" s="45" t="str">
        <f>IF(Tabla96[[#This Row],[Id]]="","",VLOOKUP(Tabla96[[#This Row],[Id]]+1,TablaEquipos[],4,FALSE))</f>
        <v/>
      </c>
      <c r="D571" s="13" t="str">
        <f>IF(Tabla96[[#This Row],[Id]]="","",COUNTIF(TablaTiempos[Club],Tabla96[[#This Row],[Pos]]))</f>
        <v/>
      </c>
      <c r="E571" s="47" t="str">
        <f>IF(Tabla96[[#This Row],[Id]]="","",Tabla96[[#This Row],[Total Llegados a Meta]]/Tabla96[[#This Row],[Total Inscritos]])</f>
        <v/>
      </c>
      <c r="F57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71" s="43">
        <f ca="1">NOW()-'LOS TIEMPOS'!$K$2</f>
        <v>42368.075526157409</v>
      </c>
    </row>
    <row r="572" spans="1:8" x14ac:dyDescent="0.2">
      <c r="A572" s="13" t="str">
        <f>IF(ROW()-5&lt;=COUNTA(TablaEquipos[Compite]),ROW()-7,"")</f>
        <v/>
      </c>
      <c r="B572" s="10" t="str">
        <f>IF(Tabla96[[#This Row],[Id]]="","",VLOOKUP(Tabla96[[#This Row],[Id]]+1,TablaEquipos[],3,FALSE))</f>
        <v/>
      </c>
      <c r="C572" s="45" t="str">
        <f>IF(Tabla96[[#This Row],[Id]]="","",VLOOKUP(Tabla96[[#This Row],[Id]]+1,TablaEquipos[],4,FALSE))</f>
        <v/>
      </c>
      <c r="D572" s="13" t="str">
        <f>IF(Tabla96[[#This Row],[Id]]="","",COUNTIF(TablaTiempos[Club],Tabla96[[#This Row],[Pos]]))</f>
        <v/>
      </c>
      <c r="E572" s="47" t="str">
        <f>IF(Tabla96[[#This Row],[Id]]="","",Tabla96[[#This Row],[Total Llegados a Meta]]/Tabla96[[#This Row],[Total Inscritos]])</f>
        <v/>
      </c>
      <c r="F57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72" s="43">
        <f ca="1">NOW()-'LOS TIEMPOS'!$K$2</f>
        <v>42368.075526157409</v>
      </c>
    </row>
    <row r="573" spans="1:8" x14ac:dyDescent="0.2">
      <c r="A573" s="13" t="str">
        <f>IF(ROW()-5&lt;=COUNTA(TablaEquipos[Compite]),ROW()-7,"")</f>
        <v/>
      </c>
      <c r="B573" s="10" t="str">
        <f>IF(Tabla96[[#This Row],[Id]]="","",VLOOKUP(Tabla96[[#This Row],[Id]]+1,TablaEquipos[],3,FALSE))</f>
        <v/>
      </c>
      <c r="C573" s="45" t="str">
        <f>IF(Tabla96[[#This Row],[Id]]="","",VLOOKUP(Tabla96[[#This Row],[Id]]+1,TablaEquipos[],4,FALSE))</f>
        <v/>
      </c>
      <c r="D573" s="13" t="str">
        <f>IF(Tabla96[[#This Row],[Id]]="","",COUNTIF(TablaTiempos[Club],Tabla96[[#This Row],[Pos]]))</f>
        <v/>
      </c>
      <c r="E573" s="47" t="str">
        <f>IF(Tabla96[[#This Row],[Id]]="","",Tabla96[[#This Row],[Total Llegados a Meta]]/Tabla96[[#This Row],[Total Inscritos]])</f>
        <v/>
      </c>
      <c r="F57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73" s="43">
        <f ca="1">NOW()-'LOS TIEMPOS'!$K$2</f>
        <v>42368.075526157409</v>
      </c>
    </row>
    <row r="574" spans="1:8" x14ac:dyDescent="0.2">
      <c r="A574" s="13" t="str">
        <f>IF(ROW()-5&lt;=COUNTA(TablaEquipos[Compite]),ROW()-7,"")</f>
        <v/>
      </c>
      <c r="B574" s="10" t="str">
        <f>IF(Tabla96[[#This Row],[Id]]="","",VLOOKUP(Tabla96[[#This Row],[Id]]+1,TablaEquipos[],3,FALSE))</f>
        <v/>
      </c>
      <c r="C574" s="45" t="str">
        <f>IF(Tabla96[[#This Row],[Id]]="","",VLOOKUP(Tabla96[[#This Row],[Id]]+1,TablaEquipos[],4,FALSE))</f>
        <v/>
      </c>
      <c r="D574" s="13" t="str">
        <f>IF(Tabla96[[#This Row],[Id]]="","",COUNTIF(TablaTiempos[Club],Tabla96[[#This Row],[Pos]]))</f>
        <v/>
      </c>
      <c r="E574" s="47" t="str">
        <f>IF(Tabla96[[#This Row],[Id]]="","",Tabla96[[#This Row],[Total Llegados a Meta]]/Tabla96[[#This Row],[Total Inscritos]])</f>
        <v/>
      </c>
      <c r="F57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74" s="43">
        <f ca="1">NOW()-'LOS TIEMPOS'!$K$2</f>
        <v>42368.075526157409</v>
      </c>
    </row>
    <row r="575" spans="1:8" x14ac:dyDescent="0.2">
      <c r="A575" s="13" t="str">
        <f>IF(ROW()-5&lt;=COUNTA(TablaEquipos[Compite]),ROW()-7,"")</f>
        <v/>
      </c>
      <c r="B575" s="10" t="str">
        <f>IF(Tabla96[[#This Row],[Id]]="","",VLOOKUP(Tabla96[[#This Row],[Id]]+1,TablaEquipos[],3,FALSE))</f>
        <v/>
      </c>
      <c r="C575" s="45" t="str">
        <f>IF(Tabla96[[#This Row],[Id]]="","",VLOOKUP(Tabla96[[#This Row],[Id]]+1,TablaEquipos[],4,FALSE))</f>
        <v/>
      </c>
      <c r="D575" s="13" t="str">
        <f>IF(Tabla96[[#This Row],[Id]]="","",COUNTIF(TablaTiempos[Club],Tabla96[[#This Row],[Pos]]))</f>
        <v/>
      </c>
      <c r="E575" s="47" t="str">
        <f>IF(Tabla96[[#This Row],[Id]]="","",Tabla96[[#This Row],[Total Llegados a Meta]]/Tabla96[[#This Row],[Total Inscritos]])</f>
        <v/>
      </c>
      <c r="F57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75" s="43">
        <f ca="1">NOW()-'LOS TIEMPOS'!$K$2</f>
        <v>42368.075526157409</v>
      </c>
    </row>
    <row r="576" spans="1:8" x14ac:dyDescent="0.2">
      <c r="A576" s="13" t="str">
        <f>IF(ROW()-5&lt;=COUNTA(TablaEquipos[Compite]),ROW()-7,"")</f>
        <v/>
      </c>
      <c r="B576" s="10" t="str">
        <f>IF(Tabla96[[#This Row],[Id]]="","",VLOOKUP(Tabla96[[#This Row],[Id]]+1,TablaEquipos[],3,FALSE))</f>
        <v/>
      </c>
      <c r="C576" s="45" t="str">
        <f>IF(Tabla96[[#This Row],[Id]]="","",VLOOKUP(Tabla96[[#This Row],[Id]]+1,TablaEquipos[],4,FALSE))</f>
        <v/>
      </c>
      <c r="D576" s="13" t="str">
        <f>IF(Tabla96[[#This Row],[Id]]="","",COUNTIF(TablaTiempos[Club],Tabla96[[#This Row],[Pos]]))</f>
        <v/>
      </c>
      <c r="E576" s="47" t="str">
        <f>IF(Tabla96[[#This Row],[Id]]="","",Tabla96[[#This Row],[Total Llegados a Meta]]/Tabla96[[#This Row],[Total Inscritos]])</f>
        <v/>
      </c>
      <c r="F57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76" s="43">
        <f ca="1">NOW()-'LOS TIEMPOS'!$K$2</f>
        <v>42368.075526157409</v>
      </c>
    </row>
    <row r="577" spans="1:8" x14ac:dyDescent="0.2">
      <c r="A577" s="13" t="str">
        <f>IF(ROW()-5&lt;=COUNTA(TablaEquipos[Compite]),ROW()-7,"")</f>
        <v/>
      </c>
      <c r="B577" s="10" t="str">
        <f>IF(Tabla96[[#This Row],[Id]]="","",VLOOKUP(Tabla96[[#This Row],[Id]]+1,TablaEquipos[],3,FALSE))</f>
        <v/>
      </c>
      <c r="C577" s="45" t="str">
        <f>IF(Tabla96[[#This Row],[Id]]="","",VLOOKUP(Tabla96[[#This Row],[Id]]+1,TablaEquipos[],4,FALSE))</f>
        <v/>
      </c>
      <c r="D577" s="13" t="str">
        <f>IF(Tabla96[[#This Row],[Id]]="","",COUNTIF(TablaTiempos[Club],Tabla96[[#This Row],[Pos]]))</f>
        <v/>
      </c>
      <c r="E577" s="47" t="str">
        <f>IF(Tabla96[[#This Row],[Id]]="","",Tabla96[[#This Row],[Total Llegados a Meta]]/Tabla96[[#This Row],[Total Inscritos]])</f>
        <v/>
      </c>
      <c r="F57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77" s="43">
        <f ca="1">NOW()-'LOS TIEMPOS'!$K$2</f>
        <v>42368.075526157409</v>
      </c>
    </row>
    <row r="578" spans="1:8" x14ac:dyDescent="0.2">
      <c r="A578" s="13" t="str">
        <f>IF(ROW()-5&lt;=COUNTA(TablaEquipos[Compite]),ROW()-7,"")</f>
        <v/>
      </c>
      <c r="B578" s="10" t="str">
        <f>IF(Tabla96[[#This Row],[Id]]="","",VLOOKUP(Tabla96[[#This Row],[Id]]+1,TablaEquipos[],3,FALSE))</f>
        <v/>
      </c>
      <c r="C578" s="45" t="str">
        <f>IF(Tabla96[[#This Row],[Id]]="","",VLOOKUP(Tabla96[[#This Row],[Id]]+1,TablaEquipos[],4,FALSE))</f>
        <v/>
      </c>
      <c r="D578" s="13" t="str">
        <f>IF(Tabla96[[#This Row],[Id]]="","",COUNTIF(TablaTiempos[Club],Tabla96[[#This Row],[Pos]]))</f>
        <v/>
      </c>
      <c r="E578" s="47" t="str">
        <f>IF(Tabla96[[#This Row],[Id]]="","",Tabla96[[#This Row],[Total Llegados a Meta]]/Tabla96[[#This Row],[Total Inscritos]])</f>
        <v/>
      </c>
      <c r="F57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78" s="43">
        <f ca="1">NOW()-'LOS TIEMPOS'!$K$2</f>
        <v>42368.075526157409</v>
      </c>
    </row>
    <row r="579" spans="1:8" x14ac:dyDescent="0.2">
      <c r="A579" s="13" t="str">
        <f>IF(ROW()-5&lt;=COUNTA(TablaEquipos[Compite]),ROW()-7,"")</f>
        <v/>
      </c>
      <c r="B579" s="10" t="str">
        <f>IF(Tabla96[[#This Row],[Id]]="","",VLOOKUP(Tabla96[[#This Row],[Id]]+1,TablaEquipos[],3,FALSE))</f>
        <v/>
      </c>
      <c r="C579" s="45" t="str">
        <f>IF(Tabla96[[#This Row],[Id]]="","",VLOOKUP(Tabla96[[#This Row],[Id]]+1,TablaEquipos[],4,FALSE))</f>
        <v/>
      </c>
      <c r="D579" s="13" t="str">
        <f>IF(Tabla96[[#This Row],[Id]]="","",COUNTIF(TablaTiempos[Club],Tabla96[[#This Row],[Pos]]))</f>
        <v/>
      </c>
      <c r="E579" s="47" t="str">
        <f>IF(Tabla96[[#This Row],[Id]]="","",Tabla96[[#This Row],[Total Llegados a Meta]]/Tabla96[[#This Row],[Total Inscritos]])</f>
        <v/>
      </c>
      <c r="F57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79" s="43">
        <f ca="1">NOW()-'LOS TIEMPOS'!$K$2</f>
        <v>42368.075526157409</v>
      </c>
    </row>
    <row r="580" spans="1:8" x14ac:dyDescent="0.2">
      <c r="A580" s="13" t="str">
        <f>IF(ROW()-5&lt;=COUNTA(TablaEquipos[Compite]),ROW()-7,"")</f>
        <v/>
      </c>
      <c r="B580" s="10" t="str">
        <f>IF(Tabla96[[#This Row],[Id]]="","",VLOOKUP(Tabla96[[#This Row],[Id]]+1,TablaEquipos[],3,FALSE))</f>
        <v/>
      </c>
      <c r="C580" s="45" t="str">
        <f>IF(Tabla96[[#This Row],[Id]]="","",VLOOKUP(Tabla96[[#This Row],[Id]]+1,TablaEquipos[],4,FALSE))</f>
        <v/>
      </c>
      <c r="D580" s="13" t="str">
        <f>IF(Tabla96[[#This Row],[Id]]="","",COUNTIF(TablaTiempos[Club],Tabla96[[#This Row],[Pos]]))</f>
        <v/>
      </c>
      <c r="E580" s="47" t="str">
        <f>IF(Tabla96[[#This Row],[Id]]="","",Tabla96[[#This Row],[Total Llegados a Meta]]/Tabla96[[#This Row],[Total Inscritos]])</f>
        <v/>
      </c>
      <c r="F58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80" s="43">
        <f ca="1">NOW()-'LOS TIEMPOS'!$K$2</f>
        <v>42368.075526157409</v>
      </c>
    </row>
    <row r="581" spans="1:8" x14ac:dyDescent="0.2">
      <c r="A581" s="13" t="str">
        <f>IF(ROW()-5&lt;=COUNTA(TablaEquipos[Compite]),ROW()-7,"")</f>
        <v/>
      </c>
      <c r="B581" s="10" t="str">
        <f>IF(Tabla96[[#This Row],[Id]]="","",VLOOKUP(Tabla96[[#This Row],[Id]]+1,TablaEquipos[],3,FALSE))</f>
        <v/>
      </c>
      <c r="C581" s="45" t="str">
        <f>IF(Tabla96[[#This Row],[Id]]="","",VLOOKUP(Tabla96[[#This Row],[Id]]+1,TablaEquipos[],4,FALSE))</f>
        <v/>
      </c>
      <c r="D581" s="13" t="str">
        <f>IF(Tabla96[[#This Row],[Id]]="","",COUNTIF(TablaTiempos[Club],Tabla96[[#This Row],[Pos]]))</f>
        <v/>
      </c>
      <c r="E581" s="47" t="str">
        <f>IF(Tabla96[[#This Row],[Id]]="","",Tabla96[[#This Row],[Total Llegados a Meta]]/Tabla96[[#This Row],[Total Inscritos]])</f>
        <v/>
      </c>
      <c r="F58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81" s="43">
        <f ca="1">NOW()-'LOS TIEMPOS'!$K$2</f>
        <v>42368.075526157409</v>
      </c>
    </row>
    <row r="582" spans="1:8" x14ac:dyDescent="0.2">
      <c r="A582" s="13" t="str">
        <f>IF(ROW()-5&lt;=COUNTA(TablaEquipos[Compite]),ROW()-7,"")</f>
        <v/>
      </c>
      <c r="B582" s="10" t="str">
        <f>IF(Tabla96[[#This Row],[Id]]="","",VLOOKUP(Tabla96[[#This Row],[Id]]+1,TablaEquipos[],3,FALSE))</f>
        <v/>
      </c>
      <c r="C582" s="45" t="str">
        <f>IF(Tabla96[[#This Row],[Id]]="","",VLOOKUP(Tabla96[[#This Row],[Id]]+1,TablaEquipos[],4,FALSE))</f>
        <v/>
      </c>
      <c r="D582" s="13" t="str">
        <f>IF(Tabla96[[#This Row],[Id]]="","",COUNTIF(TablaTiempos[Club],Tabla96[[#This Row],[Pos]]))</f>
        <v/>
      </c>
      <c r="E582" s="47" t="str">
        <f>IF(Tabla96[[#This Row],[Id]]="","",Tabla96[[#This Row],[Total Llegados a Meta]]/Tabla96[[#This Row],[Total Inscritos]])</f>
        <v/>
      </c>
      <c r="F58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82" s="43">
        <f ca="1">NOW()-'LOS TIEMPOS'!$K$2</f>
        <v>42368.075526157409</v>
      </c>
    </row>
    <row r="583" spans="1:8" x14ac:dyDescent="0.2">
      <c r="A583" s="13" t="str">
        <f>IF(ROW()-5&lt;=COUNTA(TablaEquipos[Compite]),ROW()-7,"")</f>
        <v/>
      </c>
      <c r="B583" s="10" t="str">
        <f>IF(Tabla96[[#This Row],[Id]]="","",VLOOKUP(Tabla96[[#This Row],[Id]]+1,TablaEquipos[],3,FALSE))</f>
        <v/>
      </c>
      <c r="C583" s="45" t="str">
        <f>IF(Tabla96[[#This Row],[Id]]="","",VLOOKUP(Tabla96[[#This Row],[Id]]+1,TablaEquipos[],4,FALSE))</f>
        <v/>
      </c>
      <c r="D583" s="13" t="str">
        <f>IF(Tabla96[[#This Row],[Id]]="","",COUNTIF(TablaTiempos[Club],Tabla96[[#This Row],[Pos]]))</f>
        <v/>
      </c>
      <c r="E583" s="47" t="str">
        <f>IF(Tabla96[[#This Row],[Id]]="","",Tabla96[[#This Row],[Total Llegados a Meta]]/Tabla96[[#This Row],[Total Inscritos]])</f>
        <v/>
      </c>
      <c r="F58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83" s="43">
        <f ca="1">NOW()-'LOS TIEMPOS'!$K$2</f>
        <v>42368.075526157409</v>
      </c>
    </row>
    <row r="584" spans="1:8" x14ac:dyDescent="0.2">
      <c r="A584" s="13" t="str">
        <f>IF(ROW()-5&lt;=COUNTA(TablaEquipos[Compite]),ROW()-7,"")</f>
        <v/>
      </c>
      <c r="B584" s="10" t="str">
        <f>IF(Tabla96[[#This Row],[Id]]="","",VLOOKUP(Tabla96[[#This Row],[Id]]+1,TablaEquipos[],3,FALSE))</f>
        <v/>
      </c>
      <c r="C584" s="45" t="str">
        <f>IF(Tabla96[[#This Row],[Id]]="","",VLOOKUP(Tabla96[[#This Row],[Id]]+1,TablaEquipos[],4,FALSE))</f>
        <v/>
      </c>
      <c r="D584" s="13" t="str">
        <f>IF(Tabla96[[#This Row],[Id]]="","",COUNTIF(TablaTiempos[Club],Tabla96[[#This Row],[Pos]]))</f>
        <v/>
      </c>
      <c r="E584" s="47" t="str">
        <f>IF(Tabla96[[#This Row],[Id]]="","",Tabla96[[#This Row],[Total Llegados a Meta]]/Tabla96[[#This Row],[Total Inscritos]])</f>
        <v/>
      </c>
      <c r="F58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84" s="43">
        <f ca="1">NOW()-'LOS TIEMPOS'!$K$2</f>
        <v>42368.075526157409</v>
      </c>
    </row>
    <row r="585" spans="1:8" x14ac:dyDescent="0.2">
      <c r="A585" s="13" t="str">
        <f>IF(ROW()-5&lt;=COUNTA(TablaEquipos[Compite]),ROW()-7,"")</f>
        <v/>
      </c>
      <c r="B585" s="10" t="str">
        <f>IF(Tabla96[[#This Row],[Id]]="","",VLOOKUP(Tabla96[[#This Row],[Id]]+1,TablaEquipos[],3,FALSE))</f>
        <v/>
      </c>
      <c r="C585" s="45" t="str">
        <f>IF(Tabla96[[#This Row],[Id]]="","",VLOOKUP(Tabla96[[#This Row],[Id]]+1,TablaEquipos[],4,FALSE))</f>
        <v/>
      </c>
      <c r="D585" s="13" t="str">
        <f>IF(Tabla96[[#This Row],[Id]]="","",COUNTIF(TablaTiempos[Club],Tabla96[[#This Row],[Pos]]))</f>
        <v/>
      </c>
      <c r="E585" s="47" t="str">
        <f>IF(Tabla96[[#This Row],[Id]]="","",Tabla96[[#This Row],[Total Llegados a Meta]]/Tabla96[[#This Row],[Total Inscritos]])</f>
        <v/>
      </c>
      <c r="F58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85" s="43">
        <f ca="1">NOW()-'LOS TIEMPOS'!$K$2</f>
        <v>42368.075526157409</v>
      </c>
    </row>
    <row r="586" spans="1:8" x14ac:dyDescent="0.2">
      <c r="A586" s="13" t="str">
        <f>IF(ROW()-5&lt;=COUNTA(TablaEquipos[Compite]),ROW()-7,"")</f>
        <v/>
      </c>
      <c r="B586" s="10" t="str">
        <f>IF(Tabla96[[#This Row],[Id]]="","",VLOOKUP(Tabla96[[#This Row],[Id]]+1,TablaEquipos[],3,FALSE))</f>
        <v/>
      </c>
      <c r="C586" s="45" t="str">
        <f>IF(Tabla96[[#This Row],[Id]]="","",VLOOKUP(Tabla96[[#This Row],[Id]]+1,TablaEquipos[],4,FALSE))</f>
        <v/>
      </c>
      <c r="D586" s="13" t="str">
        <f>IF(Tabla96[[#This Row],[Id]]="","",COUNTIF(TablaTiempos[Club],Tabla96[[#This Row],[Pos]]))</f>
        <v/>
      </c>
      <c r="E586" s="47" t="str">
        <f>IF(Tabla96[[#This Row],[Id]]="","",Tabla96[[#This Row],[Total Llegados a Meta]]/Tabla96[[#This Row],[Total Inscritos]])</f>
        <v/>
      </c>
      <c r="F58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86" s="43">
        <f ca="1">NOW()-'LOS TIEMPOS'!$K$2</f>
        <v>42368.075526157409</v>
      </c>
    </row>
    <row r="587" spans="1:8" x14ac:dyDescent="0.2">
      <c r="A587" s="13" t="str">
        <f>IF(ROW()-5&lt;=COUNTA(TablaEquipos[Compite]),ROW()-7,"")</f>
        <v/>
      </c>
      <c r="B587" s="10" t="str">
        <f>IF(Tabla96[[#This Row],[Id]]="","",VLOOKUP(Tabla96[[#This Row],[Id]]+1,TablaEquipos[],3,FALSE))</f>
        <v/>
      </c>
      <c r="C587" s="45" t="str">
        <f>IF(Tabla96[[#This Row],[Id]]="","",VLOOKUP(Tabla96[[#This Row],[Id]]+1,TablaEquipos[],4,FALSE))</f>
        <v/>
      </c>
      <c r="D587" s="13" t="str">
        <f>IF(Tabla96[[#This Row],[Id]]="","",COUNTIF(TablaTiempos[Club],Tabla96[[#This Row],[Pos]]))</f>
        <v/>
      </c>
      <c r="E587" s="47" t="str">
        <f>IF(Tabla96[[#This Row],[Id]]="","",Tabla96[[#This Row],[Total Llegados a Meta]]/Tabla96[[#This Row],[Total Inscritos]])</f>
        <v/>
      </c>
      <c r="F58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87" s="43">
        <f ca="1">NOW()-'LOS TIEMPOS'!$K$2</f>
        <v>42368.075526157409</v>
      </c>
    </row>
    <row r="588" spans="1:8" x14ac:dyDescent="0.2">
      <c r="A588" s="13" t="str">
        <f>IF(ROW()-5&lt;=COUNTA(TablaEquipos[Compite]),ROW()-7,"")</f>
        <v/>
      </c>
      <c r="B588" s="10" t="str">
        <f>IF(Tabla96[[#This Row],[Id]]="","",VLOOKUP(Tabla96[[#This Row],[Id]]+1,TablaEquipos[],3,FALSE))</f>
        <v/>
      </c>
      <c r="C588" s="45" t="str">
        <f>IF(Tabla96[[#This Row],[Id]]="","",VLOOKUP(Tabla96[[#This Row],[Id]]+1,TablaEquipos[],4,FALSE))</f>
        <v/>
      </c>
      <c r="D588" s="13" t="str">
        <f>IF(Tabla96[[#This Row],[Id]]="","",COUNTIF(TablaTiempos[Club],Tabla96[[#This Row],[Pos]]))</f>
        <v/>
      </c>
      <c r="E588" s="47" t="str">
        <f>IF(Tabla96[[#This Row],[Id]]="","",Tabla96[[#This Row],[Total Llegados a Meta]]/Tabla96[[#This Row],[Total Inscritos]])</f>
        <v/>
      </c>
      <c r="F58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88" s="43">
        <f ca="1">NOW()-'LOS TIEMPOS'!$K$2</f>
        <v>42368.075526157409</v>
      </c>
    </row>
    <row r="589" spans="1:8" x14ac:dyDescent="0.2">
      <c r="A589" s="13" t="str">
        <f>IF(ROW()-5&lt;=COUNTA(TablaEquipos[Compite]),ROW()-7,"")</f>
        <v/>
      </c>
      <c r="B589" s="10" t="str">
        <f>IF(Tabla96[[#This Row],[Id]]="","",VLOOKUP(Tabla96[[#This Row],[Id]]+1,TablaEquipos[],3,FALSE))</f>
        <v/>
      </c>
      <c r="C589" s="45" t="str">
        <f>IF(Tabla96[[#This Row],[Id]]="","",VLOOKUP(Tabla96[[#This Row],[Id]]+1,TablaEquipos[],4,FALSE))</f>
        <v/>
      </c>
      <c r="D589" s="13" t="str">
        <f>IF(Tabla96[[#This Row],[Id]]="","",COUNTIF(TablaTiempos[Club],Tabla96[[#This Row],[Pos]]))</f>
        <v/>
      </c>
      <c r="E589" s="47" t="str">
        <f>IF(Tabla96[[#This Row],[Id]]="","",Tabla96[[#This Row],[Total Llegados a Meta]]/Tabla96[[#This Row],[Total Inscritos]])</f>
        <v/>
      </c>
      <c r="F58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89" s="43">
        <f ca="1">NOW()-'LOS TIEMPOS'!$K$2</f>
        <v>42368.075526157409</v>
      </c>
    </row>
    <row r="590" spans="1:8" x14ac:dyDescent="0.2">
      <c r="A590" s="13" t="str">
        <f>IF(ROW()-5&lt;=COUNTA(TablaEquipos[Compite]),ROW()-7,"")</f>
        <v/>
      </c>
      <c r="B590" s="10" t="str">
        <f>IF(Tabla96[[#This Row],[Id]]="","",VLOOKUP(Tabla96[[#This Row],[Id]]+1,TablaEquipos[],3,FALSE))</f>
        <v/>
      </c>
      <c r="C590" s="45" t="str">
        <f>IF(Tabla96[[#This Row],[Id]]="","",VLOOKUP(Tabla96[[#This Row],[Id]]+1,TablaEquipos[],4,FALSE))</f>
        <v/>
      </c>
      <c r="D590" s="13" t="str">
        <f>IF(Tabla96[[#This Row],[Id]]="","",COUNTIF(TablaTiempos[Club],Tabla96[[#This Row],[Pos]]))</f>
        <v/>
      </c>
      <c r="E590" s="47" t="str">
        <f>IF(Tabla96[[#This Row],[Id]]="","",Tabla96[[#This Row],[Total Llegados a Meta]]/Tabla96[[#This Row],[Total Inscritos]])</f>
        <v/>
      </c>
      <c r="F59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90" s="43">
        <f ca="1">NOW()-'LOS TIEMPOS'!$K$2</f>
        <v>42368.075526157409</v>
      </c>
    </row>
    <row r="591" spans="1:8" x14ac:dyDescent="0.2">
      <c r="A591" s="13" t="str">
        <f>IF(ROW()-5&lt;=COUNTA(TablaEquipos[Compite]),ROW()-7,"")</f>
        <v/>
      </c>
      <c r="B591" s="10" t="str">
        <f>IF(Tabla96[[#This Row],[Id]]="","",VLOOKUP(Tabla96[[#This Row],[Id]]+1,TablaEquipos[],3,FALSE))</f>
        <v/>
      </c>
      <c r="C591" s="45" t="str">
        <f>IF(Tabla96[[#This Row],[Id]]="","",VLOOKUP(Tabla96[[#This Row],[Id]]+1,TablaEquipos[],4,FALSE))</f>
        <v/>
      </c>
      <c r="D591" s="13" t="str">
        <f>IF(Tabla96[[#This Row],[Id]]="","",COUNTIF(TablaTiempos[Club],Tabla96[[#This Row],[Pos]]))</f>
        <v/>
      </c>
      <c r="E591" s="47" t="str">
        <f>IF(Tabla96[[#This Row],[Id]]="","",Tabla96[[#This Row],[Total Llegados a Meta]]/Tabla96[[#This Row],[Total Inscritos]])</f>
        <v/>
      </c>
      <c r="F59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91" s="43">
        <f ca="1">NOW()-'LOS TIEMPOS'!$K$2</f>
        <v>42368.075526157409</v>
      </c>
    </row>
    <row r="592" spans="1:8" x14ac:dyDescent="0.2">
      <c r="A592" s="13" t="str">
        <f>IF(ROW()-5&lt;=COUNTA(TablaEquipos[Compite]),ROW()-7,"")</f>
        <v/>
      </c>
      <c r="B592" s="10" t="str">
        <f>IF(Tabla96[[#This Row],[Id]]="","",VLOOKUP(Tabla96[[#This Row],[Id]]+1,TablaEquipos[],3,FALSE))</f>
        <v/>
      </c>
      <c r="C592" s="45" t="str">
        <f>IF(Tabla96[[#This Row],[Id]]="","",VLOOKUP(Tabla96[[#This Row],[Id]]+1,TablaEquipos[],4,FALSE))</f>
        <v/>
      </c>
      <c r="D592" s="13" t="str">
        <f>IF(Tabla96[[#This Row],[Id]]="","",COUNTIF(TablaTiempos[Club],Tabla96[[#This Row],[Pos]]))</f>
        <v/>
      </c>
      <c r="E592" s="47" t="str">
        <f>IF(Tabla96[[#This Row],[Id]]="","",Tabla96[[#This Row],[Total Llegados a Meta]]/Tabla96[[#This Row],[Total Inscritos]])</f>
        <v/>
      </c>
      <c r="F59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92" s="43">
        <f ca="1">NOW()-'LOS TIEMPOS'!$K$2</f>
        <v>42368.075526157409</v>
      </c>
    </row>
    <row r="593" spans="1:8" x14ac:dyDescent="0.2">
      <c r="A593" s="13" t="str">
        <f>IF(ROW()-5&lt;=COUNTA(TablaEquipos[Compite]),ROW()-7,"")</f>
        <v/>
      </c>
      <c r="B593" s="10" t="str">
        <f>IF(Tabla96[[#This Row],[Id]]="","",VLOOKUP(Tabla96[[#This Row],[Id]]+1,TablaEquipos[],3,FALSE))</f>
        <v/>
      </c>
      <c r="C593" s="45" t="str">
        <f>IF(Tabla96[[#This Row],[Id]]="","",VLOOKUP(Tabla96[[#This Row],[Id]]+1,TablaEquipos[],4,FALSE))</f>
        <v/>
      </c>
      <c r="D593" s="13" t="str">
        <f>IF(Tabla96[[#This Row],[Id]]="","",COUNTIF(TablaTiempos[Club],Tabla96[[#This Row],[Pos]]))</f>
        <v/>
      </c>
      <c r="E593" s="47" t="str">
        <f>IF(Tabla96[[#This Row],[Id]]="","",Tabla96[[#This Row],[Total Llegados a Meta]]/Tabla96[[#This Row],[Total Inscritos]])</f>
        <v/>
      </c>
      <c r="F59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93" s="43">
        <f ca="1">NOW()-'LOS TIEMPOS'!$K$2</f>
        <v>42368.075526157409</v>
      </c>
    </row>
    <row r="594" spans="1:8" x14ac:dyDescent="0.2">
      <c r="A594" s="13" t="str">
        <f>IF(ROW()-5&lt;=COUNTA(TablaEquipos[Compite]),ROW()-7,"")</f>
        <v/>
      </c>
      <c r="B594" s="10" t="str">
        <f>IF(Tabla96[[#This Row],[Id]]="","",VLOOKUP(Tabla96[[#This Row],[Id]]+1,TablaEquipos[],3,FALSE))</f>
        <v/>
      </c>
      <c r="C594" s="45" t="str">
        <f>IF(Tabla96[[#This Row],[Id]]="","",VLOOKUP(Tabla96[[#This Row],[Id]]+1,TablaEquipos[],4,FALSE))</f>
        <v/>
      </c>
      <c r="D594" s="13" t="str">
        <f>IF(Tabla96[[#This Row],[Id]]="","",COUNTIF(TablaTiempos[Club],Tabla96[[#This Row],[Pos]]))</f>
        <v/>
      </c>
      <c r="E594" s="47" t="str">
        <f>IF(Tabla96[[#This Row],[Id]]="","",Tabla96[[#This Row],[Total Llegados a Meta]]/Tabla96[[#This Row],[Total Inscritos]])</f>
        <v/>
      </c>
      <c r="F59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94" s="43">
        <f ca="1">NOW()-'LOS TIEMPOS'!$K$2</f>
        <v>42368.075526157409</v>
      </c>
    </row>
    <row r="595" spans="1:8" x14ac:dyDescent="0.2">
      <c r="A595" s="13" t="str">
        <f>IF(ROW()-5&lt;=COUNTA(TablaEquipos[Compite]),ROW()-7,"")</f>
        <v/>
      </c>
      <c r="B595" s="10" t="str">
        <f>IF(Tabla96[[#This Row],[Id]]="","",VLOOKUP(Tabla96[[#This Row],[Id]]+1,TablaEquipos[],3,FALSE))</f>
        <v/>
      </c>
      <c r="C595" s="45" t="str">
        <f>IF(Tabla96[[#This Row],[Id]]="","",VLOOKUP(Tabla96[[#This Row],[Id]]+1,TablaEquipos[],4,FALSE))</f>
        <v/>
      </c>
      <c r="D595" s="13" t="str">
        <f>IF(Tabla96[[#This Row],[Id]]="","",COUNTIF(TablaTiempos[Club],Tabla96[[#This Row],[Pos]]))</f>
        <v/>
      </c>
      <c r="E595" s="47" t="str">
        <f>IF(Tabla96[[#This Row],[Id]]="","",Tabla96[[#This Row],[Total Llegados a Meta]]/Tabla96[[#This Row],[Total Inscritos]])</f>
        <v/>
      </c>
      <c r="F59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95" s="43">
        <f ca="1">NOW()-'LOS TIEMPOS'!$K$2</f>
        <v>42368.075526157409</v>
      </c>
    </row>
    <row r="596" spans="1:8" x14ac:dyDescent="0.2">
      <c r="A596" s="13" t="str">
        <f>IF(ROW()-5&lt;=COUNTA(TablaEquipos[Compite]),ROW()-7,"")</f>
        <v/>
      </c>
      <c r="B596" s="10" t="str">
        <f>IF(Tabla96[[#This Row],[Id]]="","",VLOOKUP(Tabla96[[#This Row],[Id]]+1,TablaEquipos[],3,FALSE))</f>
        <v/>
      </c>
      <c r="C596" s="45" t="str">
        <f>IF(Tabla96[[#This Row],[Id]]="","",VLOOKUP(Tabla96[[#This Row],[Id]]+1,TablaEquipos[],4,FALSE))</f>
        <v/>
      </c>
      <c r="D596" s="13" t="str">
        <f>IF(Tabla96[[#This Row],[Id]]="","",COUNTIF(TablaTiempos[Club],Tabla96[[#This Row],[Pos]]))</f>
        <v/>
      </c>
      <c r="E596" s="47" t="str">
        <f>IF(Tabla96[[#This Row],[Id]]="","",Tabla96[[#This Row],[Total Llegados a Meta]]/Tabla96[[#This Row],[Total Inscritos]])</f>
        <v/>
      </c>
      <c r="F59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96" s="43">
        <f ca="1">NOW()-'LOS TIEMPOS'!$K$2</f>
        <v>42368.075526157409</v>
      </c>
    </row>
    <row r="597" spans="1:8" x14ac:dyDescent="0.2">
      <c r="A597" s="13" t="str">
        <f>IF(ROW()-5&lt;=COUNTA(TablaEquipos[Compite]),ROW()-7,"")</f>
        <v/>
      </c>
      <c r="B597" s="10" t="str">
        <f>IF(Tabla96[[#This Row],[Id]]="","",VLOOKUP(Tabla96[[#This Row],[Id]]+1,TablaEquipos[],3,FALSE))</f>
        <v/>
      </c>
      <c r="C597" s="45" t="str">
        <f>IF(Tabla96[[#This Row],[Id]]="","",VLOOKUP(Tabla96[[#This Row],[Id]]+1,TablaEquipos[],4,FALSE))</f>
        <v/>
      </c>
      <c r="D597" s="13" t="str">
        <f>IF(Tabla96[[#This Row],[Id]]="","",COUNTIF(TablaTiempos[Club],Tabla96[[#This Row],[Pos]]))</f>
        <v/>
      </c>
      <c r="E597" s="47" t="str">
        <f>IF(Tabla96[[#This Row],[Id]]="","",Tabla96[[#This Row],[Total Llegados a Meta]]/Tabla96[[#This Row],[Total Inscritos]])</f>
        <v/>
      </c>
      <c r="F59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97" s="43">
        <f ca="1">NOW()-'LOS TIEMPOS'!$K$2</f>
        <v>42368.075526157409</v>
      </c>
    </row>
    <row r="598" spans="1:8" x14ac:dyDescent="0.2">
      <c r="A598" s="13" t="str">
        <f>IF(ROW()-5&lt;=COUNTA(TablaEquipos[Compite]),ROW()-7,"")</f>
        <v/>
      </c>
      <c r="B598" s="10" t="str">
        <f>IF(Tabla96[[#This Row],[Id]]="","",VLOOKUP(Tabla96[[#This Row],[Id]]+1,TablaEquipos[],3,FALSE))</f>
        <v/>
      </c>
      <c r="C598" s="45" t="str">
        <f>IF(Tabla96[[#This Row],[Id]]="","",VLOOKUP(Tabla96[[#This Row],[Id]]+1,TablaEquipos[],4,FALSE))</f>
        <v/>
      </c>
      <c r="D598" s="13" t="str">
        <f>IF(Tabla96[[#This Row],[Id]]="","",COUNTIF(TablaTiempos[Club],Tabla96[[#This Row],[Pos]]))</f>
        <v/>
      </c>
      <c r="E598" s="47" t="str">
        <f>IF(Tabla96[[#This Row],[Id]]="","",Tabla96[[#This Row],[Total Llegados a Meta]]/Tabla96[[#This Row],[Total Inscritos]])</f>
        <v/>
      </c>
      <c r="F59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98" s="43">
        <f ca="1">NOW()-'LOS TIEMPOS'!$K$2</f>
        <v>42368.075526157409</v>
      </c>
    </row>
    <row r="599" spans="1:8" x14ac:dyDescent="0.2">
      <c r="A599" s="13" t="str">
        <f>IF(ROW()-5&lt;=COUNTA(TablaEquipos[Compite]),ROW()-7,"")</f>
        <v/>
      </c>
      <c r="B599" s="10" t="str">
        <f>IF(Tabla96[[#This Row],[Id]]="","",VLOOKUP(Tabla96[[#This Row],[Id]]+1,TablaEquipos[],3,FALSE))</f>
        <v/>
      </c>
      <c r="C599" s="45" t="str">
        <f>IF(Tabla96[[#This Row],[Id]]="","",VLOOKUP(Tabla96[[#This Row],[Id]]+1,TablaEquipos[],4,FALSE))</f>
        <v/>
      </c>
      <c r="D599" s="13" t="str">
        <f>IF(Tabla96[[#This Row],[Id]]="","",COUNTIF(TablaTiempos[Club],Tabla96[[#This Row],[Pos]]))</f>
        <v/>
      </c>
      <c r="E599" s="47" t="str">
        <f>IF(Tabla96[[#This Row],[Id]]="","",Tabla96[[#This Row],[Total Llegados a Meta]]/Tabla96[[#This Row],[Total Inscritos]])</f>
        <v/>
      </c>
      <c r="F59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599" s="43">
        <f ca="1">NOW()-'LOS TIEMPOS'!$K$2</f>
        <v>42368.075526157409</v>
      </c>
    </row>
    <row r="600" spans="1:8" x14ac:dyDescent="0.2">
      <c r="A600" s="13" t="str">
        <f>IF(ROW()-5&lt;=COUNTA(TablaEquipos[Compite]),ROW()-7,"")</f>
        <v/>
      </c>
      <c r="B600" s="10" t="str">
        <f>IF(Tabla96[[#This Row],[Id]]="","",VLOOKUP(Tabla96[[#This Row],[Id]]+1,TablaEquipos[],3,FALSE))</f>
        <v/>
      </c>
      <c r="C600" s="45" t="str">
        <f>IF(Tabla96[[#This Row],[Id]]="","",VLOOKUP(Tabla96[[#This Row],[Id]]+1,TablaEquipos[],4,FALSE))</f>
        <v/>
      </c>
      <c r="D600" s="13" t="str">
        <f>IF(Tabla96[[#This Row],[Id]]="","",COUNTIF(TablaTiempos[Club],Tabla96[[#This Row],[Pos]]))</f>
        <v/>
      </c>
      <c r="E600" s="47" t="str">
        <f>IF(Tabla96[[#This Row],[Id]]="","",Tabla96[[#This Row],[Total Llegados a Meta]]/Tabla96[[#This Row],[Total Inscritos]])</f>
        <v/>
      </c>
      <c r="F60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00" s="43">
        <f ca="1">NOW()-'LOS TIEMPOS'!$K$2</f>
        <v>42368.075526157409</v>
      </c>
    </row>
    <row r="601" spans="1:8" x14ac:dyDescent="0.2">
      <c r="A601" s="13" t="str">
        <f>IF(ROW()-5&lt;=COUNTA(TablaEquipos[Compite]),ROW()-7,"")</f>
        <v/>
      </c>
      <c r="B601" s="10" t="str">
        <f>IF(Tabla96[[#This Row],[Id]]="","",VLOOKUP(Tabla96[[#This Row],[Id]]+1,TablaEquipos[],3,FALSE))</f>
        <v/>
      </c>
      <c r="C601" s="45" t="str">
        <f>IF(Tabla96[[#This Row],[Id]]="","",VLOOKUP(Tabla96[[#This Row],[Id]]+1,TablaEquipos[],4,FALSE))</f>
        <v/>
      </c>
      <c r="D601" s="13" t="str">
        <f>IF(Tabla96[[#This Row],[Id]]="","",COUNTIF(TablaTiempos[Club],Tabla96[[#This Row],[Pos]]))</f>
        <v/>
      </c>
      <c r="E601" s="47" t="str">
        <f>IF(Tabla96[[#This Row],[Id]]="","",Tabla96[[#This Row],[Total Llegados a Meta]]/Tabla96[[#This Row],[Total Inscritos]])</f>
        <v/>
      </c>
      <c r="F60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01" s="43">
        <f ca="1">NOW()-'LOS TIEMPOS'!$K$2</f>
        <v>42368.075526157409</v>
      </c>
    </row>
    <row r="602" spans="1:8" x14ac:dyDescent="0.2">
      <c r="A602" s="13" t="str">
        <f>IF(ROW()-5&lt;=COUNTA(TablaEquipos[Compite]),ROW()-7,"")</f>
        <v/>
      </c>
      <c r="B602" s="10" t="str">
        <f>IF(Tabla96[[#This Row],[Id]]="","",VLOOKUP(Tabla96[[#This Row],[Id]]+1,TablaEquipos[],3,FALSE))</f>
        <v/>
      </c>
      <c r="C602" s="45" t="str">
        <f>IF(Tabla96[[#This Row],[Id]]="","",VLOOKUP(Tabla96[[#This Row],[Id]]+1,TablaEquipos[],4,FALSE))</f>
        <v/>
      </c>
      <c r="D602" s="13" t="str">
        <f>IF(Tabla96[[#This Row],[Id]]="","",COUNTIF(TablaTiempos[Club],Tabla96[[#This Row],[Pos]]))</f>
        <v/>
      </c>
      <c r="E602" s="47" t="str">
        <f>IF(Tabla96[[#This Row],[Id]]="","",Tabla96[[#This Row],[Total Llegados a Meta]]/Tabla96[[#This Row],[Total Inscritos]])</f>
        <v/>
      </c>
      <c r="F60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02" s="43">
        <f ca="1">NOW()-'LOS TIEMPOS'!$K$2</f>
        <v>42368.075526157409</v>
      </c>
    </row>
    <row r="603" spans="1:8" x14ac:dyDescent="0.2">
      <c r="A603" s="13" t="str">
        <f>IF(ROW()-5&lt;=COUNTA(TablaEquipos[Compite]),ROW()-7,"")</f>
        <v/>
      </c>
      <c r="B603" s="10" t="str">
        <f>IF(Tabla96[[#This Row],[Id]]="","",VLOOKUP(Tabla96[[#This Row],[Id]]+1,TablaEquipos[],3,FALSE))</f>
        <v/>
      </c>
      <c r="C603" s="45" t="str">
        <f>IF(Tabla96[[#This Row],[Id]]="","",VLOOKUP(Tabla96[[#This Row],[Id]]+1,TablaEquipos[],4,FALSE))</f>
        <v/>
      </c>
      <c r="D603" s="13" t="str">
        <f>IF(Tabla96[[#This Row],[Id]]="","",COUNTIF(TablaTiempos[Club],Tabla96[[#This Row],[Pos]]))</f>
        <v/>
      </c>
      <c r="E603" s="47" t="str">
        <f>IF(Tabla96[[#This Row],[Id]]="","",Tabla96[[#This Row],[Total Llegados a Meta]]/Tabla96[[#This Row],[Total Inscritos]])</f>
        <v/>
      </c>
      <c r="F60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03" s="43">
        <f ca="1">NOW()-'LOS TIEMPOS'!$K$2</f>
        <v>42368.075526157409</v>
      </c>
    </row>
    <row r="604" spans="1:8" x14ac:dyDescent="0.2">
      <c r="A604" s="13" t="str">
        <f>IF(ROW()-5&lt;=COUNTA(TablaEquipos[Compite]),ROW()-7,"")</f>
        <v/>
      </c>
      <c r="B604" s="10" t="str">
        <f>IF(Tabla96[[#This Row],[Id]]="","",VLOOKUP(Tabla96[[#This Row],[Id]]+1,TablaEquipos[],3,FALSE))</f>
        <v/>
      </c>
      <c r="C604" s="45" t="str">
        <f>IF(Tabla96[[#This Row],[Id]]="","",VLOOKUP(Tabla96[[#This Row],[Id]]+1,TablaEquipos[],4,FALSE))</f>
        <v/>
      </c>
      <c r="D604" s="13" t="str">
        <f>IF(Tabla96[[#This Row],[Id]]="","",COUNTIF(TablaTiempos[Club],Tabla96[[#This Row],[Pos]]))</f>
        <v/>
      </c>
      <c r="E604" s="47" t="str">
        <f>IF(Tabla96[[#This Row],[Id]]="","",Tabla96[[#This Row],[Total Llegados a Meta]]/Tabla96[[#This Row],[Total Inscritos]])</f>
        <v/>
      </c>
      <c r="F60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04" s="43">
        <f ca="1">NOW()-'LOS TIEMPOS'!$K$2</f>
        <v>42368.075526157409</v>
      </c>
    </row>
    <row r="605" spans="1:8" x14ac:dyDescent="0.2">
      <c r="A605" s="13" t="str">
        <f>IF(ROW()-5&lt;=COUNTA(TablaEquipos[Compite]),ROW()-7,"")</f>
        <v/>
      </c>
      <c r="B605" s="10" t="str">
        <f>IF(Tabla96[[#This Row],[Id]]="","",VLOOKUP(Tabla96[[#This Row],[Id]]+1,TablaEquipos[],3,FALSE))</f>
        <v/>
      </c>
      <c r="C605" s="45" t="str">
        <f>IF(Tabla96[[#This Row],[Id]]="","",VLOOKUP(Tabla96[[#This Row],[Id]]+1,TablaEquipos[],4,FALSE))</f>
        <v/>
      </c>
      <c r="D605" s="13" t="str">
        <f>IF(Tabla96[[#This Row],[Id]]="","",COUNTIF(TablaTiempos[Club],Tabla96[[#This Row],[Pos]]))</f>
        <v/>
      </c>
      <c r="E605" s="47" t="str">
        <f>IF(Tabla96[[#This Row],[Id]]="","",Tabla96[[#This Row],[Total Llegados a Meta]]/Tabla96[[#This Row],[Total Inscritos]])</f>
        <v/>
      </c>
      <c r="F60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05" s="43">
        <f ca="1">NOW()-'LOS TIEMPOS'!$K$2</f>
        <v>42368.075526157409</v>
      </c>
    </row>
    <row r="606" spans="1:8" x14ac:dyDescent="0.2">
      <c r="A606" s="13" t="str">
        <f>IF(ROW()-5&lt;=COUNTA(TablaEquipos[Compite]),ROW()-7,"")</f>
        <v/>
      </c>
      <c r="B606" s="10" t="str">
        <f>IF(Tabla96[[#This Row],[Id]]="","",VLOOKUP(Tabla96[[#This Row],[Id]]+1,TablaEquipos[],3,FALSE))</f>
        <v/>
      </c>
      <c r="C606" s="45" t="str">
        <f>IF(Tabla96[[#This Row],[Id]]="","",VLOOKUP(Tabla96[[#This Row],[Id]]+1,TablaEquipos[],4,FALSE))</f>
        <v/>
      </c>
      <c r="D606" s="13" t="str">
        <f>IF(Tabla96[[#This Row],[Id]]="","",COUNTIF(TablaTiempos[Club],Tabla96[[#This Row],[Pos]]))</f>
        <v/>
      </c>
      <c r="E606" s="47" t="str">
        <f>IF(Tabla96[[#This Row],[Id]]="","",Tabla96[[#This Row],[Total Llegados a Meta]]/Tabla96[[#This Row],[Total Inscritos]])</f>
        <v/>
      </c>
      <c r="F60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06" s="43">
        <f ca="1">NOW()-'LOS TIEMPOS'!$K$2</f>
        <v>42368.075526157409</v>
      </c>
    </row>
    <row r="607" spans="1:8" x14ac:dyDescent="0.2">
      <c r="A607" s="13" t="str">
        <f>IF(ROW()-5&lt;=COUNTA(TablaEquipos[Compite]),ROW()-7,"")</f>
        <v/>
      </c>
      <c r="B607" s="10" t="str">
        <f>IF(Tabla96[[#This Row],[Id]]="","",VLOOKUP(Tabla96[[#This Row],[Id]]+1,TablaEquipos[],3,FALSE))</f>
        <v/>
      </c>
      <c r="C607" s="45" t="str">
        <f>IF(Tabla96[[#This Row],[Id]]="","",VLOOKUP(Tabla96[[#This Row],[Id]]+1,TablaEquipos[],4,FALSE))</f>
        <v/>
      </c>
      <c r="D607" s="13" t="str">
        <f>IF(Tabla96[[#This Row],[Id]]="","",COUNTIF(TablaTiempos[Club],Tabla96[[#This Row],[Pos]]))</f>
        <v/>
      </c>
      <c r="E607" s="47" t="str">
        <f>IF(Tabla96[[#This Row],[Id]]="","",Tabla96[[#This Row],[Total Llegados a Meta]]/Tabla96[[#This Row],[Total Inscritos]])</f>
        <v/>
      </c>
      <c r="F60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07" s="43">
        <f ca="1">NOW()-'LOS TIEMPOS'!$K$2</f>
        <v>42368.075526157409</v>
      </c>
    </row>
    <row r="608" spans="1:8" x14ac:dyDescent="0.2">
      <c r="A608" s="13" t="str">
        <f>IF(ROW()-5&lt;=COUNTA(TablaEquipos[Compite]),ROW()-7,"")</f>
        <v/>
      </c>
      <c r="B608" s="10" t="str">
        <f>IF(Tabla96[[#This Row],[Id]]="","",VLOOKUP(Tabla96[[#This Row],[Id]]+1,TablaEquipos[],3,FALSE))</f>
        <v/>
      </c>
      <c r="C608" s="45" t="str">
        <f>IF(Tabla96[[#This Row],[Id]]="","",VLOOKUP(Tabla96[[#This Row],[Id]]+1,TablaEquipos[],4,FALSE))</f>
        <v/>
      </c>
      <c r="D608" s="13" t="str">
        <f>IF(Tabla96[[#This Row],[Id]]="","",COUNTIF(TablaTiempos[Club],Tabla96[[#This Row],[Pos]]))</f>
        <v/>
      </c>
      <c r="E608" s="47" t="str">
        <f>IF(Tabla96[[#This Row],[Id]]="","",Tabla96[[#This Row],[Total Llegados a Meta]]/Tabla96[[#This Row],[Total Inscritos]])</f>
        <v/>
      </c>
      <c r="F60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08" s="43">
        <f ca="1">NOW()-'LOS TIEMPOS'!$K$2</f>
        <v>42368.075526157409</v>
      </c>
    </row>
    <row r="609" spans="1:8" x14ac:dyDescent="0.2">
      <c r="A609" s="13" t="str">
        <f>IF(ROW()-5&lt;=COUNTA(TablaEquipos[Compite]),ROW()-7,"")</f>
        <v/>
      </c>
      <c r="B609" s="10" t="str">
        <f>IF(Tabla96[[#This Row],[Id]]="","",VLOOKUP(Tabla96[[#This Row],[Id]]+1,TablaEquipos[],3,FALSE))</f>
        <v/>
      </c>
      <c r="C609" s="45" t="str">
        <f>IF(Tabla96[[#This Row],[Id]]="","",VLOOKUP(Tabla96[[#This Row],[Id]]+1,TablaEquipos[],4,FALSE))</f>
        <v/>
      </c>
      <c r="D609" s="13" t="str">
        <f>IF(Tabla96[[#This Row],[Id]]="","",COUNTIF(TablaTiempos[Club],Tabla96[[#This Row],[Pos]]))</f>
        <v/>
      </c>
      <c r="E609" s="47" t="str">
        <f>IF(Tabla96[[#This Row],[Id]]="","",Tabla96[[#This Row],[Total Llegados a Meta]]/Tabla96[[#This Row],[Total Inscritos]])</f>
        <v/>
      </c>
      <c r="F60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09" s="43">
        <f ca="1">NOW()-'LOS TIEMPOS'!$K$2</f>
        <v>42368.075526157409</v>
      </c>
    </row>
    <row r="610" spans="1:8" x14ac:dyDescent="0.2">
      <c r="A610" s="13" t="str">
        <f>IF(ROW()-5&lt;=COUNTA(TablaEquipos[Compite]),ROW()-7,"")</f>
        <v/>
      </c>
      <c r="B610" s="10" t="str">
        <f>IF(Tabla96[[#This Row],[Id]]="","",VLOOKUP(Tabla96[[#This Row],[Id]]+1,TablaEquipos[],3,FALSE))</f>
        <v/>
      </c>
      <c r="C610" s="45" t="str">
        <f>IF(Tabla96[[#This Row],[Id]]="","",VLOOKUP(Tabla96[[#This Row],[Id]]+1,TablaEquipos[],4,FALSE))</f>
        <v/>
      </c>
      <c r="D610" s="13" t="str">
        <f>IF(Tabla96[[#This Row],[Id]]="","",COUNTIF(TablaTiempos[Club],Tabla96[[#This Row],[Pos]]))</f>
        <v/>
      </c>
      <c r="E610" s="47" t="str">
        <f>IF(Tabla96[[#This Row],[Id]]="","",Tabla96[[#This Row],[Total Llegados a Meta]]/Tabla96[[#This Row],[Total Inscritos]])</f>
        <v/>
      </c>
      <c r="F61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10" s="43">
        <f ca="1">NOW()-'LOS TIEMPOS'!$K$2</f>
        <v>42368.075526157409</v>
      </c>
    </row>
    <row r="611" spans="1:8" x14ac:dyDescent="0.2">
      <c r="A611" s="13" t="str">
        <f>IF(ROW()-5&lt;=COUNTA(TablaEquipos[Compite]),ROW()-7,"")</f>
        <v/>
      </c>
      <c r="B611" s="10" t="str">
        <f>IF(Tabla96[[#This Row],[Id]]="","",VLOOKUP(Tabla96[[#This Row],[Id]]+1,TablaEquipos[],3,FALSE))</f>
        <v/>
      </c>
      <c r="C611" s="45" t="str">
        <f>IF(Tabla96[[#This Row],[Id]]="","",VLOOKUP(Tabla96[[#This Row],[Id]]+1,TablaEquipos[],4,FALSE))</f>
        <v/>
      </c>
      <c r="D611" s="13" t="str">
        <f>IF(Tabla96[[#This Row],[Id]]="","",COUNTIF(TablaTiempos[Club],Tabla96[[#This Row],[Pos]]))</f>
        <v/>
      </c>
      <c r="E611" s="47" t="str">
        <f>IF(Tabla96[[#This Row],[Id]]="","",Tabla96[[#This Row],[Total Llegados a Meta]]/Tabla96[[#This Row],[Total Inscritos]])</f>
        <v/>
      </c>
      <c r="F61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11" s="43">
        <f ca="1">NOW()-'LOS TIEMPOS'!$K$2</f>
        <v>42368.075526157409</v>
      </c>
    </row>
    <row r="612" spans="1:8" x14ac:dyDescent="0.2">
      <c r="A612" s="13" t="str">
        <f>IF(ROW()-5&lt;=COUNTA(TablaEquipos[Compite]),ROW()-7,"")</f>
        <v/>
      </c>
      <c r="B612" s="10" t="str">
        <f>IF(Tabla96[[#This Row],[Id]]="","",VLOOKUP(Tabla96[[#This Row],[Id]]+1,TablaEquipos[],3,FALSE))</f>
        <v/>
      </c>
      <c r="C612" s="45" t="str">
        <f>IF(Tabla96[[#This Row],[Id]]="","",VLOOKUP(Tabla96[[#This Row],[Id]]+1,TablaEquipos[],4,FALSE))</f>
        <v/>
      </c>
      <c r="D612" s="13" t="str">
        <f>IF(Tabla96[[#This Row],[Id]]="","",COUNTIF(TablaTiempos[Club],Tabla96[[#This Row],[Pos]]))</f>
        <v/>
      </c>
      <c r="E612" s="47" t="str">
        <f>IF(Tabla96[[#This Row],[Id]]="","",Tabla96[[#This Row],[Total Llegados a Meta]]/Tabla96[[#This Row],[Total Inscritos]])</f>
        <v/>
      </c>
      <c r="F61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12" s="43">
        <f ca="1">NOW()-'LOS TIEMPOS'!$K$2</f>
        <v>42368.075526157409</v>
      </c>
    </row>
    <row r="613" spans="1:8" x14ac:dyDescent="0.2">
      <c r="A613" s="13" t="str">
        <f>IF(ROW()-5&lt;=COUNTA(TablaEquipos[Compite]),ROW()-7,"")</f>
        <v/>
      </c>
      <c r="B613" s="10" t="str">
        <f>IF(Tabla96[[#This Row],[Id]]="","",VLOOKUP(Tabla96[[#This Row],[Id]]+1,TablaEquipos[],3,FALSE))</f>
        <v/>
      </c>
      <c r="C613" s="45" t="str">
        <f>IF(Tabla96[[#This Row],[Id]]="","",VLOOKUP(Tabla96[[#This Row],[Id]]+1,TablaEquipos[],4,FALSE))</f>
        <v/>
      </c>
      <c r="D613" s="13" t="str">
        <f>IF(Tabla96[[#This Row],[Id]]="","",COUNTIF(TablaTiempos[Club],Tabla96[[#This Row],[Pos]]))</f>
        <v/>
      </c>
      <c r="E613" s="47" t="str">
        <f>IF(Tabla96[[#This Row],[Id]]="","",Tabla96[[#This Row],[Total Llegados a Meta]]/Tabla96[[#This Row],[Total Inscritos]])</f>
        <v/>
      </c>
      <c r="F61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13" s="43">
        <f ca="1">NOW()-'LOS TIEMPOS'!$K$2</f>
        <v>42368.075526157409</v>
      </c>
    </row>
    <row r="614" spans="1:8" x14ac:dyDescent="0.2">
      <c r="A614" s="13" t="str">
        <f>IF(ROW()-5&lt;=COUNTA(TablaEquipos[Compite]),ROW()-7,"")</f>
        <v/>
      </c>
      <c r="B614" s="10" t="str">
        <f>IF(Tabla96[[#This Row],[Id]]="","",VLOOKUP(Tabla96[[#This Row],[Id]]+1,TablaEquipos[],3,FALSE))</f>
        <v/>
      </c>
      <c r="C614" s="45" t="str">
        <f>IF(Tabla96[[#This Row],[Id]]="","",VLOOKUP(Tabla96[[#This Row],[Id]]+1,TablaEquipos[],4,FALSE))</f>
        <v/>
      </c>
      <c r="D614" s="13" t="str">
        <f>IF(Tabla96[[#This Row],[Id]]="","",COUNTIF(TablaTiempos[Club],Tabla96[[#This Row],[Pos]]))</f>
        <v/>
      </c>
      <c r="E614" s="47" t="str">
        <f>IF(Tabla96[[#This Row],[Id]]="","",Tabla96[[#This Row],[Total Llegados a Meta]]/Tabla96[[#This Row],[Total Inscritos]])</f>
        <v/>
      </c>
      <c r="F61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14" s="43">
        <f ca="1">NOW()-'LOS TIEMPOS'!$K$2</f>
        <v>42368.075526157409</v>
      </c>
    </row>
    <row r="615" spans="1:8" x14ac:dyDescent="0.2">
      <c r="A615" s="13" t="str">
        <f>IF(ROW()-5&lt;=COUNTA(TablaEquipos[Compite]),ROW()-7,"")</f>
        <v/>
      </c>
      <c r="B615" s="10" t="str">
        <f>IF(Tabla96[[#This Row],[Id]]="","",VLOOKUP(Tabla96[[#This Row],[Id]]+1,TablaEquipos[],3,FALSE))</f>
        <v/>
      </c>
      <c r="C615" s="45" t="str">
        <f>IF(Tabla96[[#This Row],[Id]]="","",VLOOKUP(Tabla96[[#This Row],[Id]]+1,TablaEquipos[],4,FALSE))</f>
        <v/>
      </c>
      <c r="D615" s="13" t="str">
        <f>IF(Tabla96[[#This Row],[Id]]="","",COUNTIF(TablaTiempos[Club],Tabla96[[#This Row],[Pos]]))</f>
        <v/>
      </c>
      <c r="E615" s="47" t="str">
        <f>IF(Tabla96[[#This Row],[Id]]="","",Tabla96[[#This Row],[Total Llegados a Meta]]/Tabla96[[#This Row],[Total Inscritos]])</f>
        <v/>
      </c>
      <c r="F61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15" s="43">
        <f ca="1">NOW()-'LOS TIEMPOS'!$K$2</f>
        <v>42368.075526157409</v>
      </c>
    </row>
    <row r="616" spans="1:8" x14ac:dyDescent="0.2">
      <c r="A616" s="13" t="str">
        <f>IF(ROW()-5&lt;=COUNTA(TablaEquipos[Compite]),ROW()-7,"")</f>
        <v/>
      </c>
      <c r="B616" s="10" t="str">
        <f>IF(Tabla96[[#This Row],[Id]]="","",VLOOKUP(Tabla96[[#This Row],[Id]]+1,TablaEquipos[],3,FALSE))</f>
        <v/>
      </c>
      <c r="C616" s="45" t="str">
        <f>IF(Tabla96[[#This Row],[Id]]="","",VLOOKUP(Tabla96[[#This Row],[Id]]+1,TablaEquipos[],4,FALSE))</f>
        <v/>
      </c>
      <c r="D616" s="13" t="str">
        <f>IF(Tabla96[[#This Row],[Id]]="","",COUNTIF(TablaTiempos[Club],Tabla96[[#This Row],[Pos]]))</f>
        <v/>
      </c>
      <c r="E616" s="47" t="str">
        <f>IF(Tabla96[[#This Row],[Id]]="","",Tabla96[[#This Row],[Total Llegados a Meta]]/Tabla96[[#This Row],[Total Inscritos]])</f>
        <v/>
      </c>
      <c r="F61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16" s="43">
        <f ca="1">NOW()-'LOS TIEMPOS'!$K$2</f>
        <v>42368.075526157409</v>
      </c>
    </row>
    <row r="617" spans="1:8" x14ac:dyDescent="0.2">
      <c r="A617" s="13" t="str">
        <f>IF(ROW()-5&lt;=COUNTA(TablaEquipos[Compite]),ROW()-7,"")</f>
        <v/>
      </c>
      <c r="B617" s="10" t="str">
        <f>IF(Tabla96[[#This Row],[Id]]="","",VLOOKUP(Tabla96[[#This Row],[Id]]+1,TablaEquipos[],3,FALSE))</f>
        <v/>
      </c>
      <c r="C617" s="45" t="str">
        <f>IF(Tabla96[[#This Row],[Id]]="","",VLOOKUP(Tabla96[[#This Row],[Id]]+1,TablaEquipos[],4,FALSE))</f>
        <v/>
      </c>
      <c r="D617" s="13" t="str">
        <f>IF(Tabla96[[#This Row],[Id]]="","",COUNTIF(TablaTiempos[Club],Tabla96[[#This Row],[Pos]]))</f>
        <v/>
      </c>
      <c r="E617" s="47" t="str">
        <f>IF(Tabla96[[#This Row],[Id]]="","",Tabla96[[#This Row],[Total Llegados a Meta]]/Tabla96[[#This Row],[Total Inscritos]])</f>
        <v/>
      </c>
      <c r="F61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17" s="43">
        <f ca="1">NOW()-'LOS TIEMPOS'!$K$2</f>
        <v>42368.075526157409</v>
      </c>
    </row>
    <row r="618" spans="1:8" x14ac:dyDescent="0.2">
      <c r="A618" s="13" t="str">
        <f>IF(ROW()-5&lt;=COUNTA(TablaEquipos[Compite]),ROW()-7,"")</f>
        <v/>
      </c>
      <c r="B618" s="10" t="str">
        <f>IF(Tabla96[[#This Row],[Id]]="","",VLOOKUP(Tabla96[[#This Row],[Id]]+1,TablaEquipos[],3,FALSE))</f>
        <v/>
      </c>
      <c r="C618" s="45" t="str">
        <f>IF(Tabla96[[#This Row],[Id]]="","",VLOOKUP(Tabla96[[#This Row],[Id]]+1,TablaEquipos[],4,FALSE))</f>
        <v/>
      </c>
      <c r="D618" s="13" t="str">
        <f>IF(Tabla96[[#This Row],[Id]]="","",COUNTIF(TablaTiempos[Club],Tabla96[[#This Row],[Pos]]))</f>
        <v/>
      </c>
      <c r="E618" s="47" t="str">
        <f>IF(Tabla96[[#This Row],[Id]]="","",Tabla96[[#This Row],[Total Llegados a Meta]]/Tabla96[[#This Row],[Total Inscritos]])</f>
        <v/>
      </c>
      <c r="F61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18" s="43">
        <f ca="1">NOW()-'LOS TIEMPOS'!$K$2</f>
        <v>42368.075526157409</v>
      </c>
    </row>
    <row r="619" spans="1:8" x14ac:dyDescent="0.2">
      <c r="A619" s="13" t="str">
        <f>IF(ROW()-5&lt;=COUNTA(TablaEquipos[Compite]),ROW()-7,"")</f>
        <v/>
      </c>
      <c r="B619" s="10" t="str">
        <f>IF(Tabla96[[#This Row],[Id]]="","",VLOOKUP(Tabla96[[#This Row],[Id]]+1,TablaEquipos[],3,FALSE))</f>
        <v/>
      </c>
      <c r="C619" s="45" t="str">
        <f>IF(Tabla96[[#This Row],[Id]]="","",VLOOKUP(Tabla96[[#This Row],[Id]]+1,TablaEquipos[],4,FALSE))</f>
        <v/>
      </c>
      <c r="D619" s="13" t="str">
        <f>IF(Tabla96[[#This Row],[Id]]="","",COUNTIF(TablaTiempos[Club],Tabla96[[#This Row],[Pos]]))</f>
        <v/>
      </c>
      <c r="E619" s="47" t="str">
        <f>IF(Tabla96[[#This Row],[Id]]="","",Tabla96[[#This Row],[Total Llegados a Meta]]/Tabla96[[#This Row],[Total Inscritos]])</f>
        <v/>
      </c>
      <c r="F61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19" s="43">
        <f ca="1">NOW()-'LOS TIEMPOS'!$K$2</f>
        <v>42368.075526157409</v>
      </c>
    </row>
    <row r="620" spans="1:8" x14ac:dyDescent="0.2">
      <c r="A620" s="13" t="str">
        <f>IF(ROW()-5&lt;=COUNTA(TablaEquipos[Compite]),ROW()-7,"")</f>
        <v/>
      </c>
      <c r="B620" s="10" t="str">
        <f>IF(Tabla96[[#This Row],[Id]]="","",VLOOKUP(Tabla96[[#This Row],[Id]]+1,TablaEquipos[],3,FALSE))</f>
        <v/>
      </c>
      <c r="C620" s="45" t="str">
        <f>IF(Tabla96[[#This Row],[Id]]="","",VLOOKUP(Tabla96[[#This Row],[Id]]+1,TablaEquipos[],4,FALSE))</f>
        <v/>
      </c>
      <c r="D620" s="13" t="str">
        <f>IF(Tabla96[[#This Row],[Id]]="","",COUNTIF(TablaTiempos[Club],Tabla96[[#This Row],[Pos]]))</f>
        <v/>
      </c>
      <c r="E620" s="47" t="str">
        <f>IF(Tabla96[[#This Row],[Id]]="","",Tabla96[[#This Row],[Total Llegados a Meta]]/Tabla96[[#This Row],[Total Inscritos]])</f>
        <v/>
      </c>
      <c r="F62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20" s="43">
        <f ca="1">NOW()-'LOS TIEMPOS'!$K$2</f>
        <v>42368.075526157409</v>
      </c>
    </row>
    <row r="621" spans="1:8" x14ac:dyDescent="0.2">
      <c r="A621" s="13" t="str">
        <f>IF(ROW()-5&lt;=COUNTA(TablaEquipos[Compite]),ROW()-7,"")</f>
        <v/>
      </c>
      <c r="B621" s="10" t="str">
        <f>IF(Tabla96[[#This Row],[Id]]="","",VLOOKUP(Tabla96[[#This Row],[Id]]+1,TablaEquipos[],3,FALSE))</f>
        <v/>
      </c>
      <c r="C621" s="45" t="str">
        <f>IF(Tabla96[[#This Row],[Id]]="","",VLOOKUP(Tabla96[[#This Row],[Id]]+1,TablaEquipos[],4,FALSE))</f>
        <v/>
      </c>
      <c r="D621" s="13" t="str">
        <f>IF(Tabla96[[#This Row],[Id]]="","",COUNTIF(TablaTiempos[Club],Tabla96[[#This Row],[Pos]]))</f>
        <v/>
      </c>
      <c r="E621" s="47" t="str">
        <f>IF(Tabla96[[#This Row],[Id]]="","",Tabla96[[#This Row],[Total Llegados a Meta]]/Tabla96[[#This Row],[Total Inscritos]])</f>
        <v/>
      </c>
      <c r="F62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21" s="43">
        <f ca="1">NOW()-'LOS TIEMPOS'!$K$2</f>
        <v>42368.075526157409</v>
      </c>
    </row>
    <row r="622" spans="1:8" x14ac:dyDescent="0.2">
      <c r="A622" s="13" t="str">
        <f>IF(ROW()-5&lt;=COUNTA(TablaEquipos[Compite]),ROW()-7,"")</f>
        <v/>
      </c>
      <c r="B622" s="10" t="str">
        <f>IF(Tabla96[[#This Row],[Id]]="","",VLOOKUP(Tabla96[[#This Row],[Id]]+1,TablaEquipos[],3,FALSE))</f>
        <v/>
      </c>
      <c r="C622" s="45" t="str">
        <f>IF(Tabla96[[#This Row],[Id]]="","",VLOOKUP(Tabla96[[#This Row],[Id]]+1,TablaEquipos[],4,FALSE))</f>
        <v/>
      </c>
      <c r="D622" s="13" t="str">
        <f>IF(Tabla96[[#This Row],[Id]]="","",COUNTIF(TablaTiempos[Club],Tabla96[[#This Row],[Pos]]))</f>
        <v/>
      </c>
      <c r="E622" s="47" t="str">
        <f>IF(Tabla96[[#This Row],[Id]]="","",Tabla96[[#This Row],[Total Llegados a Meta]]/Tabla96[[#This Row],[Total Inscritos]])</f>
        <v/>
      </c>
      <c r="F62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22" s="43">
        <f ca="1">NOW()-'LOS TIEMPOS'!$K$2</f>
        <v>42368.075526157409</v>
      </c>
    </row>
    <row r="623" spans="1:8" x14ac:dyDescent="0.2">
      <c r="A623" s="13" t="str">
        <f>IF(ROW()-5&lt;=COUNTA(TablaEquipos[Compite]),ROW()-7,"")</f>
        <v/>
      </c>
      <c r="B623" s="10" t="str">
        <f>IF(Tabla96[[#This Row],[Id]]="","",VLOOKUP(Tabla96[[#This Row],[Id]]+1,TablaEquipos[],3,FALSE))</f>
        <v/>
      </c>
      <c r="C623" s="45" t="str">
        <f>IF(Tabla96[[#This Row],[Id]]="","",VLOOKUP(Tabla96[[#This Row],[Id]]+1,TablaEquipos[],4,FALSE))</f>
        <v/>
      </c>
      <c r="D623" s="13" t="str">
        <f>IF(Tabla96[[#This Row],[Id]]="","",COUNTIF(TablaTiempos[Club],Tabla96[[#This Row],[Pos]]))</f>
        <v/>
      </c>
      <c r="E623" s="47" t="str">
        <f>IF(Tabla96[[#This Row],[Id]]="","",Tabla96[[#This Row],[Total Llegados a Meta]]/Tabla96[[#This Row],[Total Inscritos]])</f>
        <v/>
      </c>
      <c r="F62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23" s="43">
        <f ca="1">NOW()-'LOS TIEMPOS'!$K$2</f>
        <v>42368.075526157409</v>
      </c>
    </row>
    <row r="624" spans="1:8" x14ac:dyDescent="0.2">
      <c r="A624" s="13" t="str">
        <f>IF(ROW()-5&lt;=COUNTA(TablaEquipos[Compite]),ROW()-7,"")</f>
        <v/>
      </c>
      <c r="B624" s="10" t="str">
        <f>IF(Tabla96[[#This Row],[Id]]="","",VLOOKUP(Tabla96[[#This Row],[Id]]+1,TablaEquipos[],3,FALSE))</f>
        <v/>
      </c>
      <c r="C624" s="45" t="str">
        <f>IF(Tabla96[[#This Row],[Id]]="","",VLOOKUP(Tabla96[[#This Row],[Id]]+1,TablaEquipos[],4,FALSE))</f>
        <v/>
      </c>
      <c r="D624" s="13" t="str">
        <f>IF(Tabla96[[#This Row],[Id]]="","",COUNTIF(TablaTiempos[Club],Tabla96[[#This Row],[Pos]]))</f>
        <v/>
      </c>
      <c r="E624" s="47" t="str">
        <f>IF(Tabla96[[#This Row],[Id]]="","",Tabla96[[#This Row],[Total Llegados a Meta]]/Tabla96[[#This Row],[Total Inscritos]])</f>
        <v/>
      </c>
      <c r="F62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24" s="43">
        <f ca="1">NOW()-'LOS TIEMPOS'!$K$2</f>
        <v>42368.075526157409</v>
      </c>
    </row>
    <row r="625" spans="1:8" x14ac:dyDescent="0.2">
      <c r="A625" s="13" t="str">
        <f>IF(ROW()-5&lt;=COUNTA(TablaEquipos[Compite]),ROW()-7,"")</f>
        <v/>
      </c>
      <c r="B625" s="10" t="str">
        <f>IF(Tabla96[[#This Row],[Id]]="","",VLOOKUP(Tabla96[[#This Row],[Id]]+1,TablaEquipos[],3,FALSE))</f>
        <v/>
      </c>
      <c r="C625" s="45" t="str">
        <f>IF(Tabla96[[#This Row],[Id]]="","",VLOOKUP(Tabla96[[#This Row],[Id]]+1,TablaEquipos[],4,FALSE))</f>
        <v/>
      </c>
      <c r="D625" s="13" t="str">
        <f>IF(Tabla96[[#This Row],[Id]]="","",COUNTIF(TablaTiempos[Club],Tabla96[[#This Row],[Pos]]))</f>
        <v/>
      </c>
      <c r="E625" s="47" t="str">
        <f>IF(Tabla96[[#This Row],[Id]]="","",Tabla96[[#This Row],[Total Llegados a Meta]]/Tabla96[[#This Row],[Total Inscritos]])</f>
        <v/>
      </c>
      <c r="F62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25" s="43">
        <f ca="1">NOW()-'LOS TIEMPOS'!$K$2</f>
        <v>42368.075526157409</v>
      </c>
    </row>
    <row r="626" spans="1:8" x14ac:dyDescent="0.2">
      <c r="A626" s="13" t="str">
        <f>IF(ROW()-5&lt;=COUNTA(TablaEquipos[Compite]),ROW()-7,"")</f>
        <v/>
      </c>
      <c r="B626" s="10" t="str">
        <f>IF(Tabla96[[#This Row],[Id]]="","",VLOOKUP(Tabla96[[#This Row],[Id]]+1,TablaEquipos[],3,FALSE))</f>
        <v/>
      </c>
      <c r="C626" s="45" t="str">
        <f>IF(Tabla96[[#This Row],[Id]]="","",VLOOKUP(Tabla96[[#This Row],[Id]]+1,TablaEquipos[],4,FALSE))</f>
        <v/>
      </c>
      <c r="D626" s="13" t="str">
        <f>IF(Tabla96[[#This Row],[Id]]="","",COUNTIF(TablaTiempos[Club],Tabla96[[#This Row],[Pos]]))</f>
        <v/>
      </c>
      <c r="E626" s="47" t="str">
        <f>IF(Tabla96[[#This Row],[Id]]="","",Tabla96[[#This Row],[Total Llegados a Meta]]/Tabla96[[#This Row],[Total Inscritos]])</f>
        <v/>
      </c>
      <c r="F62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26" s="43">
        <f ca="1">NOW()-'LOS TIEMPOS'!$K$2</f>
        <v>42368.075526157409</v>
      </c>
    </row>
    <row r="627" spans="1:8" x14ac:dyDescent="0.2">
      <c r="A627" s="13" t="str">
        <f>IF(ROW()-5&lt;=COUNTA(TablaEquipos[Compite]),ROW()-7,"")</f>
        <v/>
      </c>
      <c r="B627" s="10" t="str">
        <f>IF(Tabla96[[#This Row],[Id]]="","",VLOOKUP(Tabla96[[#This Row],[Id]]+1,TablaEquipos[],3,FALSE))</f>
        <v/>
      </c>
      <c r="C627" s="45" t="str">
        <f>IF(Tabla96[[#This Row],[Id]]="","",VLOOKUP(Tabla96[[#This Row],[Id]]+1,TablaEquipos[],4,FALSE))</f>
        <v/>
      </c>
      <c r="D627" s="13" t="str">
        <f>IF(Tabla96[[#This Row],[Id]]="","",COUNTIF(TablaTiempos[Club],Tabla96[[#This Row],[Pos]]))</f>
        <v/>
      </c>
      <c r="E627" s="47" t="str">
        <f>IF(Tabla96[[#This Row],[Id]]="","",Tabla96[[#This Row],[Total Llegados a Meta]]/Tabla96[[#This Row],[Total Inscritos]])</f>
        <v/>
      </c>
      <c r="F62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27" s="43">
        <f ca="1">NOW()-'LOS TIEMPOS'!$K$2</f>
        <v>42368.075526157409</v>
      </c>
    </row>
    <row r="628" spans="1:8" x14ac:dyDescent="0.2">
      <c r="A628" s="13" t="str">
        <f>IF(ROW()-5&lt;=COUNTA(TablaEquipos[Compite]),ROW()-7,"")</f>
        <v/>
      </c>
      <c r="B628" s="10" t="str">
        <f>IF(Tabla96[[#This Row],[Id]]="","",VLOOKUP(Tabla96[[#This Row],[Id]]+1,TablaEquipos[],3,FALSE))</f>
        <v/>
      </c>
      <c r="C628" s="45" t="str">
        <f>IF(Tabla96[[#This Row],[Id]]="","",VLOOKUP(Tabla96[[#This Row],[Id]]+1,TablaEquipos[],4,FALSE))</f>
        <v/>
      </c>
      <c r="D628" s="13" t="str">
        <f>IF(Tabla96[[#This Row],[Id]]="","",COUNTIF(TablaTiempos[Club],Tabla96[[#This Row],[Pos]]))</f>
        <v/>
      </c>
      <c r="E628" s="47" t="str">
        <f>IF(Tabla96[[#This Row],[Id]]="","",Tabla96[[#This Row],[Total Llegados a Meta]]/Tabla96[[#This Row],[Total Inscritos]])</f>
        <v/>
      </c>
      <c r="F62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28" s="43">
        <f ca="1">NOW()-'LOS TIEMPOS'!$K$2</f>
        <v>42368.075526157409</v>
      </c>
    </row>
    <row r="629" spans="1:8" x14ac:dyDescent="0.2">
      <c r="A629" s="13" t="str">
        <f>IF(ROW()-5&lt;=COUNTA(TablaEquipos[Compite]),ROW()-7,"")</f>
        <v/>
      </c>
      <c r="B629" s="10" t="str">
        <f>IF(Tabla96[[#This Row],[Id]]="","",VLOOKUP(Tabla96[[#This Row],[Id]]+1,TablaEquipos[],3,FALSE))</f>
        <v/>
      </c>
      <c r="C629" s="45" t="str">
        <f>IF(Tabla96[[#This Row],[Id]]="","",VLOOKUP(Tabla96[[#This Row],[Id]]+1,TablaEquipos[],4,FALSE))</f>
        <v/>
      </c>
      <c r="D629" s="13" t="str">
        <f>IF(Tabla96[[#This Row],[Id]]="","",COUNTIF(TablaTiempos[Club],Tabla96[[#This Row],[Pos]]))</f>
        <v/>
      </c>
      <c r="E629" s="47" t="str">
        <f>IF(Tabla96[[#This Row],[Id]]="","",Tabla96[[#This Row],[Total Llegados a Meta]]/Tabla96[[#This Row],[Total Inscritos]])</f>
        <v/>
      </c>
      <c r="F62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29" s="43">
        <f ca="1">NOW()-'LOS TIEMPOS'!$K$2</f>
        <v>42368.075526157409</v>
      </c>
    </row>
    <row r="630" spans="1:8" x14ac:dyDescent="0.2">
      <c r="A630" s="13" t="str">
        <f>IF(ROW()-5&lt;=COUNTA(TablaEquipos[Compite]),ROW()-7,"")</f>
        <v/>
      </c>
      <c r="B630" s="10" t="str">
        <f>IF(Tabla96[[#This Row],[Id]]="","",VLOOKUP(Tabla96[[#This Row],[Id]]+1,TablaEquipos[],3,FALSE))</f>
        <v/>
      </c>
      <c r="C630" s="45" t="str">
        <f>IF(Tabla96[[#This Row],[Id]]="","",VLOOKUP(Tabla96[[#This Row],[Id]]+1,TablaEquipos[],4,FALSE))</f>
        <v/>
      </c>
      <c r="D630" s="13" t="str">
        <f>IF(Tabla96[[#This Row],[Id]]="","",COUNTIF(TablaTiempos[Club],Tabla96[[#This Row],[Pos]]))</f>
        <v/>
      </c>
      <c r="E630" s="47" t="str">
        <f>IF(Tabla96[[#This Row],[Id]]="","",Tabla96[[#This Row],[Total Llegados a Meta]]/Tabla96[[#This Row],[Total Inscritos]])</f>
        <v/>
      </c>
      <c r="F63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30" s="43">
        <f ca="1">NOW()-'LOS TIEMPOS'!$K$2</f>
        <v>42368.075526157409</v>
      </c>
    </row>
    <row r="631" spans="1:8" x14ac:dyDescent="0.2">
      <c r="A631" s="13" t="str">
        <f>IF(ROW()-5&lt;=COUNTA(TablaEquipos[Compite]),ROW()-7,"")</f>
        <v/>
      </c>
      <c r="B631" s="10" t="str">
        <f>IF(Tabla96[[#This Row],[Id]]="","",VLOOKUP(Tabla96[[#This Row],[Id]]+1,TablaEquipos[],3,FALSE))</f>
        <v/>
      </c>
      <c r="C631" s="45" t="str">
        <f>IF(Tabla96[[#This Row],[Id]]="","",VLOOKUP(Tabla96[[#This Row],[Id]]+1,TablaEquipos[],4,FALSE))</f>
        <v/>
      </c>
      <c r="D631" s="13" t="str">
        <f>IF(Tabla96[[#This Row],[Id]]="","",COUNTIF(TablaTiempos[Club],Tabla96[[#This Row],[Pos]]))</f>
        <v/>
      </c>
      <c r="E631" s="47" t="str">
        <f>IF(Tabla96[[#This Row],[Id]]="","",Tabla96[[#This Row],[Total Llegados a Meta]]/Tabla96[[#This Row],[Total Inscritos]])</f>
        <v/>
      </c>
      <c r="F63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31" s="43">
        <f ca="1">NOW()-'LOS TIEMPOS'!$K$2</f>
        <v>42368.075526157409</v>
      </c>
    </row>
    <row r="632" spans="1:8" x14ac:dyDescent="0.2">
      <c r="A632" s="13" t="str">
        <f>IF(ROW()-5&lt;=COUNTA(TablaEquipos[Compite]),ROW()-7,"")</f>
        <v/>
      </c>
      <c r="B632" s="10" t="str">
        <f>IF(Tabla96[[#This Row],[Id]]="","",VLOOKUP(Tabla96[[#This Row],[Id]]+1,TablaEquipos[],3,FALSE))</f>
        <v/>
      </c>
      <c r="C632" s="45" t="str">
        <f>IF(Tabla96[[#This Row],[Id]]="","",VLOOKUP(Tabla96[[#This Row],[Id]]+1,TablaEquipos[],4,FALSE))</f>
        <v/>
      </c>
      <c r="D632" s="13" t="str">
        <f>IF(Tabla96[[#This Row],[Id]]="","",COUNTIF(TablaTiempos[Club],Tabla96[[#This Row],[Pos]]))</f>
        <v/>
      </c>
      <c r="E632" s="47" t="str">
        <f>IF(Tabla96[[#This Row],[Id]]="","",Tabla96[[#This Row],[Total Llegados a Meta]]/Tabla96[[#This Row],[Total Inscritos]])</f>
        <v/>
      </c>
      <c r="F63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32" s="43">
        <f ca="1">NOW()-'LOS TIEMPOS'!$K$2</f>
        <v>42368.075526157409</v>
      </c>
    </row>
    <row r="633" spans="1:8" x14ac:dyDescent="0.2">
      <c r="A633" s="13" t="str">
        <f>IF(ROW()-5&lt;=COUNTA(TablaEquipos[Compite]),ROW()-7,"")</f>
        <v/>
      </c>
      <c r="B633" s="10" t="str">
        <f>IF(Tabla96[[#This Row],[Id]]="","",VLOOKUP(Tabla96[[#This Row],[Id]]+1,TablaEquipos[],3,FALSE))</f>
        <v/>
      </c>
      <c r="C633" s="45" t="str">
        <f>IF(Tabla96[[#This Row],[Id]]="","",VLOOKUP(Tabla96[[#This Row],[Id]]+1,TablaEquipos[],4,FALSE))</f>
        <v/>
      </c>
      <c r="D633" s="13" t="str">
        <f>IF(Tabla96[[#This Row],[Id]]="","",COUNTIF(TablaTiempos[Club],Tabla96[[#This Row],[Pos]]))</f>
        <v/>
      </c>
      <c r="E633" s="47" t="str">
        <f>IF(Tabla96[[#This Row],[Id]]="","",Tabla96[[#This Row],[Total Llegados a Meta]]/Tabla96[[#This Row],[Total Inscritos]])</f>
        <v/>
      </c>
      <c r="F63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33" s="43">
        <f ca="1">NOW()-'LOS TIEMPOS'!$K$2</f>
        <v>42368.075526157409</v>
      </c>
    </row>
    <row r="634" spans="1:8" x14ac:dyDescent="0.2">
      <c r="A634" s="13" t="str">
        <f>IF(ROW()-5&lt;=COUNTA(TablaEquipos[Compite]),ROW()-7,"")</f>
        <v/>
      </c>
      <c r="B634" s="10" t="str">
        <f>IF(Tabla96[[#This Row],[Id]]="","",VLOOKUP(Tabla96[[#This Row],[Id]]+1,TablaEquipos[],3,FALSE))</f>
        <v/>
      </c>
      <c r="C634" s="45" t="str">
        <f>IF(Tabla96[[#This Row],[Id]]="","",VLOOKUP(Tabla96[[#This Row],[Id]]+1,TablaEquipos[],4,FALSE))</f>
        <v/>
      </c>
      <c r="D634" s="13" t="str">
        <f>IF(Tabla96[[#This Row],[Id]]="","",COUNTIF(TablaTiempos[Club],Tabla96[[#This Row],[Pos]]))</f>
        <v/>
      </c>
      <c r="E634" s="47" t="str">
        <f>IF(Tabla96[[#This Row],[Id]]="","",Tabla96[[#This Row],[Total Llegados a Meta]]/Tabla96[[#This Row],[Total Inscritos]])</f>
        <v/>
      </c>
      <c r="F63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34" s="43">
        <f ca="1">NOW()-'LOS TIEMPOS'!$K$2</f>
        <v>42368.075526157409</v>
      </c>
    </row>
    <row r="635" spans="1:8" x14ac:dyDescent="0.2">
      <c r="A635" s="13" t="str">
        <f>IF(ROW()-5&lt;=COUNTA(TablaEquipos[Compite]),ROW()-7,"")</f>
        <v/>
      </c>
      <c r="B635" s="10" t="str">
        <f>IF(Tabla96[[#This Row],[Id]]="","",VLOOKUP(Tabla96[[#This Row],[Id]]+1,TablaEquipos[],3,FALSE))</f>
        <v/>
      </c>
      <c r="C635" s="45" t="str">
        <f>IF(Tabla96[[#This Row],[Id]]="","",VLOOKUP(Tabla96[[#This Row],[Id]]+1,TablaEquipos[],4,FALSE))</f>
        <v/>
      </c>
      <c r="D635" s="13" t="str">
        <f>IF(Tabla96[[#This Row],[Id]]="","",COUNTIF(TablaTiempos[Club],Tabla96[[#This Row],[Pos]]))</f>
        <v/>
      </c>
      <c r="E635" s="47" t="str">
        <f>IF(Tabla96[[#This Row],[Id]]="","",Tabla96[[#This Row],[Total Llegados a Meta]]/Tabla96[[#This Row],[Total Inscritos]])</f>
        <v/>
      </c>
      <c r="F63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35" s="43">
        <f ca="1">NOW()-'LOS TIEMPOS'!$K$2</f>
        <v>42368.075526157409</v>
      </c>
    </row>
    <row r="636" spans="1:8" x14ac:dyDescent="0.2">
      <c r="A636" s="13" t="str">
        <f>IF(ROW()-5&lt;=COUNTA(TablaEquipos[Compite]),ROW()-7,"")</f>
        <v/>
      </c>
      <c r="B636" s="10" t="str">
        <f>IF(Tabla96[[#This Row],[Id]]="","",VLOOKUP(Tabla96[[#This Row],[Id]]+1,TablaEquipos[],3,FALSE))</f>
        <v/>
      </c>
      <c r="C636" s="45" t="str">
        <f>IF(Tabla96[[#This Row],[Id]]="","",VLOOKUP(Tabla96[[#This Row],[Id]]+1,TablaEquipos[],4,FALSE))</f>
        <v/>
      </c>
      <c r="D636" s="13" t="str">
        <f>IF(Tabla96[[#This Row],[Id]]="","",COUNTIF(TablaTiempos[Club],Tabla96[[#This Row],[Pos]]))</f>
        <v/>
      </c>
      <c r="E636" s="47" t="str">
        <f>IF(Tabla96[[#This Row],[Id]]="","",Tabla96[[#This Row],[Total Llegados a Meta]]/Tabla96[[#This Row],[Total Inscritos]])</f>
        <v/>
      </c>
      <c r="F63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36" s="43">
        <f ca="1">NOW()-'LOS TIEMPOS'!$K$2</f>
        <v>42368.075526157409</v>
      </c>
    </row>
    <row r="637" spans="1:8" x14ac:dyDescent="0.2">
      <c r="A637" s="13" t="str">
        <f>IF(ROW()-5&lt;=COUNTA(TablaEquipos[Compite]),ROW()-7,"")</f>
        <v/>
      </c>
      <c r="B637" s="10" t="str">
        <f>IF(Tabla96[[#This Row],[Id]]="","",VLOOKUP(Tabla96[[#This Row],[Id]]+1,TablaEquipos[],3,FALSE))</f>
        <v/>
      </c>
      <c r="C637" s="45" t="str">
        <f>IF(Tabla96[[#This Row],[Id]]="","",VLOOKUP(Tabla96[[#This Row],[Id]]+1,TablaEquipos[],4,FALSE))</f>
        <v/>
      </c>
      <c r="D637" s="13" t="str">
        <f>IF(Tabla96[[#This Row],[Id]]="","",COUNTIF(TablaTiempos[Club],Tabla96[[#This Row],[Pos]]))</f>
        <v/>
      </c>
      <c r="E637" s="47" t="str">
        <f>IF(Tabla96[[#This Row],[Id]]="","",Tabla96[[#This Row],[Total Llegados a Meta]]/Tabla96[[#This Row],[Total Inscritos]])</f>
        <v/>
      </c>
      <c r="F63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37" s="43">
        <f ca="1">NOW()-'LOS TIEMPOS'!$K$2</f>
        <v>42368.075526157409</v>
      </c>
    </row>
    <row r="638" spans="1:8" x14ac:dyDescent="0.2">
      <c r="A638" s="13" t="str">
        <f>IF(ROW()-5&lt;=COUNTA(TablaEquipos[Compite]),ROW()-7,"")</f>
        <v/>
      </c>
      <c r="B638" s="10" t="str">
        <f>IF(Tabla96[[#This Row],[Id]]="","",VLOOKUP(Tabla96[[#This Row],[Id]]+1,TablaEquipos[],3,FALSE))</f>
        <v/>
      </c>
      <c r="C638" s="45" t="str">
        <f>IF(Tabla96[[#This Row],[Id]]="","",VLOOKUP(Tabla96[[#This Row],[Id]]+1,TablaEquipos[],4,FALSE))</f>
        <v/>
      </c>
      <c r="D638" s="13" t="str">
        <f>IF(Tabla96[[#This Row],[Id]]="","",COUNTIF(TablaTiempos[Club],Tabla96[[#This Row],[Pos]]))</f>
        <v/>
      </c>
      <c r="E638" s="47" t="str">
        <f>IF(Tabla96[[#This Row],[Id]]="","",Tabla96[[#This Row],[Total Llegados a Meta]]/Tabla96[[#This Row],[Total Inscritos]])</f>
        <v/>
      </c>
      <c r="F63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38" s="43">
        <f ca="1">NOW()-'LOS TIEMPOS'!$K$2</f>
        <v>42368.075526157409</v>
      </c>
    </row>
    <row r="639" spans="1:8" x14ac:dyDescent="0.2">
      <c r="A639" s="13" t="str">
        <f>IF(ROW()-5&lt;=COUNTA(TablaEquipos[Compite]),ROW()-7,"")</f>
        <v/>
      </c>
      <c r="B639" s="10" t="str">
        <f>IF(Tabla96[[#This Row],[Id]]="","",VLOOKUP(Tabla96[[#This Row],[Id]]+1,TablaEquipos[],3,FALSE))</f>
        <v/>
      </c>
      <c r="C639" s="45" t="str">
        <f>IF(Tabla96[[#This Row],[Id]]="","",VLOOKUP(Tabla96[[#This Row],[Id]]+1,TablaEquipos[],4,FALSE))</f>
        <v/>
      </c>
      <c r="D639" s="13" t="str">
        <f>IF(Tabla96[[#This Row],[Id]]="","",COUNTIF(TablaTiempos[Club],Tabla96[[#This Row],[Pos]]))</f>
        <v/>
      </c>
      <c r="E639" s="47" t="str">
        <f>IF(Tabla96[[#This Row],[Id]]="","",Tabla96[[#This Row],[Total Llegados a Meta]]/Tabla96[[#This Row],[Total Inscritos]])</f>
        <v/>
      </c>
      <c r="F63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39" s="43">
        <f ca="1">NOW()-'LOS TIEMPOS'!$K$2</f>
        <v>42368.075526157409</v>
      </c>
    </row>
    <row r="640" spans="1:8" x14ac:dyDescent="0.2">
      <c r="A640" s="13" t="str">
        <f>IF(ROW()-5&lt;=COUNTA(TablaEquipos[Compite]),ROW()-7,"")</f>
        <v/>
      </c>
      <c r="B640" s="10" t="str">
        <f>IF(Tabla96[[#This Row],[Id]]="","",VLOOKUP(Tabla96[[#This Row],[Id]]+1,TablaEquipos[],3,FALSE))</f>
        <v/>
      </c>
      <c r="C640" s="45" t="str">
        <f>IF(Tabla96[[#This Row],[Id]]="","",VLOOKUP(Tabla96[[#This Row],[Id]]+1,TablaEquipos[],4,FALSE))</f>
        <v/>
      </c>
      <c r="D640" s="13" t="str">
        <f>IF(Tabla96[[#This Row],[Id]]="","",COUNTIF(TablaTiempos[Club],Tabla96[[#This Row],[Pos]]))</f>
        <v/>
      </c>
      <c r="E640" s="47" t="str">
        <f>IF(Tabla96[[#This Row],[Id]]="","",Tabla96[[#This Row],[Total Llegados a Meta]]/Tabla96[[#This Row],[Total Inscritos]])</f>
        <v/>
      </c>
      <c r="F64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40" s="43">
        <f ca="1">NOW()-'LOS TIEMPOS'!$K$2</f>
        <v>42368.075526157409</v>
      </c>
    </row>
    <row r="641" spans="1:8" x14ac:dyDescent="0.2">
      <c r="A641" s="13" t="str">
        <f>IF(ROW()-5&lt;=COUNTA(TablaEquipos[Compite]),ROW()-7,"")</f>
        <v/>
      </c>
      <c r="B641" s="10" t="str">
        <f>IF(Tabla96[[#This Row],[Id]]="","",VLOOKUP(Tabla96[[#This Row],[Id]]+1,TablaEquipos[],3,FALSE))</f>
        <v/>
      </c>
      <c r="C641" s="45" t="str">
        <f>IF(Tabla96[[#This Row],[Id]]="","",VLOOKUP(Tabla96[[#This Row],[Id]]+1,TablaEquipos[],4,FALSE))</f>
        <v/>
      </c>
      <c r="D641" s="13" t="str">
        <f>IF(Tabla96[[#This Row],[Id]]="","",COUNTIF(TablaTiempos[Club],Tabla96[[#This Row],[Pos]]))</f>
        <v/>
      </c>
      <c r="E641" s="47" t="str">
        <f>IF(Tabla96[[#This Row],[Id]]="","",Tabla96[[#This Row],[Total Llegados a Meta]]/Tabla96[[#This Row],[Total Inscritos]])</f>
        <v/>
      </c>
      <c r="F64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41" s="43">
        <f ca="1">NOW()-'LOS TIEMPOS'!$K$2</f>
        <v>42368.075526157409</v>
      </c>
    </row>
    <row r="642" spans="1:8" x14ac:dyDescent="0.2">
      <c r="A642" s="13" t="str">
        <f>IF(ROW()-5&lt;=COUNTA(TablaEquipos[Compite]),ROW()-7,"")</f>
        <v/>
      </c>
      <c r="B642" s="10" t="str">
        <f>IF(Tabla96[[#This Row],[Id]]="","",VLOOKUP(Tabla96[[#This Row],[Id]]+1,TablaEquipos[],3,FALSE))</f>
        <v/>
      </c>
      <c r="C642" s="45" t="str">
        <f>IF(Tabla96[[#This Row],[Id]]="","",VLOOKUP(Tabla96[[#This Row],[Id]]+1,TablaEquipos[],4,FALSE))</f>
        <v/>
      </c>
      <c r="D642" s="13" t="str">
        <f>IF(Tabla96[[#This Row],[Id]]="","",COUNTIF(TablaTiempos[Club],Tabla96[[#This Row],[Pos]]))</f>
        <v/>
      </c>
      <c r="E642" s="47" t="str">
        <f>IF(Tabla96[[#This Row],[Id]]="","",Tabla96[[#This Row],[Total Llegados a Meta]]/Tabla96[[#This Row],[Total Inscritos]])</f>
        <v/>
      </c>
      <c r="F64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42" s="43">
        <f ca="1">NOW()-'LOS TIEMPOS'!$K$2</f>
        <v>42368.075526157409</v>
      </c>
    </row>
    <row r="643" spans="1:8" x14ac:dyDescent="0.2">
      <c r="A643" s="13" t="str">
        <f>IF(ROW()-5&lt;=COUNTA(TablaEquipos[Compite]),ROW()-7,"")</f>
        <v/>
      </c>
      <c r="B643" s="10" t="str">
        <f>IF(Tabla96[[#This Row],[Id]]="","",VLOOKUP(Tabla96[[#This Row],[Id]]+1,TablaEquipos[],3,FALSE))</f>
        <v/>
      </c>
      <c r="C643" s="45" t="str">
        <f>IF(Tabla96[[#This Row],[Id]]="","",VLOOKUP(Tabla96[[#This Row],[Id]]+1,TablaEquipos[],4,FALSE))</f>
        <v/>
      </c>
      <c r="D643" s="13" t="str">
        <f>IF(Tabla96[[#This Row],[Id]]="","",COUNTIF(TablaTiempos[Club],Tabla96[[#This Row],[Pos]]))</f>
        <v/>
      </c>
      <c r="E643" s="47" t="str">
        <f>IF(Tabla96[[#This Row],[Id]]="","",Tabla96[[#This Row],[Total Llegados a Meta]]/Tabla96[[#This Row],[Total Inscritos]])</f>
        <v/>
      </c>
      <c r="F64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43" s="43">
        <f ca="1">NOW()-'LOS TIEMPOS'!$K$2</f>
        <v>42368.075526157409</v>
      </c>
    </row>
    <row r="644" spans="1:8" x14ac:dyDescent="0.2">
      <c r="A644" s="13" t="str">
        <f>IF(ROW()-5&lt;=COUNTA(TablaEquipos[Compite]),ROW()-7,"")</f>
        <v/>
      </c>
      <c r="B644" s="10" t="str">
        <f>IF(Tabla96[[#This Row],[Id]]="","",VLOOKUP(Tabla96[[#This Row],[Id]]+1,TablaEquipos[],3,FALSE))</f>
        <v/>
      </c>
      <c r="C644" s="45" t="str">
        <f>IF(Tabla96[[#This Row],[Id]]="","",VLOOKUP(Tabla96[[#This Row],[Id]]+1,TablaEquipos[],4,FALSE))</f>
        <v/>
      </c>
      <c r="D644" s="13" t="str">
        <f>IF(Tabla96[[#This Row],[Id]]="","",COUNTIF(TablaTiempos[Club],Tabla96[[#This Row],[Pos]]))</f>
        <v/>
      </c>
      <c r="E644" s="47" t="str">
        <f>IF(Tabla96[[#This Row],[Id]]="","",Tabla96[[#This Row],[Total Llegados a Meta]]/Tabla96[[#This Row],[Total Inscritos]])</f>
        <v/>
      </c>
      <c r="F64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44" s="43">
        <f ca="1">NOW()-'LOS TIEMPOS'!$K$2</f>
        <v>42368.075526157409</v>
      </c>
    </row>
    <row r="645" spans="1:8" x14ac:dyDescent="0.2">
      <c r="A645" s="13" t="str">
        <f>IF(ROW()-5&lt;=COUNTA(TablaEquipos[Compite]),ROW()-7,"")</f>
        <v/>
      </c>
      <c r="B645" s="10" t="str">
        <f>IF(Tabla96[[#This Row],[Id]]="","",VLOOKUP(Tabla96[[#This Row],[Id]]+1,TablaEquipos[],3,FALSE))</f>
        <v/>
      </c>
      <c r="C645" s="45" t="str">
        <f>IF(Tabla96[[#This Row],[Id]]="","",VLOOKUP(Tabla96[[#This Row],[Id]]+1,TablaEquipos[],4,FALSE))</f>
        <v/>
      </c>
      <c r="D645" s="13" t="str">
        <f>IF(Tabla96[[#This Row],[Id]]="","",COUNTIF(TablaTiempos[Club],Tabla96[[#This Row],[Pos]]))</f>
        <v/>
      </c>
      <c r="E645" s="47" t="str">
        <f>IF(Tabla96[[#This Row],[Id]]="","",Tabla96[[#This Row],[Total Llegados a Meta]]/Tabla96[[#This Row],[Total Inscritos]])</f>
        <v/>
      </c>
      <c r="F64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45" s="43">
        <f ca="1">NOW()-'LOS TIEMPOS'!$K$2</f>
        <v>42368.075526157409</v>
      </c>
    </row>
    <row r="646" spans="1:8" x14ac:dyDescent="0.2">
      <c r="A646" s="13" t="str">
        <f>IF(ROW()-5&lt;=COUNTA(TablaEquipos[Compite]),ROW()-7,"")</f>
        <v/>
      </c>
      <c r="B646" s="10" t="str">
        <f>IF(Tabla96[[#This Row],[Id]]="","",VLOOKUP(Tabla96[[#This Row],[Id]]+1,TablaEquipos[],3,FALSE))</f>
        <v/>
      </c>
      <c r="C646" s="45" t="str">
        <f>IF(Tabla96[[#This Row],[Id]]="","",VLOOKUP(Tabla96[[#This Row],[Id]]+1,TablaEquipos[],4,FALSE))</f>
        <v/>
      </c>
      <c r="D646" s="13" t="str">
        <f>IF(Tabla96[[#This Row],[Id]]="","",COUNTIF(TablaTiempos[Club],Tabla96[[#This Row],[Pos]]))</f>
        <v/>
      </c>
      <c r="E646" s="47" t="str">
        <f>IF(Tabla96[[#This Row],[Id]]="","",Tabla96[[#This Row],[Total Llegados a Meta]]/Tabla96[[#This Row],[Total Inscritos]])</f>
        <v/>
      </c>
      <c r="F64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46" s="43">
        <f ca="1">NOW()-'LOS TIEMPOS'!$K$2</f>
        <v>42368.075526157409</v>
      </c>
    </row>
    <row r="647" spans="1:8" x14ac:dyDescent="0.2">
      <c r="A647" s="13" t="str">
        <f>IF(ROW()-5&lt;=COUNTA(TablaEquipos[Compite]),ROW()-7,"")</f>
        <v/>
      </c>
      <c r="B647" s="10" t="str">
        <f>IF(Tabla96[[#This Row],[Id]]="","",VLOOKUP(Tabla96[[#This Row],[Id]]+1,TablaEquipos[],3,FALSE))</f>
        <v/>
      </c>
      <c r="C647" s="45" t="str">
        <f>IF(Tabla96[[#This Row],[Id]]="","",VLOOKUP(Tabla96[[#This Row],[Id]]+1,TablaEquipos[],4,FALSE))</f>
        <v/>
      </c>
      <c r="D647" s="13" t="str">
        <f>IF(Tabla96[[#This Row],[Id]]="","",COUNTIF(TablaTiempos[Club],Tabla96[[#This Row],[Pos]]))</f>
        <v/>
      </c>
      <c r="E647" s="47" t="str">
        <f>IF(Tabla96[[#This Row],[Id]]="","",Tabla96[[#This Row],[Total Llegados a Meta]]/Tabla96[[#This Row],[Total Inscritos]])</f>
        <v/>
      </c>
      <c r="F64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47" s="43">
        <f ca="1">NOW()-'LOS TIEMPOS'!$K$2</f>
        <v>42368.075526157409</v>
      </c>
    </row>
    <row r="648" spans="1:8" x14ac:dyDescent="0.2">
      <c r="A648" s="13" t="str">
        <f>IF(ROW()-5&lt;=COUNTA(TablaEquipos[Compite]),ROW()-7,"")</f>
        <v/>
      </c>
      <c r="B648" s="10" t="str">
        <f>IF(Tabla96[[#This Row],[Id]]="","",VLOOKUP(Tabla96[[#This Row],[Id]]+1,TablaEquipos[],3,FALSE))</f>
        <v/>
      </c>
      <c r="C648" s="45" t="str">
        <f>IF(Tabla96[[#This Row],[Id]]="","",VLOOKUP(Tabla96[[#This Row],[Id]]+1,TablaEquipos[],4,FALSE))</f>
        <v/>
      </c>
      <c r="D648" s="13" t="str">
        <f>IF(Tabla96[[#This Row],[Id]]="","",COUNTIF(TablaTiempos[Club],Tabla96[[#This Row],[Pos]]))</f>
        <v/>
      </c>
      <c r="E648" s="47" t="str">
        <f>IF(Tabla96[[#This Row],[Id]]="","",Tabla96[[#This Row],[Total Llegados a Meta]]/Tabla96[[#This Row],[Total Inscritos]])</f>
        <v/>
      </c>
      <c r="F64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48" s="43">
        <f ca="1">NOW()-'LOS TIEMPOS'!$K$2</f>
        <v>42368.075526157409</v>
      </c>
    </row>
    <row r="649" spans="1:8" x14ac:dyDescent="0.2">
      <c r="A649" s="13" t="str">
        <f>IF(ROW()-5&lt;=COUNTA(TablaEquipos[Compite]),ROW()-7,"")</f>
        <v/>
      </c>
      <c r="B649" s="10" t="str">
        <f>IF(Tabla96[[#This Row],[Id]]="","",VLOOKUP(Tabla96[[#This Row],[Id]]+1,TablaEquipos[],3,FALSE))</f>
        <v/>
      </c>
      <c r="C649" s="45" t="str">
        <f>IF(Tabla96[[#This Row],[Id]]="","",VLOOKUP(Tabla96[[#This Row],[Id]]+1,TablaEquipos[],4,FALSE))</f>
        <v/>
      </c>
      <c r="D649" s="13" t="str">
        <f>IF(Tabla96[[#This Row],[Id]]="","",COUNTIF(TablaTiempos[Club],Tabla96[[#This Row],[Pos]]))</f>
        <v/>
      </c>
      <c r="E649" s="47" t="str">
        <f>IF(Tabla96[[#This Row],[Id]]="","",Tabla96[[#This Row],[Total Llegados a Meta]]/Tabla96[[#This Row],[Total Inscritos]])</f>
        <v/>
      </c>
      <c r="F64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49" s="43">
        <f ca="1">NOW()-'LOS TIEMPOS'!$K$2</f>
        <v>42368.075526157409</v>
      </c>
    </row>
    <row r="650" spans="1:8" x14ac:dyDescent="0.2">
      <c r="A650" s="13" t="str">
        <f>IF(ROW()-5&lt;=COUNTA(TablaEquipos[Compite]),ROW()-7,"")</f>
        <v/>
      </c>
      <c r="B650" s="10" t="str">
        <f>IF(Tabla96[[#This Row],[Id]]="","",VLOOKUP(Tabla96[[#This Row],[Id]]+1,TablaEquipos[],3,FALSE))</f>
        <v/>
      </c>
      <c r="C650" s="45" t="str">
        <f>IF(Tabla96[[#This Row],[Id]]="","",VLOOKUP(Tabla96[[#This Row],[Id]]+1,TablaEquipos[],4,FALSE))</f>
        <v/>
      </c>
      <c r="D650" s="13" t="str">
        <f>IF(Tabla96[[#This Row],[Id]]="","",COUNTIF(TablaTiempos[Club],Tabla96[[#This Row],[Pos]]))</f>
        <v/>
      </c>
      <c r="E650" s="47" t="str">
        <f>IF(Tabla96[[#This Row],[Id]]="","",Tabla96[[#This Row],[Total Llegados a Meta]]/Tabla96[[#This Row],[Total Inscritos]])</f>
        <v/>
      </c>
      <c r="F65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50" s="43">
        <f ca="1">NOW()-'LOS TIEMPOS'!$K$2</f>
        <v>42368.075526157409</v>
      </c>
    </row>
    <row r="651" spans="1:8" x14ac:dyDescent="0.2">
      <c r="A651" s="13" t="str">
        <f>IF(ROW()-5&lt;=COUNTA(TablaEquipos[Compite]),ROW()-7,"")</f>
        <v/>
      </c>
      <c r="B651" s="10" t="str">
        <f>IF(Tabla96[[#This Row],[Id]]="","",VLOOKUP(Tabla96[[#This Row],[Id]]+1,TablaEquipos[],3,FALSE))</f>
        <v/>
      </c>
      <c r="C651" s="45" t="str">
        <f>IF(Tabla96[[#This Row],[Id]]="","",VLOOKUP(Tabla96[[#This Row],[Id]]+1,TablaEquipos[],4,FALSE))</f>
        <v/>
      </c>
      <c r="D651" s="13" t="str">
        <f>IF(Tabla96[[#This Row],[Id]]="","",COUNTIF(TablaTiempos[Club],Tabla96[[#This Row],[Pos]]))</f>
        <v/>
      </c>
      <c r="E651" s="47" t="str">
        <f>IF(Tabla96[[#This Row],[Id]]="","",Tabla96[[#This Row],[Total Llegados a Meta]]/Tabla96[[#This Row],[Total Inscritos]])</f>
        <v/>
      </c>
      <c r="F65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51" s="43">
        <f ca="1">NOW()-'LOS TIEMPOS'!$K$2</f>
        <v>42368.075526157409</v>
      </c>
    </row>
    <row r="652" spans="1:8" x14ac:dyDescent="0.2">
      <c r="A652" s="13" t="str">
        <f>IF(ROW()-5&lt;=COUNTA(TablaEquipos[Compite]),ROW()-7,"")</f>
        <v/>
      </c>
      <c r="B652" s="10" t="str">
        <f>IF(Tabla96[[#This Row],[Id]]="","",VLOOKUP(Tabla96[[#This Row],[Id]]+1,TablaEquipos[],3,FALSE))</f>
        <v/>
      </c>
      <c r="C652" s="45" t="str">
        <f>IF(Tabla96[[#This Row],[Id]]="","",VLOOKUP(Tabla96[[#This Row],[Id]]+1,TablaEquipos[],4,FALSE))</f>
        <v/>
      </c>
      <c r="D652" s="13" t="str">
        <f>IF(Tabla96[[#This Row],[Id]]="","",COUNTIF(TablaTiempos[Club],Tabla96[[#This Row],[Pos]]))</f>
        <v/>
      </c>
      <c r="E652" s="47" t="str">
        <f>IF(Tabla96[[#This Row],[Id]]="","",Tabla96[[#This Row],[Total Llegados a Meta]]/Tabla96[[#This Row],[Total Inscritos]])</f>
        <v/>
      </c>
      <c r="F65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52" s="43">
        <f ca="1">NOW()-'LOS TIEMPOS'!$K$2</f>
        <v>42368.075526157409</v>
      </c>
    </row>
    <row r="653" spans="1:8" x14ac:dyDescent="0.2">
      <c r="A653" s="13" t="str">
        <f>IF(ROW()-5&lt;=COUNTA(TablaEquipos[Compite]),ROW()-7,"")</f>
        <v/>
      </c>
      <c r="B653" s="10" t="str">
        <f>IF(Tabla96[[#This Row],[Id]]="","",VLOOKUP(Tabla96[[#This Row],[Id]]+1,TablaEquipos[],3,FALSE))</f>
        <v/>
      </c>
      <c r="C653" s="45" t="str">
        <f>IF(Tabla96[[#This Row],[Id]]="","",VLOOKUP(Tabla96[[#This Row],[Id]]+1,TablaEquipos[],4,FALSE))</f>
        <v/>
      </c>
      <c r="D653" s="13" t="str">
        <f>IF(Tabla96[[#This Row],[Id]]="","",COUNTIF(TablaTiempos[Club],Tabla96[[#This Row],[Pos]]))</f>
        <v/>
      </c>
      <c r="E653" s="47" t="str">
        <f>IF(Tabla96[[#This Row],[Id]]="","",Tabla96[[#This Row],[Total Llegados a Meta]]/Tabla96[[#This Row],[Total Inscritos]])</f>
        <v/>
      </c>
      <c r="F65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53" s="43">
        <f ca="1">NOW()-'LOS TIEMPOS'!$K$2</f>
        <v>42368.075526157409</v>
      </c>
    </row>
    <row r="654" spans="1:8" x14ac:dyDescent="0.2">
      <c r="A654" s="13" t="str">
        <f>IF(ROW()-5&lt;=COUNTA(TablaEquipos[Compite]),ROW()-7,"")</f>
        <v/>
      </c>
      <c r="B654" s="10" t="str">
        <f>IF(Tabla96[[#This Row],[Id]]="","",VLOOKUP(Tabla96[[#This Row],[Id]]+1,TablaEquipos[],3,FALSE))</f>
        <v/>
      </c>
      <c r="C654" s="45" t="str">
        <f>IF(Tabla96[[#This Row],[Id]]="","",VLOOKUP(Tabla96[[#This Row],[Id]]+1,TablaEquipos[],4,FALSE))</f>
        <v/>
      </c>
      <c r="D654" s="13" t="str">
        <f>IF(Tabla96[[#This Row],[Id]]="","",COUNTIF(TablaTiempos[Club],Tabla96[[#This Row],[Pos]]))</f>
        <v/>
      </c>
      <c r="E654" s="47" t="str">
        <f>IF(Tabla96[[#This Row],[Id]]="","",Tabla96[[#This Row],[Total Llegados a Meta]]/Tabla96[[#This Row],[Total Inscritos]])</f>
        <v/>
      </c>
      <c r="F65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54" s="43">
        <f ca="1">NOW()-'LOS TIEMPOS'!$K$2</f>
        <v>42368.075526157409</v>
      </c>
    </row>
    <row r="655" spans="1:8" x14ac:dyDescent="0.2">
      <c r="A655" s="13" t="str">
        <f>IF(ROW()-5&lt;=COUNTA(TablaEquipos[Compite]),ROW()-7,"")</f>
        <v/>
      </c>
      <c r="B655" s="10" t="str">
        <f>IF(Tabla96[[#This Row],[Id]]="","",VLOOKUP(Tabla96[[#This Row],[Id]]+1,TablaEquipos[],3,FALSE))</f>
        <v/>
      </c>
      <c r="C655" s="45" t="str">
        <f>IF(Tabla96[[#This Row],[Id]]="","",VLOOKUP(Tabla96[[#This Row],[Id]]+1,TablaEquipos[],4,FALSE))</f>
        <v/>
      </c>
      <c r="D655" s="13" t="str">
        <f>IF(Tabla96[[#This Row],[Id]]="","",COUNTIF(TablaTiempos[Club],Tabla96[[#This Row],[Pos]]))</f>
        <v/>
      </c>
      <c r="E655" s="47" t="str">
        <f>IF(Tabla96[[#This Row],[Id]]="","",Tabla96[[#This Row],[Total Llegados a Meta]]/Tabla96[[#This Row],[Total Inscritos]])</f>
        <v/>
      </c>
      <c r="F65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55" s="43">
        <f ca="1">NOW()-'LOS TIEMPOS'!$K$2</f>
        <v>42368.075526157409</v>
      </c>
    </row>
    <row r="656" spans="1:8" x14ac:dyDescent="0.2">
      <c r="A656" s="13" t="str">
        <f>IF(ROW()-5&lt;=COUNTA(TablaEquipos[Compite]),ROW()-7,"")</f>
        <v/>
      </c>
      <c r="B656" s="10" t="str">
        <f>IF(Tabla96[[#This Row],[Id]]="","",VLOOKUP(Tabla96[[#This Row],[Id]]+1,TablaEquipos[],3,FALSE))</f>
        <v/>
      </c>
      <c r="C656" s="45" t="str">
        <f>IF(Tabla96[[#This Row],[Id]]="","",VLOOKUP(Tabla96[[#This Row],[Id]]+1,TablaEquipos[],4,FALSE))</f>
        <v/>
      </c>
      <c r="D656" s="13" t="str">
        <f>IF(Tabla96[[#This Row],[Id]]="","",COUNTIF(TablaTiempos[Club],Tabla96[[#This Row],[Pos]]))</f>
        <v/>
      </c>
      <c r="E656" s="47" t="str">
        <f>IF(Tabla96[[#This Row],[Id]]="","",Tabla96[[#This Row],[Total Llegados a Meta]]/Tabla96[[#This Row],[Total Inscritos]])</f>
        <v/>
      </c>
      <c r="F65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56" s="43">
        <f ca="1">NOW()-'LOS TIEMPOS'!$K$2</f>
        <v>42368.075526157409</v>
      </c>
    </row>
    <row r="657" spans="1:8" x14ac:dyDescent="0.2">
      <c r="A657" s="13" t="str">
        <f>IF(ROW()-5&lt;=COUNTA(TablaEquipos[Compite]),ROW()-7,"")</f>
        <v/>
      </c>
      <c r="B657" s="10" t="str">
        <f>IF(Tabla96[[#This Row],[Id]]="","",VLOOKUP(Tabla96[[#This Row],[Id]]+1,TablaEquipos[],3,FALSE))</f>
        <v/>
      </c>
      <c r="C657" s="45" t="str">
        <f>IF(Tabla96[[#This Row],[Id]]="","",VLOOKUP(Tabla96[[#This Row],[Id]]+1,TablaEquipos[],4,FALSE))</f>
        <v/>
      </c>
      <c r="D657" s="13" t="str">
        <f>IF(Tabla96[[#This Row],[Id]]="","",COUNTIF(TablaTiempos[Club],Tabla96[[#This Row],[Pos]]))</f>
        <v/>
      </c>
      <c r="E657" s="47" t="str">
        <f>IF(Tabla96[[#This Row],[Id]]="","",Tabla96[[#This Row],[Total Llegados a Meta]]/Tabla96[[#This Row],[Total Inscritos]])</f>
        <v/>
      </c>
      <c r="F65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57" s="43">
        <f ca="1">NOW()-'LOS TIEMPOS'!$K$2</f>
        <v>42368.075526157409</v>
      </c>
    </row>
    <row r="658" spans="1:8" x14ac:dyDescent="0.2">
      <c r="A658" s="13" t="str">
        <f>IF(ROW()-5&lt;=COUNTA(TablaEquipos[Compite]),ROW()-7,"")</f>
        <v/>
      </c>
      <c r="B658" s="10" t="str">
        <f>IF(Tabla96[[#This Row],[Id]]="","",VLOOKUP(Tabla96[[#This Row],[Id]]+1,TablaEquipos[],3,FALSE))</f>
        <v/>
      </c>
      <c r="C658" s="45" t="str">
        <f>IF(Tabla96[[#This Row],[Id]]="","",VLOOKUP(Tabla96[[#This Row],[Id]]+1,TablaEquipos[],4,FALSE))</f>
        <v/>
      </c>
      <c r="D658" s="13" t="str">
        <f>IF(Tabla96[[#This Row],[Id]]="","",COUNTIF(TablaTiempos[Club],Tabla96[[#This Row],[Pos]]))</f>
        <v/>
      </c>
      <c r="E658" s="47" t="str">
        <f>IF(Tabla96[[#This Row],[Id]]="","",Tabla96[[#This Row],[Total Llegados a Meta]]/Tabla96[[#This Row],[Total Inscritos]])</f>
        <v/>
      </c>
      <c r="F65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58" s="43">
        <f ca="1">NOW()-'LOS TIEMPOS'!$K$2</f>
        <v>42368.075526157409</v>
      </c>
    </row>
    <row r="659" spans="1:8" x14ac:dyDescent="0.2">
      <c r="A659" s="13" t="str">
        <f>IF(ROW()-5&lt;=COUNTA(TablaEquipos[Compite]),ROW()-7,"")</f>
        <v/>
      </c>
      <c r="B659" s="10" t="str">
        <f>IF(Tabla96[[#This Row],[Id]]="","",VLOOKUP(Tabla96[[#This Row],[Id]]+1,TablaEquipos[],3,FALSE))</f>
        <v/>
      </c>
      <c r="C659" s="45" t="str">
        <f>IF(Tabla96[[#This Row],[Id]]="","",VLOOKUP(Tabla96[[#This Row],[Id]]+1,TablaEquipos[],4,FALSE))</f>
        <v/>
      </c>
      <c r="D659" s="13" t="str">
        <f>IF(Tabla96[[#This Row],[Id]]="","",COUNTIF(TablaTiempos[Club],Tabla96[[#This Row],[Pos]]))</f>
        <v/>
      </c>
      <c r="E659" s="47" t="str">
        <f>IF(Tabla96[[#This Row],[Id]]="","",Tabla96[[#This Row],[Total Llegados a Meta]]/Tabla96[[#This Row],[Total Inscritos]])</f>
        <v/>
      </c>
      <c r="F65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59" s="43">
        <f ca="1">NOW()-'LOS TIEMPOS'!$K$2</f>
        <v>42368.075526157409</v>
      </c>
    </row>
    <row r="660" spans="1:8" x14ac:dyDescent="0.2">
      <c r="A660" s="13" t="str">
        <f>IF(ROW()-5&lt;=COUNTA(TablaEquipos[Compite]),ROW()-7,"")</f>
        <v/>
      </c>
      <c r="B660" s="10" t="str">
        <f>IF(Tabla96[[#This Row],[Id]]="","",VLOOKUP(Tabla96[[#This Row],[Id]]+1,TablaEquipos[],3,FALSE))</f>
        <v/>
      </c>
      <c r="C660" s="45" t="str">
        <f>IF(Tabla96[[#This Row],[Id]]="","",VLOOKUP(Tabla96[[#This Row],[Id]]+1,TablaEquipos[],4,FALSE))</f>
        <v/>
      </c>
      <c r="D660" s="13" t="str">
        <f>IF(Tabla96[[#This Row],[Id]]="","",COUNTIF(TablaTiempos[Club],Tabla96[[#This Row],[Pos]]))</f>
        <v/>
      </c>
      <c r="E660" s="47" t="str">
        <f>IF(Tabla96[[#This Row],[Id]]="","",Tabla96[[#This Row],[Total Llegados a Meta]]/Tabla96[[#This Row],[Total Inscritos]])</f>
        <v/>
      </c>
      <c r="F66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60" s="43">
        <f ca="1">NOW()-'LOS TIEMPOS'!$K$2</f>
        <v>42368.075526157409</v>
      </c>
    </row>
    <row r="661" spans="1:8" x14ac:dyDescent="0.2">
      <c r="A661" s="13" t="str">
        <f>IF(ROW()-5&lt;=COUNTA(TablaEquipos[Compite]),ROW()-7,"")</f>
        <v/>
      </c>
      <c r="B661" s="10" t="str">
        <f>IF(Tabla96[[#This Row],[Id]]="","",VLOOKUP(Tabla96[[#This Row],[Id]]+1,TablaEquipos[],3,FALSE))</f>
        <v/>
      </c>
      <c r="C661" s="45" t="str">
        <f>IF(Tabla96[[#This Row],[Id]]="","",VLOOKUP(Tabla96[[#This Row],[Id]]+1,TablaEquipos[],4,FALSE))</f>
        <v/>
      </c>
      <c r="D661" s="13" t="str">
        <f>IF(Tabla96[[#This Row],[Id]]="","",COUNTIF(TablaTiempos[Club],Tabla96[[#This Row],[Pos]]))</f>
        <v/>
      </c>
      <c r="E661" s="47" t="str">
        <f>IF(Tabla96[[#This Row],[Id]]="","",Tabla96[[#This Row],[Total Llegados a Meta]]/Tabla96[[#This Row],[Total Inscritos]])</f>
        <v/>
      </c>
      <c r="F66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61" s="43">
        <f ca="1">NOW()-'LOS TIEMPOS'!$K$2</f>
        <v>42368.075526157409</v>
      </c>
    </row>
    <row r="662" spans="1:8" x14ac:dyDescent="0.2">
      <c r="A662" s="13" t="str">
        <f>IF(ROW()-5&lt;=COUNTA(TablaEquipos[Compite]),ROW()-7,"")</f>
        <v/>
      </c>
      <c r="B662" s="10" t="str">
        <f>IF(Tabla96[[#This Row],[Id]]="","",VLOOKUP(Tabla96[[#This Row],[Id]]+1,TablaEquipos[],3,FALSE))</f>
        <v/>
      </c>
      <c r="C662" s="45" t="str">
        <f>IF(Tabla96[[#This Row],[Id]]="","",VLOOKUP(Tabla96[[#This Row],[Id]]+1,TablaEquipos[],4,FALSE))</f>
        <v/>
      </c>
      <c r="D662" s="13" t="str">
        <f>IF(Tabla96[[#This Row],[Id]]="","",COUNTIF(TablaTiempos[Club],Tabla96[[#This Row],[Pos]]))</f>
        <v/>
      </c>
      <c r="E662" s="47" t="str">
        <f>IF(Tabla96[[#This Row],[Id]]="","",Tabla96[[#This Row],[Total Llegados a Meta]]/Tabla96[[#This Row],[Total Inscritos]])</f>
        <v/>
      </c>
      <c r="F66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62" s="43">
        <f ca="1">NOW()-'LOS TIEMPOS'!$K$2</f>
        <v>42368.075526157409</v>
      </c>
    </row>
    <row r="663" spans="1:8" x14ac:dyDescent="0.2">
      <c r="A663" s="13" t="str">
        <f>IF(ROW()-5&lt;=COUNTA(TablaEquipos[Compite]),ROW()-7,"")</f>
        <v/>
      </c>
      <c r="B663" s="10" t="str">
        <f>IF(Tabla96[[#This Row],[Id]]="","",VLOOKUP(Tabla96[[#This Row],[Id]]+1,TablaEquipos[],3,FALSE))</f>
        <v/>
      </c>
      <c r="C663" s="45" t="str">
        <f>IF(Tabla96[[#This Row],[Id]]="","",VLOOKUP(Tabla96[[#This Row],[Id]]+1,TablaEquipos[],4,FALSE))</f>
        <v/>
      </c>
      <c r="D663" s="13" t="str">
        <f>IF(Tabla96[[#This Row],[Id]]="","",COUNTIF(TablaTiempos[Club],Tabla96[[#This Row],[Pos]]))</f>
        <v/>
      </c>
      <c r="E663" s="47" t="str">
        <f>IF(Tabla96[[#This Row],[Id]]="","",Tabla96[[#This Row],[Total Llegados a Meta]]/Tabla96[[#This Row],[Total Inscritos]])</f>
        <v/>
      </c>
      <c r="F66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63" s="43">
        <f ca="1">NOW()-'LOS TIEMPOS'!$K$2</f>
        <v>42368.075526157409</v>
      </c>
    </row>
    <row r="664" spans="1:8" x14ac:dyDescent="0.2">
      <c r="A664" s="13" t="str">
        <f>IF(ROW()-5&lt;=COUNTA(TablaEquipos[Compite]),ROW()-7,"")</f>
        <v/>
      </c>
      <c r="B664" s="10" t="str">
        <f>IF(Tabla96[[#This Row],[Id]]="","",VLOOKUP(Tabla96[[#This Row],[Id]]+1,TablaEquipos[],3,FALSE))</f>
        <v/>
      </c>
      <c r="C664" s="45" t="str">
        <f>IF(Tabla96[[#This Row],[Id]]="","",VLOOKUP(Tabla96[[#This Row],[Id]]+1,TablaEquipos[],4,FALSE))</f>
        <v/>
      </c>
      <c r="D664" s="13" t="str">
        <f>IF(Tabla96[[#This Row],[Id]]="","",COUNTIF(TablaTiempos[Club],Tabla96[[#This Row],[Pos]]))</f>
        <v/>
      </c>
      <c r="E664" s="47" t="str">
        <f>IF(Tabla96[[#This Row],[Id]]="","",Tabla96[[#This Row],[Total Llegados a Meta]]/Tabla96[[#This Row],[Total Inscritos]])</f>
        <v/>
      </c>
      <c r="F66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64" s="43">
        <f ca="1">NOW()-'LOS TIEMPOS'!$K$2</f>
        <v>42368.075526157409</v>
      </c>
    </row>
    <row r="665" spans="1:8" x14ac:dyDescent="0.2">
      <c r="A665" s="13" t="str">
        <f>IF(ROW()-5&lt;=COUNTA(TablaEquipos[Compite]),ROW()-7,"")</f>
        <v/>
      </c>
      <c r="B665" s="10" t="str">
        <f>IF(Tabla96[[#This Row],[Id]]="","",VLOOKUP(Tabla96[[#This Row],[Id]]+1,TablaEquipos[],3,FALSE))</f>
        <v/>
      </c>
      <c r="C665" s="45" t="str">
        <f>IF(Tabla96[[#This Row],[Id]]="","",VLOOKUP(Tabla96[[#This Row],[Id]]+1,TablaEquipos[],4,FALSE))</f>
        <v/>
      </c>
      <c r="D665" s="13" t="str">
        <f>IF(Tabla96[[#This Row],[Id]]="","",COUNTIF(TablaTiempos[Club],Tabla96[[#This Row],[Pos]]))</f>
        <v/>
      </c>
      <c r="E665" s="47" t="str">
        <f>IF(Tabla96[[#This Row],[Id]]="","",Tabla96[[#This Row],[Total Llegados a Meta]]/Tabla96[[#This Row],[Total Inscritos]])</f>
        <v/>
      </c>
      <c r="F66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65" s="43">
        <f ca="1">NOW()-'LOS TIEMPOS'!$K$2</f>
        <v>42368.075526157409</v>
      </c>
    </row>
    <row r="666" spans="1:8" x14ac:dyDescent="0.2">
      <c r="A666" s="13" t="str">
        <f>IF(ROW()-5&lt;=COUNTA(TablaEquipos[Compite]),ROW()-7,"")</f>
        <v/>
      </c>
      <c r="B666" s="10" t="str">
        <f>IF(Tabla96[[#This Row],[Id]]="","",VLOOKUP(Tabla96[[#This Row],[Id]]+1,TablaEquipos[],3,FALSE))</f>
        <v/>
      </c>
      <c r="C666" s="45" t="str">
        <f>IF(Tabla96[[#This Row],[Id]]="","",VLOOKUP(Tabla96[[#This Row],[Id]]+1,TablaEquipos[],4,FALSE))</f>
        <v/>
      </c>
      <c r="D666" s="13" t="str">
        <f>IF(Tabla96[[#This Row],[Id]]="","",COUNTIF(TablaTiempos[Club],Tabla96[[#This Row],[Pos]]))</f>
        <v/>
      </c>
      <c r="E666" s="47" t="str">
        <f>IF(Tabla96[[#This Row],[Id]]="","",Tabla96[[#This Row],[Total Llegados a Meta]]/Tabla96[[#This Row],[Total Inscritos]])</f>
        <v/>
      </c>
      <c r="F66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66" s="43">
        <f ca="1">NOW()-'LOS TIEMPOS'!$K$2</f>
        <v>42368.075526157409</v>
      </c>
    </row>
    <row r="667" spans="1:8" x14ac:dyDescent="0.2">
      <c r="A667" s="13" t="str">
        <f>IF(ROW()-5&lt;=COUNTA(TablaEquipos[Compite]),ROW()-7,"")</f>
        <v/>
      </c>
      <c r="B667" s="10" t="str">
        <f>IF(Tabla96[[#This Row],[Id]]="","",VLOOKUP(Tabla96[[#This Row],[Id]]+1,TablaEquipos[],3,FALSE))</f>
        <v/>
      </c>
      <c r="C667" s="45" t="str">
        <f>IF(Tabla96[[#This Row],[Id]]="","",VLOOKUP(Tabla96[[#This Row],[Id]]+1,TablaEquipos[],4,FALSE))</f>
        <v/>
      </c>
      <c r="D667" s="13" t="str">
        <f>IF(Tabla96[[#This Row],[Id]]="","",COUNTIF(TablaTiempos[Club],Tabla96[[#This Row],[Pos]]))</f>
        <v/>
      </c>
      <c r="E667" s="47" t="str">
        <f>IF(Tabla96[[#This Row],[Id]]="","",Tabla96[[#This Row],[Total Llegados a Meta]]/Tabla96[[#This Row],[Total Inscritos]])</f>
        <v/>
      </c>
      <c r="F66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67" s="43">
        <f ca="1">NOW()-'LOS TIEMPOS'!$K$2</f>
        <v>42368.075526157409</v>
      </c>
    </row>
    <row r="668" spans="1:8" x14ac:dyDescent="0.2">
      <c r="A668" s="13" t="str">
        <f>IF(ROW()-5&lt;=COUNTA(TablaEquipos[Compite]),ROW()-7,"")</f>
        <v/>
      </c>
      <c r="B668" s="10" t="str">
        <f>IF(Tabla96[[#This Row],[Id]]="","",VLOOKUP(Tabla96[[#This Row],[Id]]+1,TablaEquipos[],3,FALSE))</f>
        <v/>
      </c>
      <c r="C668" s="45" t="str">
        <f>IF(Tabla96[[#This Row],[Id]]="","",VLOOKUP(Tabla96[[#This Row],[Id]]+1,TablaEquipos[],4,FALSE))</f>
        <v/>
      </c>
      <c r="D668" s="13" t="str">
        <f>IF(Tabla96[[#This Row],[Id]]="","",COUNTIF(TablaTiempos[Club],Tabla96[[#This Row],[Pos]]))</f>
        <v/>
      </c>
      <c r="E668" s="47" t="str">
        <f>IF(Tabla96[[#This Row],[Id]]="","",Tabla96[[#This Row],[Total Llegados a Meta]]/Tabla96[[#This Row],[Total Inscritos]])</f>
        <v/>
      </c>
      <c r="F66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68" s="43">
        <f ca="1">NOW()-'LOS TIEMPOS'!$K$2</f>
        <v>42368.075526157409</v>
      </c>
    </row>
    <row r="669" spans="1:8" x14ac:dyDescent="0.2">
      <c r="A669" s="13" t="str">
        <f>IF(ROW()-5&lt;=COUNTA(TablaEquipos[Compite]),ROW()-7,"")</f>
        <v/>
      </c>
      <c r="B669" s="10" t="str">
        <f>IF(Tabla96[[#This Row],[Id]]="","",VLOOKUP(Tabla96[[#This Row],[Id]]+1,TablaEquipos[],3,FALSE))</f>
        <v/>
      </c>
      <c r="C669" s="45" t="str">
        <f>IF(Tabla96[[#This Row],[Id]]="","",VLOOKUP(Tabla96[[#This Row],[Id]]+1,TablaEquipos[],4,FALSE))</f>
        <v/>
      </c>
      <c r="D669" s="13" t="str">
        <f>IF(Tabla96[[#This Row],[Id]]="","",COUNTIF(TablaTiempos[Club],Tabla96[[#This Row],[Pos]]))</f>
        <v/>
      </c>
      <c r="E669" s="47" t="str">
        <f>IF(Tabla96[[#This Row],[Id]]="","",Tabla96[[#This Row],[Total Llegados a Meta]]/Tabla96[[#This Row],[Total Inscritos]])</f>
        <v/>
      </c>
      <c r="F66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69" s="43">
        <f ca="1">NOW()-'LOS TIEMPOS'!$K$2</f>
        <v>42368.075526157409</v>
      </c>
    </row>
    <row r="670" spans="1:8" x14ac:dyDescent="0.2">
      <c r="A670" s="13" t="str">
        <f>IF(ROW()-5&lt;=COUNTA(TablaEquipos[Compite]),ROW()-7,"")</f>
        <v/>
      </c>
      <c r="B670" s="10" t="str">
        <f>IF(Tabla96[[#This Row],[Id]]="","",VLOOKUP(Tabla96[[#This Row],[Id]]+1,TablaEquipos[],3,FALSE))</f>
        <v/>
      </c>
      <c r="C670" s="45" t="str">
        <f>IF(Tabla96[[#This Row],[Id]]="","",VLOOKUP(Tabla96[[#This Row],[Id]]+1,TablaEquipos[],4,FALSE))</f>
        <v/>
      </c>
      <c r="D670" s="13" t="str">
        <f>IF(Tabla96[[#This Row],[Id]]="","",COUNTIF(TablaTiempos[Club],Tabla96[[#This Row],[Pos]]))</f>
        <v/>
      </c>
      <c r="E670" s="47" t="str">
        <f>IF(Tabla96[[#This Row],[Id]]="","",Tabla96[[#This Row],[Total Llegados a Meta]]/Tabla96[[#This Row],[Total Inscritos]])</f>
        <v/>
      </c>
      <c r="F67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70" s="43">
        <f ca="1">NOW()-'LOS TIEMPOS'!$K$2</f>
        <v>42368.075526157409</v>
      </c>
    </row>
    <row r="671" spans="1:8" x14ac:dyDescent="0.2">
      <c r="A671" s="13" t="str">
        <f>IF(ROW()-5&lt;=COUNTA(TablaEquipos[Compite]),ROW()-7,"")</f>
        <v/>
      </c>
      <c r="B671" s="10" t="str">
        <f>IF(Tabla96[[#This Row],[Id]]="","",VLOOKUP(Tabla96[[#This Row],[Id]]+1,TablaEquipos[],3,FALSE))</f>
        <v/>
      </c>
      <c r="C671" s="45" t="str">
        <f>IF(Tabla96[[#This Row],[Id]]="","",VLOOKUP(Tabla96[[#This Row],[Id]]+1,TablaEquipos[],4,FALSE))</f>
        <v/>
      </c>
      <c r="D671" s="13" t="str">
        <f>IF(Tabla96[[#This Row],[Id]]="","",COUNTIF(TablaTiempos[Club],Tabla96[[#This Row],[Pos]]))</f>
        <v/>
      </c>
      <c r="E671" s="47" t="str">
        <f>IF(Tabla96[[#This Row],[Id]]="","",Tabla96[[#This Row],[Total Llegados a Meta]]/Tabla96[[#This Row],[Total Inscritos]])</f>
        <v/>
      </c>
      <c r="F67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71" s="43">
        <f ca="1">NOW()-'LOS TIEMPOS'!$K$2</f>
        <v>42368.075526157409</v>
      </c>
    </row>
    <row r="672" spans="1:8" x14ac:dyDescent="0.2">
      <c r="A672" s="13" t="str">
        <f>IF(ROW()-5&lt;=COUNTA(TablaEquipos[Compite]),ROW()-7,"")</f>
        <v/>
      </c>
      <c r="B672" s="10" t="str">
        <f>IF(Tabla96[[#This Row],[Id]]="","",VLOOKUP(Tabla96[[#This Row],[Id]]+1,TablaEquipos[],3,FALSE))</f>
        <v/>
      </c>
      <c r="C672" s="45" t="str">
        <f>IF(Tabla96[[#This Row],[Id]]="","",VLOOKUP(Tabla96[[#This Row],[Id]]+1,TablaEquipos[],4,FALSE))</f>
        <v/>
      </c>
      <c r="D672" s="13" t="str">
        <f>IF(Tabla96[[#This Row],[Id]]="","",COUNTIF(TablaTiempos[Club],Tabla96[[#This Row],[Pos]]))</f>
        <v/>
      </c>
      <c r="E672" s="47" t="str">
        <f>IF(Tabla96[[#This Row],[Id]]="","",Tabla96[[#This Row],[Total Llegados a Meta]]/Tabla96[[#This Row],[Total Inscritos]])</f>
        <v/>
      </c>
      <c r="F67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72" s="43">
        <f ca="1">NOW()-'LOS TIEMPOS'!$K$2</f>
        <v>42368.075526157409</v>
      </c>
    </row>
    <row r="673" spans="1:8" x14ac:dyDescent="0.2">
      <c r="A673" s="13" t="str">
        <f>IF(ROW()-5&lt;=COUNTA(TablaEquipos[Compite]),ROW()-7,"")</f>
        <v/>
      </c>
      <c r="B673" s="10" t="str">
        <f>IF(Tabla96[[#This Row],[Id]]="","",VLOOKUP(Tabla96[[#This Row],[Id]]+1,TablaEquipos[],3,FALSE))</f>
        <v/>
      </c>
      <c r="C673" s="45" t="str">
        <f>IF(Tabla96[[#This Row],[Id]]="","",VLOOKUP(Tabla96[[#This Row],[Id]]+1,TablaEquipos[],4,FALSE))</f>
        <v/>
      </c>
      <c r="D673" s="13" t="str">
        <f>IF(Tabla96[[#This Row],[Id]]="","",COUNTIF(TablaTiempos[Club],Tabla96[[#This Row],[Pos]]))</f>
        <v/>
      </c>
      <c r="E673" s="47" t="str">
        <f>IF(Tabla96[[#This Row],[Id]]="","",Tabla96[[#This Row],[Total Llegados a Meta]]/Tabla96[[#This Row],[Total Inscritos]])</f>
        <v/>
      </c>
      <c r="F67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73" s="43">
        <f ca="1">NOW()-'LOS TIEMPOS'!$K$2</f>
        <v>42368.075526157409</v>
      </c>
    </row>
    <row r="674" spans="1:8" x14ac:dyDescent="0.2">
      <c r="A674" s="13" t="str">
        <f>IF(ROW()-5&lt;=COUNTA(TablaEquipos[Compite]),ROW()-7,"")</f>
        <v/>
      </c>
      <c r="B674" s="10" t="str">
        <f>IF(Tabla96[[#This Row],[Id]]="","",VLOOKUP(Tabla96[[#This Row],[Id]]+1,TablaEquipos[],3,FALSE))</f>
        <v/>
      </c>
      <c r="C674" s="45" t="str">
        <f>IF(Tabla96[[#This Row],[Id]]="","",VLOOKUP(Tabla96[[#This Row],[Id]]+1,TablaEquipos[],4,FALSE))</f>
        <v/>
      </c>
      <c r="D674" s="13" t="str">
        <f>IF(Tabla96[[#This Row],[Id]]="","",COUNTIF(TablaTiempos[Club],Tabla96[[#This Row],[Pos]]))</f>
        <v/>
      </c>
      <c r="E674" s="47" t="str">
        <f>IF(Tabla96[[#This Row],[Id]]="","",Tabla96[[#This Row],[Total Llegados a Meta]]/Tabla96[[#This Row],[Total Inscritos]])</f>
        <v/>
      </c>
      <c r="F67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74" s="43">
        <f ca="1">NOW()-'LOS TIEMPOS'!$K$2</f>
        <v>42368.075526157409</v>
      </c>
    </row>
    <row r="675" spans="1:8" x14ac:dyDescent="0.2">
      <c r="A675" s="13" t="str">
        <f>IF(ROW()-5&lt;=COUNTA(TablaEquipos[Compite]),ROW()-7,"")</f>
        <v/>
      </c>
      <c r="B675" s="10" t="str">
        <f>IF(Tabla96[[#This Row],[Id]]="","",VLOOKUP(Tabla96[[#This Row],[Id]]+1,TablaEquipos[],3,FALSE))</f>
        <v/>
      </c>
      <c r="C675" s="45" t="str">
        <f>IF(Tabla96[[#This Row],[Id]]="","",VLOOKUP(Tabla96[[#This Row],[Id]]+1,TablaEquipos[],4,FALSE))</f>
        <v/>
      </c>
      <c r="D675" s="13" t="str">
        <f>IF(Tabla96[[#This Row],[Id]]="","",COUNTIF(TablaTiempos[Club],Tabla96[[#This Row],[Pos]]))</f>
        <v/>
      </c>
      <c r="E675" s="47" t="str">
        <f>IF(Tabla96[[#This Row],[Id]]="","",Tabla96[[#This Row],[Total Llegados a Meta]]/Tabla96[[#This Row],[Total Inscritos]])</f>
        <v/>
      </c>
      <c r="F67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75" s="43">
        <f ca="1">NOW()-'LOS TIEMPOS'!$K$2</f>
        <v>42368.075526157409</v>
      </c>
    </row>
    <row r="676" spans="1:8" x14ac:dyDescent="0.2">
      <c r="A676" s="13" t="str">
        <f>IF(ROW()-5&lt;=COUNTA(TablaEquipos[Compite]),ROW()-7,"")</f>
        <v/>
      </c>
      <c r="B676" s="10" t="str">
        <f>IF(Tabla96[[#This Row],[Id]]="","",VLOOKUP(Tabla96[[#This Row],[Id]]+1,TablaEquipos[],3,FALSE))</f>
        <v/>
      </c>
      <c r="C676" s="45" t="str">
        <f>IF(Tabla96[[#This Row],[Id]]="","",VLOOKUP(Tabla96[[#This Row],[Id]]+1,TablaEquipos[],4,FALSE))</f>
        <v/>
      </c>
      <c r="D676" s="13" t="str">
        <f>IF(Tabla96[[#This Row],[Id]]="","",COUNTIF(TablaTiempos[Club],Tabla96[[#This Row],[Pos]]))</f>
        <v/>
      </c>
      <c r="E676" s="47" t="str">
        <f>IF(Tabla96[[#This Row],[Id]]="","",Tabla96[[#This Row],[Total Llegados a Meta]]/Tabla96[[#This Row],[Total Inscritos]])</f>
        <v/>
      </c>
      <c r="F67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76" s="43">
        <f ca="1">NOW()-'LOS TIEMPOS'!$K$2</f>
        <v>42368.075526157409</v>
      </c>
    </row>
    <row r="677" spans="1:8" x14ac:dyDescent="0.2">
      <c r="A677" s="13" t="str">
        <f>IF(ROW()-5&lt;=COUNTA(TablaEquipos[Compite]),ROW()-7,"")</f>
        <v/>
      </c>
      <c r="B677" s="10" t="str">
        <f>IF(Tabla96[[#This Row],[Id]]="","",VLOOKUP(Tabla96[[#This Row],[Id]]+1,TablaEquipos[],3,FALSE))</f>
        <v/>
      </c>
      <c r="C677" s="45" t="str">
        <f>IF(Tabla96[[#This Row],[Id]]="","",VLOOKUP(Tabla96[[#This Row],[Id]]+1,TablaEquipos[],4,FALSE))</f>
        <v/>
      </c>
      <c r="D677" s="13" t="str">
        <f>IF(Tabla96[[#This Row],[Id]]="","",COUNTIF(TablaTiempos[Club],Tabla96[[#This Row],[Pos]]))</f>
        <v/>
      </c>
      <c r="E677" s="47" t="str">
        <f>IF(Tabla96[[#This Row],[Id]]="","",Tabla96[[#This Row],[Total Llegados a Meta]]/Tabla96[[#This Row],[Total Inscritos]])</f>
        <v/>
      </c>
      <c r="F67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77" s="43">
        <f ca="1">NOW()-'LOS TIEMPOS'!$K$2</f>
        <v>42368.075526157409</v>
      </c>
    </row>
    <row r="678" spans="1:8" x14ac:dyDescent="0.2">
      <c r="A678" s="13" t="str">
        <f>IF(ROW()-5&lt;=COUNTA(TablaEquipos[Compite]),ROW()-7,"")</f>
        <v/>
      </c>
      <c r="B678" s="10" t="str">
        <f>IF(Tabla96[[#This Row],[Id]]="","",VLOOKUP(Tabla96[[#This Row],[Id]]+1,TablaEquipos[],3,FALSE))</f>
        <v/>
      </c>
      <c r="C678" s="45" t="str">
        <f>IF(Tabla96[[#This Row],[Id]]="","",VLOOKUP(Tabla96[[#This Row],[Id]]+1,TablaEquipos[],4,FALSE))</f>
        <v/>
      </c>
      <c r="D678" s="13" t="str">
        <f>IF(Tabla96[[#This Row],[Id]]="","",COUNTIF(TablaTiempos[Club],Tabla96[[#This Row],[Pos]]))</f>
        <v/>
      </c>
      <c r="E678" s="47" t="str">
        <f>IF(Tabla96[[#This Row],[Id]]="","",Tabla96[[#This Row],[Total Llegados a Meta]]/Tabla96[[#This Row],[Total Inscritos]])</f>
        <v/>
      </c>
      <c r="F67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78" s="43">
        <f ca="1">NOW()-'LOS TIEMPOS'!$K$2</f>
        <v>42368.075526157409</v>
      </c>
    </row>
    <row r="679" spans="1:8" x14ac:dyDescent="0.2">
      <c r="A679" s="13" t="str">
        <f>IF(ROW()-5&lt;=COUNTA(TablaEquipos[Compite]),ROW()-7,"")</f>
        <v/>
      </c>
      <c r="B679" s="10" t="str">
        <f>IF(Tabla96[[#This Row],[Id]]="","",VLOOKUP(Tabla96[[#This Row],[Id]]+1,TablaEquipos[],3,FALSE))</f>
        <v/>
      </c>
      <c r="C679" s="45" t="str">
        <f>IF(Tabla96[[#This Row],[Id]]="","",VLOOKUP(Tabla96[[#This Row],[Id]]+1,TablaEquipos[],4,FALSE))</f>
        <v/>
      </c>
      <c r="D679" s="13" t="str">
        <f>IF(Tabla96[[#This Row],[Id]]="","",COUNTIF(TablaTiempos[Club],Tabla96[[#This Row],[Pos]]))</f>
        <v/>
      </c>
      <c r="E679" s="47" t="str">
        <f>IF(Tabla96[[#This Row],[Id]]="","",Tabla96[[#This Row],[Total Llegados a Meta]]/Tabla96[[#This Row],[Total Inscritos]])</f>
        <v/>
      </c>
      <c r="F67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79" s="43">
        <f ca="1">NOW()-'LOS TIEMPOS'!$K$2</f>
        <v>42368.075526157409</v>
      </c>
    </row>
    <row r="680" spans="1:8" x14ac:dyDescent="0.2">
      <c r="A680" s="13" t="str">
        <f>IF(ROW()-5&lt;=COUNTA(TablaEquipos[Compite]),ROW()-7,"")</f>
        <v/>
      </c>
      <c r="B680" s="10" t="str">
        <f>IF(Tabla96[[#This Row],[Id]]="","",VLOOKUP(Tabla96[[#This Row],[Id]]+1,TablaEquipos[],3,FALSE))</f>
        <v/>
      </c>
      <c r="C680" s="45" t="str">
        <f>IF(Tabla96[[#This Row],[Id]]="","",VLOOKUP(Tabla96[[#This Row],[Id]]+1,TablaEquipos[],4,FALSE))</f>
        <v/>
      </c>
      <c r="D680" s="13" t="str">
        <f>IF(Tabla96[[#This Row],[Id]]="","",COUNTIF(TablaTiempos[Club],Tabla96[[#This Row],[Pos]]))</f>
        <v/>
      </c>
      <c r="E680" s="47" t="str">
        <f>IF(Tabla96[[#This Row],[Id]]="","",Tabla96[[#This Row],[Total Llegados a Meta]]/Tabla96[[#This Row],[Total Inscritos]])</f>
        <v/>
      </c>
      <c r="F68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80" s="43">
        <f ca="1">NOW()-'LOS TIEMPOS'!$K$2</f>
        <v>42368.075526157409</v>
      </c>
    </row>
    <row r="681" spans="1:8" x14ac:dyDescent="0.2">
      <c r="A681" s="13" t="str">
        <f>IF(ROW()-5&lt;=COUNTA(TablaEquipos[Compite]),ROW()-7,"")</f>
        <v/>
      </c>
      <c r="B681" s="10" t="str">
        <f>IF(Tabla96[[#This Row],[Id]]="","",VLOOKUP(Tabla96[[#This Row],[Id]]+1,TablaEquipos[],3,FALSE))</f>
        <v/>
      </c>
      <c r="C681" s="45" t="str">
        <f>IF(Tabla96[[#This Row],[Id]]="","",VLOOKUP(Tabla96[[#This Row],[Id]]+1,TablaEquipos[],4,FALSE))</f>
        <v/>
      </c>
      <c r="D681" s="13" t="str">
        <f>IF(Tabla96[[#This Row],[Id]]="","",COUNTIF(TablaTiempos[Club],Tabla96[[#This Row],[Pos]]))</f>
        <v/>
      </c>
      <c r="E681" s="47" t="str">
        <f>IF(Tabla96[[#This Row],[Id]]="","",Tabla96[[#This Row],[Total Llegados a Meta]]/Tabla96[[#This Row],[Total Inscritos]])</f>
        <v/>
      </c>
      <c r="F68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81" s="43">
        <f ca="1">NOW()-'LOS TIEMPOS'!$K$2</f>
        <v>42368.075526157409</v>
      </c>
    </row>
    <row r="682" spans="1:8" x14ac:dyDescent="0.2">
      <c r="A682" s="13" t="str">
        <f>IF(ROW()-5&lt;=COUNTA(TablaEquipos[Compite]),ROW()-7,"")</f>
        <v/>
      </c>
      <c r="B682" s="10" t="str">
        <f>IF(Tabla96[[#This Row],[Id]]="","",VLOOKUP(Tabla96[[#This Row],[Id]]+1,TablaEquipos[],3,FALSE))</f>
        <v/>
      </c>
      <c r="C682" s="45" t="str">
        <f>IF(Tabla96[[#This Row],[Id]]="","",VLOOKUP(Tabla96[[#This Row],[Id]]+1,TablaEquipos[],4,FALSE))</f>
        <v/>
      </c>
      <c r="D682" s="13" t="str">
        <f>IF(Tabla96[[#This Row],[Id]]="","",COUNTIF(TablaTiempos[Club],Tabla96[[#This Row],[Pos]]))</f>
        <v/>
      </c>
      <c r="E682" s="47" t="str">
        <f>IF(Tabla96[[#This Row],[Id]]="","",Tabla96[[#This Row],[Total Llegados a Meta]]/Tabla96[[#This Row],[Total Inscritos]])</f>
        <v/>
      </c>
      <c r="F68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82" s="43">
        <f ca="1">NOW()-'LOS TIEMPOS'!$K$2</f>
        <v>42368.075526157409</v>
      </c>
    </row>
    <row r="683" spans="1:8" x14ac:dyDescent="0.2">
      <c r="A683" s="13" t="str">
        <f>IF(ROW()-5&lt;=COUNTA(TablaEquipos[Compite]),ROW()-7,"")</f>
        <v/>
      </c>
      <c r="B683" s="10" t="str">
        <f>IF(Tabla96[[#This Row],[Id]]="","",VLOOKUP(Tabla96[[#This Row],[Id]]+1,TablaEquipos[],3,FALSE))</f>
        <v/>
      </c>
      <c r="C683" s="45" t="str">
        <f>IF(Tabla96[[#This Row],[Id]]="","",VLOOKUP(Tabla96[[#This Row],[Id]]+1,TablaEquipos[],4,FALSE))</f>
        <v/>
      </c>
      <c r="D683" s="13" t="str">
        <f>IF(Tabla96[[#This Row],[Id]]="","",COUNTIF(TablaTiempos[Club],Tabla96[[#This Row],[Pos]]))</f>
        <v/>
      </c>
      <c r="E683" s="47" t="str">
        <f>IF(Tabla96[[#This Row],[Id]]="","",Tabla96[[#This Row],[Total Llegados a Meta]]/Tabla96[[#This Row],[Total Inscritos]])</f>
        <v/>
      </c>
      <c r="F68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83" s="43">
        <f ca="1">NOW()-'LOS TIEMPOS'!$K$2</f>
        <v>42368.075526157409</v>
      </c>
    </row>
    <row r="684" spans="1:8" x14ac:dyDescent="0.2">
      <c r="A684" s="13" t="str">
        <f>IF(ROW()-5&lt;=COUNTA(TablaEquipos[Compite]),ROW()-7,"")</f>
        <v/>
      </c>
      <c r="B684" s="10" t="str">
        <f>IF(Tabla96[[#This Row],[Id]]="","",VLOOKUP(Tabla96[[#This Row],[Id]]+1,TablaEquipos[],3,FALSE))</f>
        <v/>
      </c>
      <c r="C684" s="45" t="str">
        <f>IF(Tabla96[[#This Row],[Id]]="","",VLOOKUP(Tabla96[[#This Row],[Id]]+1,TablaEquipos[],4,FALSE))</f>
        <v/>
      </c>
      <c r="D684" s="13" t="str">
        <f>IF(Tabla96[[#This Row],[Id]]="","",COUNTIF(TablaTiempos[Club],Tabla96[[#This Row],[Pos]]))</f>
        <v/>
      </c>
      <c r="E684" s="47" t="str">
        <f>IF(Tabla96[[#This Row],[Id]]="","",Tabla96[[#This Row],[Total Llegados a Meta]]/Tabla96[[#This Row],[Total Inscritos]])</f>
        <v/>
      </c>
      <c r="F68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84" s="43">
        <f ca="1">NOW()-'LOS TIEMPOS'!$K$2</f>
        <v>42368.075526157409</v>
      </c>
    </row>
    <row r="685" spans="1:8" x14ac:dyDescent="0.2">
      <c r="A685" s="13" t="str">
        <f>IF(ROW()-5&lt;=COUNTA(TablaEquipos[Compite]),ROW()-7,"")</f>
        <v/>
      </c>
      <c r="B685" s="10" t="str">
        <f>IF(Tabla96[[#This Row],[Id]]="","",VLOOKUP(Tabla96[[#This Row],[Id]]+1,TablaEquipos[],3,FALSE))</f>
        <v/>
      </c>
      <c r="C685" s="45" t="str">
        <f>IF(Tabla96[[#This Row],[Id]]="","",VLOOKUP(Tabla96[[#This Row],[Id]]+1,TablaEquipos[],4,FALSE))</f>
        <v/>
      </c>
      <c r="D685" s="13" t="str">
        <f>IF(Tabla96[[#This Row],[Id]]="","",COUNTIF(TablaTiempos[Club],Tabla96[[#This Row],[Pos]]))</f>
        <v/>
      </c>
      <c r="E685" s="47" t="str">
        <f>IF(Tabla96[[#This Row],[Id]]="","",Tabla96[[#This Row],[Total Llegados a Meta]]/Tabla96[[#This Row],[Total Inscritos]])</f>
        <v/>
      </c>
      <c r="F68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85" s="43">
        <f ca="1">NOW()-'LOS TIEMPOS'!$K$2</f>
        <v>42368.075526157409</v>
      </c>
    </row>
    <row r="686" spans="1:8" x14ac:dyDescent="0.2">
      <c r="A686" s="13" t="str">
        <f>IF(ROW()-5&lt;=COUNTA(TablaEquipos[Compite]),ROW()-7,"")</f>
        <v/>
      </c>
      <c r="B686" s="10" t="str">
        <f>IF(Tabla96[[#This Row],[Id]]="","",VLOOKUP(Tabla96[[#This Row],[Id]]+1,TablaEquipos[],3,FALSE))</f>
        <v/>
      </c>
      <c r="C686" s="45" t="str">
        <f>IF(Tabla96[[#This Row],[Id]]="","",VLOOKUP(Tabla96[[#This Row],[Id]]+1,TablaEquipos[],4,FALSE))</f>
        <v/>
      </c>
      <c r="D686" s="13" t="str">
        <f>IF(Tabla96[[#This Row],[Id]]="","",COUNTIF(TablaTiempos[Club],Tabla96[[#This Row],[Pos]]))</f>
        <v/>
      </c>
      <c r="E686" s="47" t="str">
        <f>IF(Tabla96[[#This Row],[Id]]="","",Tabla96[[#This Row],[Total Llegados a Meta]]/Tabla96[[#This Row],[Total Inscritos]])</f>
        <v/>
      </c>
      <c r="F68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86" s="43">
        <f ca="1">NOW()-'LOS TIEMPOS'!$K$2</f>
        <v>42368.075526157409</v>
      </c>
    </row>
    <row r="687" spans="1:8" x14ac:dyDescent="0.2">
      <c r="A687" s="13" t="str">
        <f>IF(ROW()-5&lt;=COUNTA(TablaEquipos[Compite]),ROW()-7,"")</f>
        <v/>
      </c>
      <c r="B687" s="10" t="str">
        <f>IF(Tabla96[[#This Row],[Id]]="","",VLOOKUP(Tabla96[[#This Row],[Id]]+1,TablaEquipos[],3,FALSE))</f>
        <v/>
      </c>
      <c r="C687" s="45" t="str">
        <f>IF(Tabla96[[#This Row],[Id]]="","",VLOOKUP(Tabla96[[#This Row],[Id]]+1,TablaEquipos[],4,FALSE))</f>
        <v/>
      </c>
      <c r="D687" s="13" t="str">
        <f>IF(Tabla96[[#This Row],[Id]]="","",COUNTIF(TablaTiempos[Club],Tabla96[[#This Row],[Pos]]))</f>
        <v/>
      </c>
      <c r="E687" s="47" t="str">
        <f>IF(Tabla96[[#This Row],[Id]]="","",Tabla96[[#This Row],[Total Llegados a Meta]]/Tabla96[[#This Row],[Total Inscritos]])</f>
        <v/>
      </c>
      <c r="F68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87" s="43">
        <f ca="1">NOW()-'LOS TIEMPOS'!$K$2</f>
        <v>42368.075526157409</v>
      </c>
    </row>
    <row r="688" spans="1:8" x14ac:dyDescent="0.2">
      <c r="A688" s="13" t="str">
        <f>IF(ROW()-5&lt;=COUNTA(TablaEquipos[Compite]),ROW()-7,"")</f>
        <v/>
      </c>
      <c r="B688" s="10" t="str">
        <f>IF(Tabla96[[#This Row],[Id]]="","",VLOOKUP(Tabla96[[#This Row],[Id]]+1,TablaEquipos[],3,FALSE))</f>
        <v/>
      </c>
      <c r="C688" s="45" t="str">
        <f>IF(Tabla96[[#This Row],[Id]]="","",VLOOKUP(Tabla96[[#This Row],[Id]]+1,TablaEquipos[],4,FALSE))</f>
        <v/>
      </c>
      <c r="D688" s="13" t="str">
        <f>IF(Tabla96[[#This Row],[Id]]="","",COUNTIF(TablaTiempos[Club],Tabla96[[#This Row],[Pos]]))</f>
        <v/>
      </c>
      <c r="E688" s="47" t="str">
        <f>IF(Tabla96[[#This Row],[Id]]="","",Tabla96[[#This Row],[Total Llegados a Meta]]/Tabla96[[#This Row],[Total Inscritos]])</f>
        <v/>
      </c>
      <c r="F68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88" s="43">
        <f ca="1">NOW()-'LOS TIEMPOS'!$K$2</f>
        <v>42368.075526157409</v>
      </c>
    </row>
    <row r="689" spans="1:8" x14ac:dyDescent="0.2">
      <c r="A689" s="13" t="str">
        <f>IF(ROW()-5&lt;=COUNTA(TablaEquipos[Compite]),ROW()-7,"")</f>
        <v/>
      </c>
      <c r="B689" s="10" t="str">
        <f>IF(Tabla96[[#This Row],[Id]]="","",VLOOKUP(Tabla96[[#This Row],[Id]]+1,TablaEquipos[],3,FALSE))</f>
        <v/>
      </c>
      <c r="C689" s="45" t="str">
        <f>IF(Tabla96[[#This Row],[Id]]="","",VLOOKUP(Tabla96[[#This Row],[Id]]+1,TablaEquipos[],4,FALSE))</f>
        <v/>
      </c>
      <c r="D689" s="13" t="str">
        <f>IF(Tabla96[[#This Row],[Id]]="","",COUNTIF(TablaTiempos[Club],Tabla96[[#This Row],[Pos]]))</f>
        <v/>
      </c>
      <c r="E689" s="47" t="str">
        <f>IF(Tabla96[[#This Row],[Id]]="","",Tabla96[[#This Row],[Total Llegados a Meta]]/Tabla96[[#This Row],[Total Inscritos]])</f>
        <v/>
      </c>
      <c r="F68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89" s="43">
        <f ca="1">NOW()-'LOS TIEMPOS'!$K$2</f>
        <v>42368.075526157409</v>
      </c>
    </row>
    <row r="690" spans="1:8" x14ac:dyDescent="0.2">
      <c r="A690" s="13" t="str">
        <f>IF(ROW()-5&lt;=COUNTA(TablaEquipos[Compite]),ROW()-7,"")</f>
        <v/>
      </c>
      <c r="B690" s="10" t="str">
        <f>IF(Tabla96[[#This Row],[Id]]="","",VLOOKUP(Tabla96[[#This Row],[Id]]+1,TablaEquipos[],3,FALSE))</f>
        <v/>
      </c>
      <c r="C690" s="45" t="str">
        <f>IF(Tabla96[[#This Row],[Id]]="","",VLOOKUP(Tabla96[[#This Row],[Id]]+1,TablaEquipos[],4,FALSE))</f>
        <v/>
      </c>
      <c r="D690" s="13" t="str">
        <f>IF(Tabla96[[#This Row],[Id]]="","",COUNTIF(TablaTiempos[Club],Tabla96[[#This Row],[Pos]]))</f>
        <v/>
      </c>
      <c r="E690" s="47" t="str">
        <f>IF(Tabla96[[#This Row],[Id]]="","",Tabla96[[#This Row],[Total Llegados a Meta]]/Tabla96[[#This Row],[Total Inscritos]])</f>
        <v/>
      </c>
      <c r="F69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90" s="43">
        <f ca="1">NOW()-'LOS TIEMPOS'!$K$2</f>
        <v>42368.075526157409</v>
      </c>
    </row>
    <row r="691" spans="1:8" x14ac:dyDescent="0.2">
      <c r="A691" s="13" t="str">
        <f>IF(ROW()-5&lt;=COUNTA(TablaEquipos[Compite]),ROW()-7,"")</f>
        <v/>
      </c>
      <c r="B691" s="10" t="str">
        <f>IF(Tabla96[[#This Row],[Id]]="","",VLOOKUP(Tabla96[[#This Row],[Id]]+1,TablaEquipos[],3,FALSE))</f>
        <v/>
      </c>
      <c r="C691" s="45" t="str">
        <f>IF(Tabla96[[#This Row],[Id]]="","",VLOOKUP(Tabla96[[#This Row],[Id]]+1,TablaEquipos[],4,FALSE))</f>
        <v/>
      </c>
      <c r="D691" s="13" t="str">
        <f>IF(Tabla96[[#This Row],[Id]]="","",COUNTIF(TablaTiempos[Club],Tabla96[[#This Row],[Pos]]))</f>
        <v/>
      </c>
      <c r="E691" s="47" t="str">
        <f>IF(Tabla96[[#This Row],[Id]]="","",Tabla96[[#This Row],[Total Llegados a Meta]]/Tabla96[[#This Row],[Total Inscritos]])</f>
        <v/>
      </c>
      <c r="F69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91" s="43">
        <f ca="1">NOW()-'LOS TIEMPOS'!$K$2</f>
        <v>42368.075526157409</v>
      </c>
    </row>
    <row r="692" spans="1:8" x14ac:dyDescent="0.2">
      <c r="A692" s="13" t="str">
        <f>IF(ROW()-5&lt;=COUNTA(TablaEquipos[Compite]),ROW()-7,"")</f>
        <v/>
      </c>
      <c r="B692" s="10" t="str">
        <f>IF(Tabla96[[#This Row],[Id]]="","",VLOOKUP(Tabla96[[#This Row],[Id]]+1,TablaEquipos[],3,FALSE))</f>
        <v/>
      </c>
      <c r="C692" s="45" t="str">
        <f>IF(Tabla96[[#This Row],[Id]]="","",VLOOKUP(Tabla96[[#This Row],[Id]]+1,TablaEquipos[],4,FALSE))</f>
        <v/>
      </c>
      <c r="D692" s="13" t="str">
        <f>IF(Tabla96[[#This Row],[Id]]="","",COUNTIF(TablaTiempos[Club],Tabla96[[#This Row],[Pos]]))</f>
        <v/>
      </c>
      <c r="E692" s="47" t="str">
        <f>IF(Tabla96[[#This Row],[Id]]="","",Tabla96[[#This Row],[Total Llegados a Meta]]/Tabla96[[#This Row],[Total Inscritos]])</f>
        <v/>
      </c>
      <c r="F69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92" s="43">
        <f ca="1">NOW()-'LOS TIEMPOS'!$K$2</f>
        <v>42368.075526157409</v>
      </c>
    </row>
    <row r="693" spans="1:8" x14ac:dyDescent="0.2">
      <c r="A693" s="13" t="str">
        <f>IF(ROW()-5&lt;=COUNTA(TablaEquipos[Compite]),ROW()-7,"")</f>
        <v/>
      </c>
      <c r="B693" s="10" t="str">
        <f>IF(Tabla96[[#This Row],[Id]]="","",VLOOKUP(Tabla96[[#This Row],[Id]]+1,TablaEquipos[],3,FALSE))</f>
        <v/>
      </c>
      <c r="C693" s="45" t="str">
        <f>IF(Tabla96[[#This Row],[Id]]="","",VLOOKUP(Tabla96[[#This Row],[Id]]+1,TablaEquipos[],4,FALSE))</f>
        <v/>
      </c>
      <c r="D693" s="13" t="str">
        <f>IF(Tabla96[[#This Row],[Id]]="","",COUNTIF(TablaTiempos[Club],Tabla96[[#This Row],[Pos]]))</f>
        <v/>
      </c>
      <c r="E693" s="47" t="str">
        <f>IF(Tabla96[[#This Row],[Id]]="","",Tabla96[[#This Row],[Total Llegados a Meta]]/Tabla96[[#This Row],[Total Inscritos]])</f>
        <v/>
      </c>
      <c r="F69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93" s="43">
        <f ca="1">NOW()-'LOS TIEMPOS'!$K$2</f>
        <v>42368.075526157409</v>
      </c>
    </row>
    <row r="694" spans="1:8" x14ac:dyDescent="0.2">
      <c r="A694" s="13" t="str">
        <f>IF(ROW()-5&lt;=COUNTA(TablaEquipos[Compite]),ROW()-7,"")</f>
        <v/>
      </c>
      <c r="B694" s="10" t="str">
        <f>IF(Tabla96[[#This Row],[Id]]="","",VLOOKUP(Tabla96[[#This Row],[Id]]+1,TablaEquipos[],3,FALSE))</f>
        <v/>
      </c>
      <c r="C694" s="45" t="str">
        <f>IF(Tabla96[[#This Row],[Id]]="","",VLOOKUP(Tabla96[[#This Row],[Id]]+1,TablaEquipos[],4,FALSE))</f>
        <v/>
      </c>
      <c r="D694" s="13" t="str">
        <f>IF(Tabla96[[#This Row],[Id]]="","",COUNTIF(TablaTiempos[Club],Tabla96[[#This Row],[Pos]]))</f>
        <v/>
      </c>
      <c r="E694" s="47" t="str">
        <f>IF(Tabla96[[#This Row],[Id]]="","",Tabla96[[#This Row],[Total Llegados a Meta]]/Tabla96[[#This Row],[Total Inscritos]])</f>
        <v/>
      </c>
      <c r="F69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94" s="43">
        <f ca="1">NOW()-'LOS TIEMPOS'!$K$2</f>
        <v>42368.075526157409</v>
      </c>
    </row>
    <row r="695" spans="1:8" x14ac:dyDescent="0.2">
      <c r="A695" s="13" t="str">
        <f>IF(ROW()-5&lt;=COUNTA(TablaEquipos[Compite]),ROW()-7,"")</f>
        <v/>
      </c>
      <c r="B695" s="10" t="str">
        <f>IF(Tabla96[[#This Row],[Id]]="","",VLOOKUP(Tabla96[[#This Row],[Id]]+1,TablaEquipos[],3,FALSE))</f>
        <v/>
      </c>
      <c r="C695" s="45" t="str">
        <f>IF(Tabla96[[#This Row],[Id]]="","",VLOOKUP(Tabla96[[#This Row],[Id]]+1,TablaEquipos[],4,FALSE))</f>
        <v/>
      </c>
      <c r="D695" s="13" t="str">
        <f>IF(Tabla96[[#This Row],[Id]]="","",COUNTIF(TablaTiempos[Club],Tabla96[[#This Row],[Pos]]))</f>
        <v/>
      </c>
      <c r="E695" s="47" t="str">
        <f>IF(Tabla96[[#This Row],[Id]]="","",Tabla96[[#This Row],[Total Llegados a Meta]]/Tabla96[[#This Row],[Total Inscritos]])</f>
        <v/>
      </c>
      <c r="F69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95" s="43">
        <f ca="1">NOW()-'LOS TIEMPOS'!$K$2</f>
        <v>42368.075526157409</v>
      </c>
    </row>
    <row r="696" spans="1:8" x14ac:dyDescent="0.2">
      <c r="A696" s="13" t="str">
        <f>IF(ROW()-5&lt;=COUNTA(TablaEquipos[Compite]),ROW()-7,"")</f>
        <v/>
      </c>
      <c r="B696" s="10" t="str">
        <f>IF(Tabla96[[#This Row],[Id]]="","",VLOOKUP(Tabla96[[#This Row],[Id]]+1,TablaEquipos[],3,FALSE))</f>
        <v/>
      </c>
      <c r="C696" s="45" t="str">
        <f>IF(Tabla96[[#This Row],[Id]]="","",VLOOKUP(Tabla96[[#This Row],[Id]]+1,TablaEquipos[],4,FALSE))</f>
        <v/>
      </c>
      <c r="D696" s="13" t="str">
        <f>IF(Tabla96[[#This Row],[Id]]="","",COUNTIF(TablaTiempos[Club],Tabla96[[#This Row],[Pos]]))</f>
        <v/>
      </c>
      <c r="E696" s="47" t="str">
        <f>IF(Tabla96[[#This Row],[Id]]="","",Tabla96[[#This Row],[Total Llegados a Meta]]/Tabla96[[#This Row],[Total Inscritos]])</f>
        <v/>
      </c>
      <c r="F69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96" s="43">
        <f ca="1">NOW()-'LOS TIEMPOS'!$K$2</f>
        <v>42368.075526157409</v>
      </c>
    </row>
    <row r="697" spans="1:8" x14ac:dyDescent="0.2">
      <c r="A697" s="13" t="str">
        <f>IF(ROW()-5&lt;=COUNTA(TablaEquipos[Compite]),ROW()-7,"")</f>
        <v/>
      </c>
      <c r="B697" s="10" t="str">
        <f>IF(Tabla96[[#This Row],[Id]]="","",VLOOKUP(Tabla96[[#This Row],[Id]]+1,TablaEquipos[],3,FALSE))</f>
        <v/>
      </c>
      <c r="C697" s="45" t="str">
        <f>IF(Tabla96[[#This Row],[Id]]="","",VLOOKUP(Tabla96[[#This Row],[Id]]+1,TablaEquipos[],4,FALSE))</f>
        <v/>
      </c>
      <c r="D697" s="13" t="str">
        <f>IF(Tabla96[[#This Row],[Id]]="","",COUNTIF(TablaTiempos[Club],Tabla96[[#This Row],[Pos]]))</f>
        <v/>
      </c>
      <c r="E697" s="47" t="str">
        <f>IF(Tabla96[[#This Row],[Id]]="","",Tabla96[[#This Row],[Total Llegados a Meta]]/Tabla96[[#This Row],[Total Inscritos]])</f>
        <v/>
      </c>
      <c r="F69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97" s="43">
        <f ca="1">NOW()-'LOS TIEMPOS'!$K$2</f>
        <v>42368.075526157409</v>
      </c>
    </row>
    <row r="698" spans="1:8" x14ac:dyDescent="0.2">
      <c r="A698" s="13" t="str">
        <f>IF(ROW()-5&lt;=COUNTA(TablaEquipos[Compite]),ROW()-7,"")</f>
        <v/>
      </c>
      <c r="B698" s="10" t="str">
        <f>IF(Tabla96[[#This Row],[Id]]="","",VLOOKUP(Tabla96[[#This Row],[Id]]+1,TablaEquipos[],3,FALSE))</f>
        <v/>
      </c>
      <c r="C698" s="45" t="str">
        <f>IF(Tabla96[[#This Row],[Id]]="","",VLOOKUP(Tabla96[[#This Row],[Id]]+1,TablaEquipos[],4,FALSE))</f>
        <v/>
      </c>
      <c r="D698" s="13" t="str">
        <f>IF(Tabla96[[#This Row],[Id]]="","",COUNTIF(TablaTiempos[Club],Tabla96[[#This Row],[Pos]]))</f>
        <v/>
      </c>
      <c r="E698" s="47" t="str">
        <f>IF(Tabla96[[#This Row],[Id]]="","",Tabla96[[#This Row],[Total Llegados a Meta]]/Tabla96[[#This Row],[Total Inscritos]])</f>
        <v/>
      </c>
      <c r="F69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98" s="43">
        <f ca="1">NOW()-'LOS TIEMPOS'!$K$2</f>
        <v>42368.075526157409</v>
      </c>
    </row>
    <row r="699" spans="1:8" x14ac:dyDescent="0.2">
      <c r="A699" s="13" t="str">
        <f>IF(ROW()-5&lt;=COUNTA(TablaEquipos[Compite]),ROW()-7,"")</f>
        <v/>
      </c>
      <c r="B699" s="10" t="str">
        <f>IF(Tabla96[[#This Row],[Id]]="","",VLOOKUP(Tabla96[[#This Row],[Id]]+1,TablaEquipos[],3,FALSE))</f>
        <v/>
      </c>
      <c r="C699" s="45" t="str">
        <f>IF(Tabla96[[#This Row],[Id]]="","",VLOOKUP(Tabla96[[#This Row],[Id]]+1,TablaEquipos[],4,FALSE))</f>
        <v/>
      </c>
      <c r="D699" s="13" t="str">
        <f>IF(Tabla96[[#This Row],[Id]]="","",COUNTIF(TablaTiempos[Club],Tabla96[[#This Row],[Pos]]))</f>
        <v/>
      </c>
      <c r="E699" s="47" t="str">
        <f>IF(Tabla96[[#This Row],[Id]]="","",Tabla96[[#This Row],[Total Llegados a Meta]]/Tabla96[[#This Row],[Total Inscritos]])</f>
        <v/>
      </c>
      <c r="F69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699" s="43">
        <f ca="1">NOW()-'LOS TIEMPOS'!$K$2</f>
        <v>42368.075526157409</v>
      </c>
    </row>
    <row r="700" spans="1:8" x14ac:dyDescent="0.2">
      <c r="A700" s="13" t="str">
        <f>IF(ROW()-5&lt;=COUNTA(TablaEquipos[Compite]),ROW()-7,"")</f>
        <v/>
      </c>
      <c r="B700" s="10" t="str">
        <f>IF(Tabla96[[#This Row],[Id]]="","",VLOOKUP(Tabla96[[#This Row],[Id]]+1,TablaEquipos[],3,FALSE))</f>
        <v/>
      </c>
      <c r="C700" s="45" t="str">
        <f>IF(Tabla96[[#This Row],[Id]]="","",VLOOKUP(Tabla96[[#This Row],[Id]]+1,TablaEquipos[],4,FALSE))</f>
        <v/>
      </c>
      <c r="D700" s="13" t="str">
        <f>IF(Tabla96[[#This Row],[Id]]="","",COUNTIF(TablaTiempos[Club],Tabla96[[#This Row],[Pos]]))</f>
        <v/>
      </c>
      <c r="E700" s="47" t="str">
        <f>IF(Tabla96[[#This Row],[Id]]="","",Tabla96[[#This Row],[Total Llegados a Meta]]/Tabla96[[#This Row],[Total Inscritos]])</f>
        <v/>
      </c>
      <c r="F70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00" s="43">
        <f ca="1">NOW()-'LOS TIEMPOS'!$K$2</f>
        <v>42368.075526157409</v>
      </c>
    </row>
    <row r="701" spans="1:8" x14ac:dyDescent="0.2">
      <c r="A701" s="13" t="str">
        <f>IF(ROW()-5&lt;=COUNTA(TablaEquipos[Compite]),ROW()-7,"")</f>
        <v/>
      </c>
      <c r="B701" s="10" t="str">
        <f>IF(Tabla96[[#This Row],[Id]]="","",VLOOKUP(Tabla96[[#This Row],[Id]]+1,TablaEquipos[],3,FALSE))</f>
        <v/>
      </c>
      <c r="C701" s="45" t="str">
        <f>IF(Tabla96[[#This Row],[Id]]="","",VLOOKUP(Tabla96[[#This Row],[Id]]+1,TablaEquipos[],4,FALSE))</f>
        <v/>
      </c>
      <c r="D701" s="13" t="str">
        <f>IF(Tabla96[[#This Row],[Id]]="","",COUNTIF(TablaTiempos[Club],Tabla96[[#This Row],[Pos]]))</f>
        <v/>
      </c>
      <c r="E701" s="47" t="str">
        <f>IF(Tabla96[[#This Row],[Id]]="","",Tabla96[[#This Row],[Total Llegados a Meta]]/Tabla96[[#This Row],[Total Inscritos]])</f>
        <v/>
      </c>
      <c r="F70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01" s="43">
        <f ca="1">NOW()-'LOS TIEMPOS'!$K$2</f>
        <v>42368.075526157409</v>
      </c>
    </row>
    <row r="702" spans="1:8" x14ac:dyDescent="0.2">
      <c r="A702" s="13" t="str">
        <f>IF(ROW()-5&lt;=COUNTA(TablaEquipos[Compite]),ROW()-7,"")</f>
        <v/>
      </c>
      <c r="B702" s="10" t="str">
        <f>IF(Tabla96[[#This Row],[Id]]="","",VLOOKUP(Tabla96[[#This Row],[Id]]+1,TablaEquipos[],3,FALSE))</f>
        <v/>
      </c>
      <c r="C702" s="45" t="str">
        <f>IF(Tabla96[[#This Row],[Id]]="","",VLOOKUP(Tabla96[[#This Row],[Id]]+1,TablaEquipos[],4,FALSE))</f>
        <v/>
      </c>
      <c r="D702" s="13" t="str">
        <f>IF(Tabla96[[#This Row],[Id]]="","",COUNTIF(TablaTiempos[Club],Tabla96[[#This Row],[Pos]]))</f>
        <v/>
      </c>
      <c r="E702" s="47" t="str">
        <f>IF(Tabla96[[#This Row],[Id]]="","",Tabla96[[#This Row],[Total Llegados a Meta]]/Tabla96[[#This Row],[Total Inscritos]])</f>
        <v/>
      </c>
      <c r="F70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02" s="43">
        <f ca="1">NOW()-'LOS TIEMPOS'!$K$2</f>
        <v>42368.075526157409</v>
      </c>
    </row>
    <row r="703" spans="1:8" x14ac:dyDescent="0.2">
      <c r="A703" s="13" t="str">
        <f>IF(ROW()-5&lt;=COUNTA(TablaEquipos[Compite]),ROW()-7,"")</f>
        <v/>
      </c>
      <c r="B703" s="10" t="str">
        <f>IF(Tabla96[[#This Row],[Id]]="","",VLOOKUP(Tabla96[[#This Row],[Id]]+1,TablaEquipos[],3,FALSE))</f>
        <v/>
      </c>
      <c r="C703" s="45" t="str">
        <f>IF(Tabla96[[#This Row],[Id]]="","",VLOOKUP(Tabla96[[#This Row],[Id]]+1,TablaEquipos[],4,FALSE))</f>
        <v/>
      </c>
      <c r="D703" s="13" t="str">
        <f>IF(Tabla96[[#This Row],[Id]]="","",COUNTIF(TablaTiempos[Club],Tabla96[[#This Row],[Pos]]))</f>
        <v/>
      </c>
      <c r="E703" s="47" t="str">
        <f>IF(Tabla96[[#This Row],[Id]]="","",Tabla96[[#This Row],[Total Llegados a Meta]]/Tabla96[[#This Row],[Total Inscritos]])</f>
        <v/>
      </c>
      <c r="F70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03" s="43">
        <f ca="1">NOW()-'LOS TIEMPOS'!$K$2</f>
        <v>42368.075526157409</v>
      </c>
    </row>
    <row r="704" spans="1:8" x14ac:dyDescent="0.2">
      <c r="A704" s="13" t="str">
        <f>IF(ROW()-5&lt;=COUNTA(TablaEquipos[Compite]),ROW()-7,"")</f>
        <v/>
      </c>
      <c r="B704" s="10" t="str">
        <f>IF(Tabla96[[#This Row],[Id]]="","",VLOOKUP(Tabla96[[#This Row],[Id]]+1,TablaEquipos[],3,FALSE))</f>
        <v/>
      </c>
      <c r="C704" s="45" t="str">
        <f>IF(Tabla96[[#This Row],[Id]]="","",VLOOKUP(Tabla96[[#This Row],[Id]]+1,TablaEquipos[],4,FALSE))</f>
        <v/>
      </c>
      <c r="D704" s="13" t="str">
        <f>IF(Tabla96[[#This Row],[Id]]="","",COUNTIF(TablaTiempos[Club],Tabla96[[#This Row],[Pos]]))</f>
        <v/>
      </c>
      <c r="E704" s="47" t="str">
        <f>IF(Tabla96[[#This Row],[Id]]="","",Tabla96[[#This Row],[Total Llegados a Meta]]/Tabla96[[#This Row],[Total Inscritos]])</f>
        <v/>
      </c>
      <c r="F70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04" s="43">
        <f ca="1">NOW()-'LOS TIEMPOS'!$K$2</f>
        <v>42368.075526157409</v>
      </c>
    </row>
    <row r="705" spans="1:8" x14ac:dyDescent="0.2">
      <c r="A705" s="13" t="str">
        <f>IF(ROW()-5&lt;=COUNTA(TablaEquipos[Compite]),ROW()-7,"")</f>
        <v/>
      </c>
      <c r="B705" s="10" t="str">
        <f>IF(Tabla96[[#This Row],[Id]]="","",VLOOKUP(Tabla96[[#This Row],[Id]]+1,TablaEquipos[],3,FALSE))</f>
        <v/>
      </c>
      <c r="C705" s="45" t="str">
        <f>IF(Tabla96[[#This Row],[Id]]="","",VLOOKUP(Tabla96[[#This Row],[Id]]+1,TablaEquipos[],4,FALSE))</f>
        <v/>
      </c>
      <c r="D705" s="13" t="str">
        <f>IF(Tabla96[[#This Row],[Id]]="","",COUNTIF(TablaTiempos[Club],Tabla96[[#This Row],[Pos]]))</f>
        <v/>
      </c>
      <c r="E705" s="47" t="str">
        <f>IF(Tabla96[[#This Row],[Id]]="","",Tabla96[[#This Row],[Total Llegados a Meta]]/Tabla96[[#This Row],[Total Inscritos]])</f>
        <v/>
      </c>
      <c r="F70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05" s="43">
        <f ca="1">NOW()-'LOS TIEMPOS'!$K$2</f>
        <v>42368.075526157409</v>
      </c>
    </row>
    <row r="706" spans="1:8" x14ac:dyDescent="0.2">
      <c r="A706" s="13" t="str">
        <f>IF(ROW()-5&lt;=COUNTA(TablaEquipos[Compite]),ROW()-7,"")</f>
        <v/>
      </c>
      <c r="B706" s="10" t="str">
        <f>IF(Tabla96[[#This Row],[Id]]="","",VLOOKUP(Tabla96[[#This Row],[Id]]+1,TablaEquipos[],3,FALSE))</f>
        <v/>
      </c>
      <c r="C706" s="45" t="str">
        <f>IF(Tabla96[[#This Row],[Id]]="","",VLOOKUP(Tabla96[[#This Row],[Id]]+1,TablaEquipos[],4,FALSE))</f>
        <v/>
      </c>
      <c r="D706" s="13" t="str">
        <f>IF(Tabla96[[#This Row],[Id]]="","",COUNTIF(TablaTiempos[Club],Tabla96[[#This Row],[Pos]]))</f>
        <v/>
      </c>
      <c r="E706" s="47" t="str">
        <f>IF(Tabla96[[#This Row],[Id]]="","",Tabla96[[#This Row],[Total Llegados a Meta]]/Tabla96[[#This Row],[Total Inscritos]])</f>
        <v/>
      </c>
      <c r="F70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06" s="43">
        <f ca="1">NOW()-'LOS TIEMPOS'!$K$2</f>
        <v>42368.075526157409</v>
      </c>
    </row>
    <row r="707" spans="1:8" x14ac:dyDescent="0.2">
      <c r="A707" s="13" t="str">
        <f>IF(ROW()-5&lt;=COUNTA(TablaEquipos[Compite]),ROW()-7,"")</f>
        <v/>
      </c>
      <c r="B707" s="10" t="str">
        <f>IF(Tabla96[[#This Row],[Id]]="","",VLOOKUP(Tabla96[[#This Row],[Id]]+1,TablaEquipos[],3,FALSE))</f>
        <v/>
      </c>
      <c r="C707" s="45" t="str">
        <f>IF(Tabla96[[#This Row],[Id]]="","",VLOOKUP(Tabla96[[#This Row],[Id]]+1,TablaEquipos[],4,FALSE))</f>
        <v/>
      </c>
      <c r="D707" s="13" t="str">
        <f>IF(Tabla96[[#This Row],[Id]]="","",COUNTIF(TablaTiempos[Club],Tabla96[[#This Row],[Pos]]))</f>
        <v/>
      </c>
      <c r="E707" s="47" t="str">
        <f>IF(Tabla96[[#This Row],[Id]]="","",Tabla96[[#This Row],[Total Llegados a Meta]]/Tabla96[[#This Row],[Total Inscritos]])</f>
        <v/>
      </c>
      <c r="F70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07" s="43">
        <f ca="1">NOW()-'LOS TIEMPOS'!$K$2</f>
        <v>42368.075526157409</v>
      </c>
    </row>
    <row r="708" spans="1:8" x14ac:dyDescent="0.2">
      <c r="A708" s="13" t="str">
        <f>IF(ROW()-5&lt;=COUNTA(TablaEquipos[Compite]),ROW()-7,"")</f>
        <v/>
      </c>
      <c r="B708" s="10" t="str">
        <f>IF(Tabla96[[#This Row],[Id]]="","",VLOOKUP(Tabla96[[#This Row],[Id]]+1,TablaEquipos[],3,FALSE))</f>
        <v/>
      </c>
      <c r="C708" s="45" t="str">
        <f>IF(Tabla96[[#This Row],[Id]]="","",VLOOKUP(Tabla96[[#This Row],[Id]]+1,TablaEquipos[],4,FALSE))</f>
        <v/>
      </c>
      <c r="D708" s="13" t="str">
        <f>IF(Tabla96[[#This Row],[Id]]="","",COUNTIF(TablaTiempos[Club],Tabla96[[#This Row],[Pos]]))</f>
        <v/>
      </c>
      <c r="E708" s="47" t="str">
        <f>IF(Tabla96[[#This Row],[Id]]="","",Tabla96[[#This Row],[Total Llegados a Meta]]/Tabla96[[#This Row],[Total Inscritos]])</f>
        <v/>
      </c>
      <c r="F70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08" s="43">
        <f ca="1">NOW()-'LOS TIEMPOS'!$K$2</f>
        <v>42368.075526157409</v>
      </c>
    </row>
    <row r="709" spans="1:8" x14ac:dyDescent="0.2">
      <c r="A709" s="13" t="str">
        <f>IF(ROW()-5&lt;=COUNTA(TablaEquipos[Compite]),ROW()-7,"")</f>
        <v/>
      </c>
      <c r="B709" s="10" t="str">
        <f>IF(Tabla96[[#This Row],[Id]]="","",VLOOKUP(Tabla96[[#This Row],[Id]]+1,TablaEquipos[],3,FALSE))</f>
        <v/>
      </c>
      <c r="C709" s="45" t="str">
        <f>IF(Tabla96[[#This Row],[Id]]="","",VLOOKUP(Tabla96[[#This Row],[Id]]+1,TablaEquipos[],4,FALSE))</f>
        <v/>
      </c>
      <c r="D709" s="13" t="str">
        <f>IF(Tabla96[[#This Row],[Id]]="","",COUNTIF(TablaTiempos[Club],Tabla96[[#This Row],[Pos]]))</f>
        <v/>
      </c>
      <c r="E709" s="47" t="str">
        <f>IF(Tabla96[[#This Row],[Id]]="","",Tabla96[[#This Row],[Total Llegados a Meta]]/Tabla96[[#This Row],[Total Inscritos]])</f>
        <v/>
      </c>
      <c r="F70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09" s="43">
        <f ca="1">NOW()-'LOS TIEMPOS'!$K$2</f>
        <v>42368.075526157409</v>
      </c>
    </row>
    <row r="710" spans="1:8" x14ac:dyDescent="0.2">
      <c r="A710" s="13" t="str">
        <f>IF(ROW()-5&lt;=COUNTA(TablaEquipos[Compite]),ROW()-7,"")</f>
        <v/>
      </c>
      <c r="B710" s="10" t="str">
        <f>IF(Tabla96[[#This Row],[Id]]="","",VLOOKUP(Tabla96[[#This Row],[Id]]+1,TablaEquipos[],3,FALSE))</f>
        <v/>
      </c>
      <c r="C710" s="45" t="str">
        <f>IF(Tabla96[[#This Row],[Id]]="","",VLOOKUP(Tabla96[[#This Row],[Id]]+1,TablaEquipos[],4,FALSE))</f>
        <v/>
      </c>
      <c r="D710" s="13" t="str">
        <f>IF(Tabla96[[#This Row],[Id]]="","",COUNTIF(TablaTiempos[Club],Tabla96[[#This Row],[Pos]]))</f>
        <v/>
      </c>
      <c r="E710" s="47" t="str">
        <f>IF(Tabla96[[#This Row],[Id]]="","",Tabla96[[#This Row],[Total Llegados a Meta]]/Tabla96[[#This Row],[Total Inscritos]])</f>
        <v/>
      </c>
      <c r="F71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10" s="43">
        <f ca="1">NOW()-'LOS TIEMPOS'!$K$2</f>
        <v>42368.075526157409</v>
      </c>
    </row>
    <row r="711" spans="1:8" x14ac:dyDescent="0.2">
      <c r="A711" s="13" t="str">
        <f>IF(ROW()-5&lt;=COUNTA(TablaEquipos[Compite]),ROW()-7,"")</f>
        <v/>
      </c>
      <c r="B711" s="10" t="str">
        <f>IF(Tabla96[[#This Row],[Id]]="","",VLOOKUP(Tabla96[[#This Row],[Id]]+1,TablaEquipos[],3,FALSE))</f>
        <v/>
      </c>
      <c r="C711" s="45" t="str">
        <f>IF(Tabla96[[#This Row],[Id]]="","",VLOOKUP(Tabla96[[#This Row],[Id]]+1,TablaEquipos[],4,FALSE))</f>
        <v/>
      </c>
      <c r="D711" s="13" t="str">
        <f>IF(Tabla96[[#This Row],[Id]]="","",COUNTIF(TablaTiempos[Club],Tabla96[[#This Row],[Pos]]))</f>
        <v/>
      </c>
      <c r="E711" s="47" t="str">
        <f>IF(Tabla96[[#This Row],[Id]]="","",Tabla96[[#This Row],[Total Llegados a Meta]]/Tabla96[[#This Row],[Total Inscritos]])</f>
        <v/>
      </c>
      <c r="F71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11" s="43">
        <f ca="1">NOW()-'LOS TIEMPOS'!$K$2</f>
        <v>42368.075526157409</v>
      </c>
    </row>
    <row r="712" spans="1:8" x14ac:dyDescent="0.2">
      <c r="A712" s="13" t="str">
        <f>IF(ROW()-5&lt;=COUNTA(TablaEquipos[Compite]),ROW()-7,"")</f>
        <v/>
      </c>
      <c r="B712" s="10" t="str">
        <f>IF(Tabla96[[#This Row],[Id]]="","",VLOOKUP(Tabla96[[#This Row],[Id]]+1,TablaEquipos[],3,FALSE))</f>
        <v/>
      </c>
      <c r="C712" s="45" t="str">
        <f>IF(Tabla96[[#This Row],[Id]]="","",VLOOKUP(Tabla96[[#This Row],[Id]]+1,TablaEquipos[],4,FALSE))</f>
        <v/>
      </c>
      <c r="D712" s="13" t="str">
        <f>IF(Tabla96[[#This Row],[Id]]="","",COUNTIF(TablaTiempos[Club],Tabla96[[#This Row],[Pos]]))</f>
        <v/>
      </c>
      <c r="E712" s="47" t="str">
        <f>IF(Tabla96[[#This Row],[Id]]="","",Tabla96[[#This Row],[Total Llegados a Meta]]/Tabla96[[#This Row],[Total Inscritos]])</f>
        <v/>
      </c>
      <c r="F71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12" s="43">
        <f ca="1">NOW()-'LOS TIEMPOS'!$K$2</f>
        <v>42368.075526157409</v>
      </c>
    </row>
    <row r="713" spans="1:8" x14ac:dyDescent="0.2">
      <c r="A713" s="13" t="str">
        <f>IF(ROW()-5&lt;=COUNTA(TablaEquipos[Compite]),ROW()-7,"")</f>
        <v/>
      </c>
      <c r="B713" s="10" t="str">
        <f>IF(Tabla96[[#This Row],[Id]]="","",VLOOKUP(Tabla96[[#This Row],[Id]]+1,TablaEquipos[],3,FALSE))</f>
        <v/>
      </c>
      <c r="C713" s="45" t="str">
        <f>IF(Tabla96[[#This Row],[Id]]="","",VLOOKUP(Tabla96[[#This Row],[Id]]+1,TablaEquipos[],4,FALSE))</f>
        <v/>
      </c>
      <c r="D713" s="13" t="str">
        <f>IF(Tabla96[[#This Row],[Id]]="","",COUNTIF(TablaTiempos[Club],Tabla96[[#This Row],[Pos]]))</f>
        <v/>
      </c>
      <c r="E713" s="47" t="str">
        <f>IF(Tabla96[[#This Row],[Id]]="","",Tabla96[[#This Row],[Total Llegados a Meta]]/Tabla96[[#This Row],[Total Inscritos]])</f>
        <v/>
      </c>
      <c r="F71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13" s="43">
        <f ca="1">NOW()-'LOS TIEMPOS'!$K$2</f>
        <v>42368.075526157409</v>
      </c>
    </row>
    <row r="714" spans="1:8" x14ac:dyDescent="0.2">
      <c r="A714" s="13" t="str">
        <f>IF(ROW()-5&lt;=COUNTA(TablaEquipos[Compite]),ROW()-7,"")</f>
        <v/>
      </c>
      <c r="B714" s="10" t="str">
        <f>IF(Tabla96[[#This Row],[Id]]="","",VLOOKUP(Tabla96[[#This Row],[Id]]+1,TablaEquipos[],3,FALSE))</f>
        <v/>
      </c>
      <c r="C714" s="45" t="str">
        <f>IF(Tabla96[[#This Row],[Id]]="","",VLOOKUP(Tabla96[[#This Row],[Id]]+1,TablaEquipos[],4,FALSE))</f>
        <v/>
      </c>
      <c r="D714" s="13" t="str">
        <f>IF(Tabla96[[#This Row],[Id]]="","",COUNTIF(TablaTiempos[Club],Tabla96[[#This Row],[Pos]]))</f>
        <v/>
      </c>
      <c r="E714" s="47" t="str">
        <f>IF(Tabla96[[#This Row],[Id]]="","",Tabla96[[#This Row],[Total Llegados a Meta]]/Tabla96[[#This Row],[Total Inscritos]])</f>
        <v/>
      </c>
      <c r="F71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14" s="43">
        <f ca="1">NOW()-'LOS TIEMPOS'!$K$2</f>
        <v>42368.075526157409</v>
      </c>
    </row>
    <row r="715" spans="1:8" x14ac:dyDescent="0.2">
      <c r="A715" s="13" t="str">
        <f>IF(ROW()-5&lt;=COUNTA(TablaEquipos[Compite]),ROW()-7,"")</f>
        <v/>
      </c>
      <c r="B715" s="10" t="str">
        <f>IF(Tabla96[[#This Row],[Id]]="","",VLOOKUP(Tabla96[[#This Row],[Id]]+1,TablaEquipos[],3,FALSE))</f>
        <v/>
      </c>
      <c r="C715" s="45" t="str">
        <f>IF(Tabla96[[#This Row],[Id]]="","",VLOOKUP(Tabla96[[#This Row],[Id]]+1,TablaEquipos[],4,FALSE))</f>
        <v/>
      </c>
      <c r="D715" s="13" t="str">
        <f>IF(Tabla96[[#This Row],[Id]]="","",COUNTIF(TablaTiempos[Club],Tabla96[[#This Row],[Pos]]))</f>
        <v/>
      </c>
      <c r="E715" s="47" t="str">
        <f>IF(Tabla96[[#This Row],[Id]]="","",Tabla96[[#This Row],[Total Llegados a Meta]]/Tabla96[[#This Row],[Total Inscritos]])</f>
        <v/>
      </c>
      <c r="F71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15" s="43">
        <f ca="1">NOW()-'LOS TIEMPOS'!$K$2</f>
        <v>42368.075526157409</v>
      </c>
    </row>
    <row r="716" spans="1:8" x14ac:dyDescent="0.2">
      <c r="A716" s="13" t="str">
        <f>IF(ROW()-5&lt;=COUNTA(TablaEquipos[Compite]),ROW()-7,"")</f>
        <v/>
      </c>
      <c r="B716" s="10" t="str">
        <f>IF(Tabla96[[#This Row],[Id]]="","",VLOOKUP(Tabla96[[#This Row],[Id]]+1,TablaEquipos[],3,FALSE))</f>
        <v/>
      </c>
      <c r="C716" s="45" t="str">
        <f>IF(Tabla96[[#This Row],[Id]]="","",VLOOKUP(Tabla96[[#This Row],[Id]]+1,TablaEquipos[],4,FALSE))</f>
        <v/>
      </c>
      <c r="D716" s="13" t="str">
        <f>IF(Tabla96[[#This Row],[Id]]="","",COUNTIF(TablaTiempos[Club],Tabla96[[#This Row],[Pos]]))</f>
        <v/>
      </c>
      <c r="E716" s="47" t="str">
        <f>IF(Tabla96[[#This Row],[Id]]="","",Tabla96[[#This Row],[Total Llegados a Meta]]/Tabla96[[#This Row],[Total Inscritos]])</f>
        <v/>
      </c>
      <c r="F71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16" s="43">
        <f ca="1">NOW()-'LOS TIEMPOS'!$K$2</f>
        <v>42368.075526157409</v>
      </c>
    </row>
    <row r="717" spans="1:8" x14ac:dyDescent="0.2">
      <c r="A717" s="13" t="str">
        <f>IF(ROW()-5&lt;=COUNTA(TablaEquipos[Compite]),ROW()-7,"")</f>
        <v/>
      </c>
      <c r="B717" s="10" t="str">
        <f>IF(Tabla96[[#This Row],[Id]]="","",VLOOKUP(Tabla96[[#This Row],[Id]]+1,TablaEquipos[],3,FALSE))</f>
        <v/>
      </c>
      <c r="C717" s="45" t="str">
        <f>IF(Tabla96[[#This Row],[Id]]="","",VLOOKUP(Tabla96[[#This Row],[Id]]+1,TablaEquipos[],4,FALSE))</f>
        <v/>
      </c>
      <c r="D717" s="13" t="str">
        <f>IF(Tabla96[[#This Row],[Id]]="","",COUNTIF(TablaTiempos[Club],Tabla96[[#This Row],[Pos]]))</f>
        <v/>
      </c>
      <c r="E717" s="47" t="str">
        <f>IF(Tabla96[[#This Row],[Id]]="","",Tabla96[[#This Row],[Total Llegados a Meta]]/Tabla96[[#This Row],[Total Inscritos]])</f>
        <v/>
      </c>
      <c r="F71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17" s="43">
        <f ca="1">NOW()-'LOS TIEMPOS'!$K$2</f>
        <v>42368.075526157409</v>
      </c>
    </row>
    <row r="718" spans="1:8" x14ac:dyDescent="0.2">
      <c r="A718" s="13" t="str">
        <f>IF(ROW()-5&lt;=COUNTA(TablaEquipos[Compite]),ROW()-7,"")</f>
        <v/>
      </c>
      <c r="B718" s="10" t="str">
        <f>IF(Tabla96[[#This Row],[Id]]="","",VLOOKUP(Tabla96[[#This Row],[Id]]+1,TablaEquipos[],3,FALSE))</f>
        <v/>
      </c>
      <c r="C718" s="45" t="str">
        <f>IF(Tabla96[[#This Row],[Id]]="","",VLOOKUP(Tabla96[[#This Row],[Id]]+1,TablaEquipos[],4,FALSE))</f>
        <v/>
      </c>
      <c r="D718" s="13" t="str">
        <f>IF(Tabla96[[#This Row],[Id]]="","",COUNTIF(TablaTiempos[Club],Tabla96[[#This Row],[Pos]]))</f>
        <v/>
      </c>
      <c r="E718" s="47" t="str">
        <f>IF(Tabla96[[#This Row],[Id]]="","",Tabla96[[#This Row],[Total Llegados a Meta]]/Tabla96[[#This Row],[Total Inscritos]])</f>
        <v/>
      </c>
      <c r="F71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18" s="43">
        <f ca="1">NOW()-'LOS TIEMPOS'!$K$2</f>
        <v>42368.075526157409</v>
      </c>
    </row>
    <row r="719" spans="1:8" x14ac:dyDescent="0.2">
      <c r="A719" s="13" t="str">
        <f>IF(ROW()-5&lt;=COUNTA(TablaEquipos[Compite]),ROW()-7,"")</f>
        <v/>
      </c>
      <c r="B719" s="10" t="str">
        <f>IF(Tabla96[[#This Row],[Id]]="","",VLOOKUP(Tabla96[[#This Row],[Id]]+1,TablaEquipos[],3,FALSE))</f>
        <v/>
      </c>
      <c r="C719" s="45" t="str">
        <f>IF(Tabla96[[#This Row],[Id]]="","",VLOOKUP(Tabla96[[#This Row],[Id]]+1,TablaEquipos[],4,FALSE))</f>
        <v/>
      </c>
      <c r="D719" s="13" t="str">
        <f>IF(Tabla96[[#This Row],[Id]]="","",COUNTIF(TablaTiempos[Club],Tabla96[[#This Row],[Pos]]))</f>
        <v/>
      </c>
      <c r="E719" s="47" t="str">
        <f>IF(Tabla96[[#This Row],[Id]]="","",Tabla96[[#This Row],[Total Llegados a Meta]]/Tabla96[[#This Row],[Total Inscritos]])</f>
        <v/>
      </c>
      <c r="F71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19" s="43">
        <f ca="1">NOW()-'LOS TIEMPOS'!$K$2</f>
        <v>42368.075526157409</v>
      </c>
    </row>
    <row r="720" spans="1:8" x14ac:dyDescent="0.2">
      <c r="A720" s="13" t="str">
        <f>IF(ROW()-5&lt;=COUNTA(TablaEquipos[Compite]),ROW()-7,"")</f>
        <v/>
      </c>
      <c r="B720" s="10" t="str">
        <f>IF(Tabla96[[#This Row],[Id]]="","",VLOOKUP(Tabla96[[#This Row],[Id]]+1,TablaEquipos[],3,FALSE))</f>
        <v/>
      </c>
      <c r="C720" s="45" t="str">
        <f>IF(Tabla96[[#This Row],[Id]]="","",VLOOKUP(Tabla96[[#This Row],[Id]]+1,TablaEquipos[],4,FALSE))</f>
        <v/>
      </c>
      <c r="D720" s="13" t="str">
        <f>IF(Tabla96[[#This Row],[Id]]="","",COUNTIF(TablaTiempos[Club],Tabla96[[#This Row],[Pos]]))</f>
        <v/>
      </c>
      <c r="E720" s="47" t="str">
        <f>IF(Tabla96[[#This Row],[Id]]="","",Tabla96[[#This Row],[Total Llegados a Meta]]/Tabla96[[#This Row],[Total Inscritos]])</f>
        <v/>
      </c>
      <c r="F72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20" s="43">
        <f ca="1">NOW()-'LOS TIEMPOS'!$K$2</f>
        <v>42368.075526157409</v>
      </c>
    </row>
    <row r="721" spans="1:8" x14ac:dyDescent="0.2">
      <c r="A721" s="13" t="str">
        <f>IF(ROW()-5&lt;=COUNTA(TablaEquipos[Compite]),ROW()-7,"")</f>
        <v/>
      </c>
      <c r="B721" s="10" t="str">
        <f>IF(Tabla96[[#This Row],[Id]]="","",VLOOKUP(Tabla96[[#This Row],[Id]]+1,TablaEquipos[],3,FALSE))</f>
        <v/>
      </c>
      <c r="C721" s="45" t="str">
        <f>IF(Tabla96[[#This Row],[Id]]="","",VLOOKUP(Tabla96[[#This Row],[Id]]+1,TablaEquipos[],4,FALSE))</f>
        <v/>
      </c>
      <c r="D721" s="13" t="str">
        <f>IF(Tabla96[[#This Row],[Id]]="","",COUNTIF(TablaTiempos[Club],Tabla96[[#This Row],[Pos]]))</f>
        <v/>
      </c>
      <c r="E721" s="47" t="str">
        <f>IF(Tabla96[[#This Row],[Id]]="","",Tabla96[[#This Row],[Total Llegados a Meta]]/Tabla96[[#This Row],[Total Inscritos]])</f>
        <v/>
      </c>
      <c r="F72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21" s="43">
        <f ca="1">NOW()-'LOS TIEMPOS'!$K$2</f>
        <v>42368.075526157409</v>
      </c>
    </row>
    <row r="722" spans="1:8" x14ac:dyDescent="0.2">
      <c r="A722" s="13" t="str">
        <f>IF(ROW()-5&lt;=COUNTA(TablaEquipos[Compite]),ROW()-7,"")</f>
        <v/>
      </c>
      <c r="B722" s="10" t="str">
        <f>IF(Tabla96[[#This Row],[Id]]="","",VLOOKUP(Tabla96[[#This Row],[Id]]+1,TablaEquipos[],3,FALSE))</f>
        <v/>
      </c>
      <c r="C722" s="45" t="str">
        <f>IF(Tabla96[[#This Row],[Id]]="","",VLOOKUP(Tabla96[[#This Row],[Id]]+1,TablaEquipos[],4,FALSE))</f>
        <v/>
      </c>
      <c r="D722" s="13" t="str">
        <f>IF(Tabla96[[#This Row],[Id]]="","",COUNTIF(TablaTiempos[Club],Tabla96[[#This Row],[Pos]]))</f>
        <v/>
      </c>
      <c r="E722" s="47" t="str">
        <f>IF(Tabla96[[#This Row],[Id]]="","",Tabla96[[#This Row],[Total Llegados a Meta]]/Tabla96[[#This Row],[Total Inscritos]])</f>
        <v/>
      </c>
      <c r="F72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22" s="43">
        <f ca="1">NOW()-'LOS TIEMPOS'!$K$2</f>
        <v>42368.075526157409</v>
      </c>
    </row>
    <row r="723" spans="1:8" x14ac:dyDescent="0.2">
      <c r="A723" s="13" t="str">
        <f>IF(ROW()-5&lt;=COUNTA(TablaEquipos[Compite]),ROW()-7,"")</f>
        <v/>
      </c>
      <c r="B723" s="10" t="str">
        <f>IF(Tabla96[[#This Row],[Id]]="","",VLOOKUP(Tabla96[[#This Row],[Id]]+1,TablaEquipos[],3,FALSE))</f>
        <v/>
      </c>
      <c r="C723" s="45" t="str">
        <f>IF(Tabla96[[#This Row],[Id]]="","",VLOOKUP(Tabla96[[#This Row],[Id]]+1,TablaEquipos[],4,FALSE))</f>
        <v/>
      </c>
      <c r="D723" s="13" t="str">
        <f>IF(Tabla96[[#This Row],[Id]]="","",COUNTIF(TablaTiempos[Club],Tabla96[[#This Row],[Pos]]))</f>
        <v/>
      </c>
      <c r="E723" s="47" t="str">
        <f>IF(Tabla96[[#This Row],[Id]]="","",Tabla96[[#This Row],[Total Llegados a Meta]]/Tabla96[[#This Row],[Total Inscritos]])</f>
        <v/>
      </c>
      <c r="F72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23" s="43">
        <f ca="1">NOW()-'LOS TIEMPOS'!$K$2</f>
        <v>42368.075526157409</v>
      </c>
    </row>
    <row r="724" spans="1:8" x14ac:dyDescent="0.2">
      <c r="A724" s="13" t="str">
        <f>IF(ROW()-5&lt;=COUNTA(TablaEquipos[Compite]),ROW()-7,"")</f>
        <v/>
      </c>
      <c r="B724" s="10" t="str">
        <f>IF(Tabla96[[#This Row],[Id]]="","",VLOOKUP(Tabla96[[#This Row],[Id]]+1,TablaEquipos[],3,FALSE))</f>
        <v/>
      </c>
      <c r="C724" s="45" t="str">
        <f>IF(Tabla96[[#This Row],[Id]]="","",VLOOKUP(Tabla96[[#This Row],[Id]]+1,TablaEquipos[],4,FALSE))</f>
        <v/>
      </c>
      <c r="D724" s="13" t="str">
        <f>IF(Tabla96[[#This Row],[Id]]="","",COUNTIF(TablaTiempos[Club],Tabla96[[#This Row],[Pos]]))</f>
        <v/>
      </c>
      <c r="E724" s="47" t="str">
        <f>IF(Tabla96[[#This Row],[Id]]="","",Tabla96[[#This Row],[Total Llegados a Meta]]/Tabla96[[#This Row],[Total Inscritos]])</f>
        <v/>
      </c>
      <c r="F72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24" s="43">
        <f ca="1">NOW()-'LOS TIEMPOS'!$K$2</f>
        <v>42368.075526157409</v>
      </c>
    </row>
    <row r="725" spans="1:8" x14ac:dyDescent="0.2">
      <c r="A725" s="13" t="str">
        <f>IF(ROW()-5&lt;=COUNTA(TablaEquipos[Compite]),ROW()-7,"")</f>
        <v/>
      </c>
      <c r="B725" s="10" t="str">
        <f>IF(Tabla96[[#This Row],[Id]]="","",VLOOKUP(Tabla96[[#This Row],[Id]]+1,TablaEquipos[],3,FALSE))</f>
        <v/>
      </c>
      <c r="C725" s="45" t="str">
        <f>IF(Tabla96[[#This Row],[Id]]="","",VLOOKUP(Tabla96[[#This Row],[Id]]+1,TablaEquipos[],4,FALSE))</f>
        <v/>
      </c>
      <c r="D725" s="13" t="str">
        <f>IF(Tabla96[[#This Row],[Id]]="","",COUNTIF(TablaTiempos[Club],Tabla96[[#This Row],[Pos]]))</f>
        <v/>
      </c>
      <c r="E725" s="47" t="str">
        <f>IF(Tabla96[[#This Row],[Id]]="","",Tabla96[[#This Row],[Total Llegados a Meta]]/Tabla96[[#This Row],[Total Inscritos]])</f>
        <v/>
      </c>
      <c r="F72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25" s="43">
        <f ca="1">NOW()-'LOS TIEMPOS'!$K$2</f>
        <v>42368.075526157409</v>
      </c>
    </row>
    <row r="726" spans="1:8" x14ac:dyDescent="0.2">
      <c r="A726" s="13" t="str">
        <f>IF(ROW()-5&lt;=COUNTA(TablaEquipos[Compite]),ROW()-7,"")</f>
        <v/>
      </c>
      <c r="B726" s="10" t="str">
        <f>IF(Tabla96[[#This Row],[Id]]="","",VLOOKUP(Tabla96[[#This Row],[Id]]+1,TablaEquipos[],3,FALSE))</f>
        <v/>
      </c>
      <c r="C726" s="45" t="str">
        <f>IF(Tabla96[[#This Row],[Id]]="","",VLOOKUP(Tabla96[[#This Row],[Id]]+1,TablaEquipos[],4,FALSE))</f>
        <v/>
      </c>
      <c r="D726" s="13" t="str">
        <f>IF(Tabla96[[#This Row],[Id]]="","",COUNTIF(TablaTiempos[Club],Tabla96[[#This Row],[Pos]]))</f>
        <v/>
      </c>
      <c r="E726" s="47" t="str">
        <f>IF(Tabla96[[#This Row],[Id]]="","",Tabla96[[#This Row],[Total Llegados a Meta]]/Tabla96[[#This Row],[Total Inscritos]])</f>
        <v/>
      </c>
      <c r="F72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26" s="43">
        <f ca="1">NOW()-'LOS TIEMPOS'!$K$2</f>
        <v>42368.075526157409</v>
      </c>
    </row>
    <row r="727" spans="1:8" x14ac:dyDescent="0.2">
      <c r="A727" s="13" t="str">
        <f>IF(ROW()-5&lt;=COUNTA(TablaEquipos[Compite]),ROW()-7,"")</f>
        <v/>
      </c>
      <c r="B727" s="10" t="str">
        <f>IF(Tabla96[[#This Row],[Id]]="","",VLOOKUP(Tabla96[[#This Row],[Id]]+1,TablaEquipos[],3,FALSE))</f>
        <v/>
      </c>
      <c r="C727" s="45" t="str">
        <f>IF(Tabla96[[#This Row],[Id]]="","",VLOOKUP(Tabla96[[#This Row],[Id]]+1,TablaEquipos[],4,FALSE))</f>
        <v/>
      </c>
      <c r="D727" s="13" t="str">
        <f>IF(Tabla96[[#This Row],[Id]]="","",COUNTIF(TablaTiempos[Club],Tabla96[[#This Row],[Pos]]))</f>
        <v/>
      </c>
      <c r="E727" s="47" t="str">
        <f>IF(Tabla96[[#This Row],[Id]]="","",Tabla96[[#This Row],[Total Llegados a Meta]]/Tabla96[[#This Row],[Total Inscritos]])</f>
        <v/>
      </c>
      <c r="F72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27" s="43">
        <f ca="1">NOW()-'LOS TIEMPOS'!$K$2</f>
        <v>42368.075526157409</v>
      </c>
    </row>
    <row r="728" spans="1:8" x14ac:dyDescent="0.2">
      <c r="A728" s="13" t="str">
        <f>IF(ROW()-5&lt;=COUNTA(TablaEquipos[Compite]),ROW()-7,"")</f>
        <v/>
      </c>
      <c r="B728" s="10" t="str">
        <f>IF(Tabla96[[#This Row],[Id]]="","",VLOOKUP(Tabla96[[#This Row],[Id]]+1,TablaEquipos[],3,FALSE))</f>
        <v/>
      </c>
      <c r="C728" s="45" t="str">
        <f>IF(Tabla96[[#This Row],[Id]]="","",VLOOKUP(Tabla96[[#This Row],[Id]]+1,TablaEquipos[],4,FALSE))</f>
        <v/>
      </c>
      <c r="D728" s="13" t="str">
        <f>IF(Tabla96[[#This Row],[Id]]="","",COUNTIF(TablaTiempos[Club],Tabla96[[#This Row],[Pos]]))</f>
        <v/>
      </c>
      <c r="E728" s="47" t="str">
        <f>IF(Tabla96[[#This Row],[Id]]="","",Tabla96[[#This Row],[Total Llegados a Meta]]/Tabla96[[#This Row],[Total Inscritos]])</f>
        <v/>
      </c>
      <c r="F72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28" s="43">
        <f ca="1">NOW()-'LOS TIEMPOS'!$K$2</f>
        <v>42368.075526157409</v>
      </c>
    </row>
    <row r="729" spans="1:8" x14ac:dyDescent="0.2">
      <c r="A729" s="13" t="str">
        <f>IF(ROW()-5&lt;=COUNTA(TablaEquipos[Compite]),ROW()-7,"")</f>
        <v/>
      </c>
      <c r="B729" s="10" t="str">
        <f>IF(Tabla96[[#This Row],[Id]]="","",VLOOKUP(Tabla96[[#This Row],[Id]]+1,TablaEquipos[],3,FALSE))</f>
        <v/>
      </c>
      <c r="C729" s="45" t="str">
        <f>IF(Tabla96[[#This Row],[Id]]="","",VLOOKUP(Tabla96[[#This Row],[Id]]+1,TablaEquipos[],4,FALSE))</f>
        <v/>
      </c>
      <c r="D729" s="13" t="str">
        <f>IF(Tabla96[[#This Row],[Id]]="","",COUNTIF(TablaTiempos[Club],Tabla96[[#This Row],[Pos]]))</f>
        <v/>
      </c>
      <c r="E729" s="47" t="str">
        <f>IF(Tabla96[[#This Row],[Id]]="","",Tabla96[[#This Row],[Total Llegados a Meta]]/Tabla96[[#This Row],[Total Inscritos]])</f>
        <v/>
      </c>
      <c r="F72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29" s="43">
        <f ca="1">NOW()-'LOS TIEMPOS'!$K$2</f>
        <v>42368.075526157409</v>
      </c>
    </row>
    <row r="730" spans="1:8" x14ac:dyDescent="0.2">
      <c r="A730" s="13" t="str">
        <f>IF(ROW()-5&lt;=COUNTA(TablaEquipos[Compite]),ROW()-7,"")</f>
        <v/>
      </c>
      <c r="B730" s="10" t="str">
        <f>IF(Tabla96[[#This Row],[Id]]="","",VLOOKUP(Tabla96[[#This Row],[Id]]+1,TablaEquipos[],3,FALSE))</f>
        <v/>
      </c>
      <c r="C730" s="45" t="str">
        <f>IF(Tabla96[[#This Row],[Id]]="","",VLOOKUP(Tabla96[[#This Row],[Id]]+1,TablaEquipos[],4,FALSE))</f>
        <v/>
      </c>
      <c r="D730" s="13" t="str">
        <f>IF(Tabla96[[#This Row],[Id]]="","",COUNTIF(TablaTiempos[Club],Tabla96[[#This Row],[Pos]]))</f>
        <v/>
      </c>
      <c r="E730" s="47" t="str">
        <f>IF(Tabla96[[#This Row],[Id]]="","",Tabla96[[#This Row],[Total Llegados a Meta]]/Tabla96[[#This Row],[Total Inscritos]])</f>
        <v/>
      </c>
      <c r="F73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30" s="43">
        <f ca="1">NOW()-'LOS TIEMPOS'!$K$2</f>
        <v>42368.075526157409</v>
      </c>
    </row>
    <row r="731" spans="1:8" x14ac:dyDescent="0.2">
      <c r="A731" s="13" t="str">
        <f>IF(ROW()-5&lt;=COUNTA(TablaEquipos[Compite]),ROW()-7,"")</f>
        <v/>
      </c>
      <c r="B731" s="10" t="str">
        <f>IF(Tabla96[[#This Row],[Id]]="","",VLOOKUP(Tabla96[[#This Row],[Id]]+1,TablaEquipos[],3,FALSE))</f>
        <v/>
      </c>
      <c r="C731" s="45" t="str">
        <f>IF(Tabla96[[#This Row],[Id]]="","",VLOOKUP(Tabla96[[#This Row],[Id]]+1,TablaEquipos[],4,FALSE))</f>
        <v/>
      </c>
      <c r="D731" s="13" t="str">
        <f>IF(Tabla96[[#This Row],[Id]]="","",COUNTIF(TablaTiempos[Club],Tabla96[[#This Row],[Pos]]))</f>
        <v/>
      </c>
      <c r="E731" s="47" t="str">
        <f>IF(Tabla96[[#This Row],[Id]]="","",Tabla96[[#This Row],[Total Llegados a Meta]]/Tabla96[[#This Row],[Total Inscritos]])</f>
        <v/>
      </c>
      <c r="F73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31" s="43">
        <f ca="1">NOW()-'LOS TIEMPOS'!$K$2</f>
        <v>42368.075526157409</v>
      </c>
    </row>
    <row r="732" spans="1:8" x14ac:dyDescent="0.2">
      <c r="A732" s="13" t="str">
        <f>IF(ROW()-5&lt;=COUNTA(TablaEquipos[Compite]),ROW()-7,"")</f>
        <v/>
      </c>
      <c r="B732" s="10" t="str">
        <f>IF(Tabla96[[#This Row],[Id]]="","",VLOOKUP(Tabla96[[#This Row],[Id]]+1,TablaEquipos[],3,FALSE))</f>
        <v/>
      </c>
      <c r="C732" s="45" t="str">
        <f>IF(Tabla96[[#This Row],[Id]]="","",VLOOKUP(Tabla96[[#This Row],[Id]]+1,TablaEquipos[],4,FALSE))</f>
        <v/>
      </c>
      <c r="D732" s="13" t="str">
        <f>IF(Tabla96[[#This Row],[Id]]="","",COUNTIF(TablaTiempos[Club],Tabla96[[#This Row],[Pos]]))</f>
        <v/>
      </c>
      <c r="E732" s="47" t="str">
        <f>IF(Tabla96[[#This Row],[Id]]="","",Tabla96[[#This Row],[Total Llegados a Meta]]/Tabla96[[#This Row],[Total Inscritos]])</f>
        <v/>
      </c>
      <c r="F73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32" s="43">
        <f ca="1">NOW()-'LOS TIEMPOS'!$K$2</f>
        <v>42368.075526157409</v>
      </c>
    </row>
    <row r="733" spans="1:8" x14ac:dyDescent="0.2">
      <c r="A733" s="13" t="str">
        <f>IF(ROW()-5&lt;=COUNTA(TablaEquipos[Compite]),ROW()-7,"")</f>
        <v/>
      </c>
      <c r="B733" s="10" t="str">
        <f>IF(Tabla96[[#This Row],[Id]]="","",VLOOKUP(Tabla96[[#This Row],[Id]]+1,TablaEquipos[],3,FALSE))</f>
        <v/>
      </c>
      <c r="C733" s="45" t="str">
        <f>IF(Tabla96[[#This Row],[Id]]="","",VLOOKUP(Tabla96[[#This Row],[Id]]+1,TablaEquipos[],4,FALSE))</f>
        <v/>
      </c>
      <c r="D733" s="13" t="str">
        <f>IF(Tabla96[[#This Row],[Id]]="","",COUNTIF(TablaTiempos[Club],Tabla96[[#This Row],[Pos]]))</f>
        <v/>
      </c>
      <c r="E733" s="47" t="str">
        <f>IF(Tabla96[[#This Row],[Id]]="","",Tabla96[[#This Row],[Total Llegados a Meta]]/Tabla96[[#This Row],[Total Inscritos]])</f>
        <v/>
      </c>
      <c r="F73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33" s="43">
        <f ca="1">NOW()-'LOS TIEMPOS'!$K$2</f>
        <v>42368.075526157409</v>
      </c>
    </row>
    <row r="734" spans="1:8" x14ac:dyDescent="0.2">
      <c r="A734" s="13" t="str">
        <f>IF(ROW()-5&lt;=COUNTA(TablaEquipos[Compite]),ROW()-7,"")</f>
        <v/>
      </c>
      <c r="B734" s="10" t="str">
        <f>IF(Tabla96[[#This Row],[Id]]="","",VLOOKUP(Tabla96[[#This Row],[Id]]+1,TablaEquipos[],3,FALSE))</f>
        <v/>
      </c>
      <c r="C734" s="45" t="str">
        <f>IF(Tabla96[[#This Row],[Id]]="","",VLOOKUP(Tabla96[[#This Row],[Id]]+1,TablaEquipos[],4,FALSE))</f>
        <v/>
      </c>
      <c r="D734" s="13" t="str">
        <f>IF(Tabla96[[#This Row],[Id]]="","",COUNTIF(TablaTiempos[Club],Tabla96[[#This Row],[Pos]]))</f>
        <v/>
      </c>
      <c r="E734" s="47" t="str">
        <f>IF(Tabla96[[#This Row],[Id]]="","",Tabla96[[#This Row],[Total Llegados a Meta]]/Tabla96[[#This Row],[Total Inscritos]])</f>
        <v/>
      </c>
      <c r="F73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34" s="43">
        <f ca="1">NOW()-'LOS TIEMPOS'!$K$2</f>
        <v>42368.075526157409</v>
      </c>
    </row>
    <row r="735" spans="1:8" x14ac:dyDescent="0.2">
      <c r="A735" s="13" t="str">
        <f>IF(ROW()-5&lt;=COUNTA(TablaEquipos[Compite]),ROW()-7,"")</f>
        <v/>
      </c>
      <c r="B735" s="10" t="str">
        <f>IF(Tabla96[[#This Row],[Id]]="","",VLOOKUP(Tabla96[[#This Row],[Id]]+1,TablaEquipos[],3,FALSE))</f>
        <v/>
      </c>
      <c r="C735" s="45" t="str">
        <f>IF(Tabla96[[#This Row],[Id]]="","",VLOOKUP(Tabla96[[#This Row],[Id]]+1,TablaEquipos[],4,FALSE))</f>
        <v/>
      </c>
      <c r="D735" s="13" t="str">
        <f>IF(Tabla96[[#This Row],[Id]]="","",COUNTIF(TablaTiempos[Club],Tabla96[[#This Row],[Pos]]))</f>
        <v/>
      </c>
      <c r="E735" s="47" t="str">
        <f>IF(Tabla96[[#This Row],[Id]]="","",Tabla96[[#This Row],[Total Llegados a Meta]]/Tabla96[[#This Row],[Total Inscritos]])</f>
        <v/>
      </c>
      <c r="F73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35" s="43">
        <f ca="1">NOW()-'LOS TIEMPOS'!$K$2</f>
        <v>42368.075526157409</v>
      </c>
    </row>
    <row r="736" spans="1:8" x14ac:dyDescent="0.2">
      <c r="A736" s="13" t="str">
        <f>IF(ROW()-5&lt;=COUNTA(TablaEquipos[Compite]),ROW()-7,"")</f>
        <v/>
      </c>
      <c r="B736" s="10" t="str">
        <f>IF(Tabla96[[#This Row],[Id]]="","",VLOOKUP(Tabla96[[#This Row],[Id]]+1,TablaEquipos[],3,FALSE))</f>
        <v/>
      </c>
      <c r="C736" s="45" t="str">
        <f>IF(Tabla96[[#This Row],[Id]]="","",VLOOKUP(Tabla96[[#This Row],[Id]]+1,TablaEquipos[],4,FALSE))</f>
        <v/>
      </c>
      <c r="D736" s="13" t="str">
        <f>IF(Tabla96[[#This Row],[Id]]="","",COUNTIF(TablaTiempos[Club],Tabla96[[#This Row],[Pos]]))</f>
        <v/>
      </c>
      <c r="E736" s="47" t="str">
        <f>IF(Tabla96[[#This Row],[Id]]="","",Tabla96[[#This Row],[Total Llegados a Meta]]/Tabla96[[#This Row],[Total Inscritos]])</f>
        <v/>
      </c>
      <c r="F73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36" s="43">
        <f ca="1">NOW()-'LOS TIEMPOS'!$K$2</f>
        <v>42368.075526157409</v>
      </c>
    </row>
    <row r="737" spans="1:8" x14ac:dyDescent="0.2">
      <c r="A737" s="13" t="str">
        <f>IF(ROW()-5&lt;=COUNTA(TablaEquipos[Compite]),ROW()-7,"")</f>
        <v/>
      </c>
      <c r="B737" s="10" t="str">
        <f>IF(Tabla96[[#This Row],[Id]]="","",VLOOKUP(Tabla96[[#This Row],[Id]]+1,TablaEquipos[],3,FALSE))</f>
        <v/>
      </c>
      <c r="C737" s="45" t="str">
        <f>IF(Tabla96[[#This Row],[Id]]="","",VLOOKUP(Tabla96[[#This Row],[Id]]+1,TablaEquipos[],4,FALSE))</f>
        <v/>
      </c>
      <c r="D737" s="13" t="str">
        <f>IF(Tabla96[[#This Row],[Id]]="","",COUNTIF(TablaTiempos[Club],Tabla96[[#This Row],[Pos]]))</f>
        <v/>
      </c>
      <c r="E737" s="47" t="str">
        <f>IF(Tabla96[[#This Row],[Id]]="","",Tabla96[[#This Row],[Total Llegados a Meta]]/Tabla96[[#This Row],[Total Inscritos]])</f>
        <v/>
      </c>
      <c r="F73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37" s="43">
        <f ca="1">NOW()-'LOS TIEMPOS'!$K$2</f>
        <v>42368.075526157409</v>
      </c>
    </row>
    <row r="738" spans="1:8" x14ac:dyDescent="0.2">
      <c r="A738" s="13" t="str">
        <f>IF(ROW()-5&lt;=COUNTA(TablaEquipos[Compite]),ROW()-7,"")</f>
        <v/>
      </c>
      <c r="B738" s="10" t="str">
        <f>IF(Tabla96[[#This Row],[Id]]="","",VLOOKUP(Tabla96[[#This Row],[Id]]+1,TablaEquipos[],3,FALSE))</f>
        <v/>
      </c>
      <c r="C738" s="45" t="str">
        <f>IF(Tabla96[[#This Row],[Id]]="","",VLOOKUP(Tabla96[[#This Row],[Id]]+1,TablaEquipos[],4,FALSE))</f>
        <v/>
      </c>
      <c r="D738" s="13" t="str">
        <f>IF(Tabla96[[#This Row],[Id]]="","",COUNTIF(TablaTiempos[Club],Tabla96[[#This Row],[Pos]]))</f>
        <v/>
      </c>
      <c r="E738" s="47" t="str">
        <f>IF(Tabla96[[#This Row],[Id]]="","",Tabla96[[#This Row],[Total Llegados a Meta]]/Tabla96[[#This Row],[Total Inscritos]])</f>
        <v/>
      </c>
      <c r="F73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38" s="43">
        <f ca="1">NOW()-'LOS TIEMPOS'!$K$2</f>
        <v>42368.075526157409</v>
      </c>
    </row>
    <row r="739" spans="1:8" x14ac:dyDescent="0.2">
      <c r="A739" s="13" t="str">
        <f>IF(ROW()-5&lt;=COUNTA(TablaEquipos[Compite]),ROW()-7,"")</f>
        <v/>
      </c>
      <c r="B739" s="10" t="str">
        <f>IF(Tabla96[[#This Row],[Id]]="","",VLOOKUP(Tabla96[[#This Row],[Id]]+1,TablaEquipos[],3,FALSE))</f>
        <v/>
      </c>
      <c r="C739" s="45" t="str">
        <f>IF(Tabla96[[#This Row],[Id]]="","",VLOOKUP(Tabla96[[#This Row],[Id]]+1,TablaEquipos[],4,FALSE))</f>
        <v/>
      </c>
      <c r="D739" s="13" t="str">
        <f>IF(Tabla96[[#This Row],[Id]]="","",COUNTIF(TablaTiempos[Club],Tabla96[[#This Row],[Pos]]))</f>
        <v/>
      </c>
      <c r="E739" s="47" t="str">
        <f>IF(Tabla96[[#This Row],[Id]]="","",Tabla96[[#This Row],[Total Llegados a Meta]]/Tabla96[[#This Row],[Total Inscritos]])</f>
        <v/>
      </c>
      <c r="F73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39" s="43">
        <f ca="1">NOW()-'LOS TIEMPOS'!$K$2</f>
        <v>42368.075526157409</v>
      </c>
    </row>
    <row r="740" spans="1:8" x14ac:dyDescent="0.2">
      <c r="A740" s="13" t="str">
        <f>IF(ROW()-5&lt;=COUNTA(TablaEquipos[Compite]),ROW()-7,"")</f>
        <v/>
      </c>
      <c r="B740" s="10" t="str">
        <f>IF(Tabla96[[#This Row],[Id]]="","",VLOOKUP(Tabla96[[#This Row],[Id]]+1,TablaEquipos[],3,FALSE))</f>
        <v/>
      </c>
      <c r="C740" s="45" t="str">
        <f>IF(Tabla96[[#This Row],[Id]]="","",VLOOKUP(Tabla96[[#This Row],[Id]]+1,TablaEquipos[],4,FALSE))</f>
        <v/>
      </c>
      <c r="D740" s="13" t="str">
        <f>IF(Tabla96[[#This Row],[Id]]="","",COUNTIF(TablaTiempos[Club],Tabla96[[#This Row],[Pos]]))</f>
        <v/>
      </c>
      <c r="E740" s="47" t="str">
        <f>IF(Tabla96[[#This Row],[Id]]="","",Tabla96[[#This Row],[Total Llegados a Meta]]/Tabla96[[#This Row],[Total Inscritos]])</f>
        <v/>
      </c>
      <c r="F74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40" s="43">
        <f ca="1">NOW()-'LOS TIEMPOS'!$K$2</f>
        <v>42368.075526157409</v>
      </c>
    </row>
    <row r="741" spans="1:8" x14ac:dyDescent="0.2">
      <c r="A741" s="13" t="str">
        <f>IF(ROW()-5&lt;=COUNTA(TablaEquipos[Compite]),ROW()-7,"")</f>
        <v/>
      </c>
      <c r="B741" s="10" t="str">
        <f>IF(Tabla96[[#This Row],[Id]]="","",VLOOKUP(Tabla96[[#This Row],[Id]]+1,TablaEquipos[],3,FALSE))</f>
        <v/>
      </c>
      <c r="C741" s="45" t="str">
        <f>IF(Tabla96[[#This Row],[Id]]="","",VLOOKUP(Tabla96[[#This Row],[Id]]+1,TablaEquipos[],4,FALSE))</f>
        <v/>
      </c>
      <c r="D741" s="13" t="str">
        <f>IF(Tabla96[[#This Row],[Id]]="","",COUNTIF(TablaTiempos[Club],Tabla96[[#This Row],[Pos]]))</f>
        <v/>
      </c>
      <c r="E741" s="47" t="str">
        <f>IF(Tabla96[[#This Row],[Id]]="","",Tabla96[[#This Row],[Total Llegados a Meta]]/Tabla96[[#This Row],[Total Inscritos]])</f>
        <v/>
      </c>
      <c r="F74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41" s="43">
        <f ca="1">NOW()-'LOS TIEMPOS'!$K$2</f>
        <v>42368.075526157409</v>
      </c>
    </row>
    <row r="742" spans="1:8" x14ac:dyDescent="0.2">
      <c r="A742" s="13" t="str">
        <f>IF(ROW()-5&lt;=COUNTA(TablaEquipos[Compite]),ROW()-7,"")</f>
        <v/>
      </c>
      <c r="B742" s="10" t="str">
        <f>IF(Tabla96[[#This Row],[Id]]="","",VLOOKUP(Tabla96[[#This Row],[Id]]+1,TablaEquipos[],3,FALSE))</f>
        <v/>
      </c>
      <c r="C742" s="45" t="str">
        <f>IF(Tabla96[[#This Row],[Id]]="","",VLOOKUP(Tabla96[[#This Row],[Id]]+1,TablaEquipos[],4,FALSE))</f>
        <v/>
      </c>
      <c r="D742" s="13" t="str">
        <f>IF(Tabla96[[#This Row],[Id]]="","",COUNTIF(TablaTiempos[Club],Tabla96[[#This Row],[Pos]]))</f>
        <v/>
      </c>
      <c r="E742" s="47" t="str">
        <f>IF(Tabla96[[#This Row],[Id]]="","",Tabla96[[#This Row],[Total Llegados a Meta]]/Tabla96[[#This Row],[Total Inscritos]])</f>
        <v/>
      </c>
      <c r="F74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42" s="43">
        <f ca="1">NOW()-'LOS TIEMPOS'!$K$2</f>
        <v>42368.075526157409</v>
      </c>
    </row>
    <row r="743" spans="1:8" x14ac:dyDescent="0.2">
      <c r="A743" s="13" t="str">
        <f>IF(ROW()-5&lt;=COUNTA(TablaEquipos[Compite]),ROW()-7,"")</f>
        <v/>
      </c>
      <c r="B743" s="10" t="str">
        <f>IF(Tabla96[[#This Row],[Id]]="","",VLOOKUP(Tabla96[[#This Row],[Id]]+1,TablaEquipos[],3,FALSE))</f>
        <v/>
      </c>
      <c r="C743" s="45" t="str">
        <f>IF(Tabla96[[#This Row],[Id]]="","",VLOOKUP(Tabla96[[#This Row],[Id]]+1,TablaEquipos[],4,FALSE))</f>
        <v/>
      </c>
      <c r="D743" s="13" t="str">
        <f>IF(Tabla96[[#This Row],[Id]]="","",COUNTIF(TablaTiempos[Club],Tabla96[[#This Row],[Pos]]))</f>
        <v/>
      </c>
      <c r="E743" s="47" t="str">
        <f>IF(Tabla96[[#This Row],[Id]]="","",Tabla96[[#This Row],[Total Llegados a Meta]]/Tabla96[[#This Row],[Total Inscritos]])</f>
        <v/>
      </c>
      <c r="F74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43" s="43">
        <f ca="1">NOW()-'LOS TIEMPOS'!$K$2</f>
        <v>42368.075526157409</v>
      </c>
    </row>
    <row r="744" spans="1:8" x14ac:dyDescent="0.2">
      <c r="A744" s="13" t="str">
        <f>IF(ROW()-5&lt;=COUNTA(TablaEquipos[Compite]),ROW()-7,"")</f>
        <v/>
      </c>
      <c r="B744" s="10" t="str">
        <f>IF(Tabla96[[#This Row],[Id]]="","",VLOOKUP(Tabla96[[#This Row],[Id]]+1,TablaEquipos[],3,FALSE))</f>
        <v/>
      </c>
      <c r="C744" s="45" t="str">
        <f>IF(Tabla96[[#This Row],[Id]]="","",VLOOKUP(Tabla96[[#This Row],[Id]]+1,TablaEquipos[],4,FALSE))</f>
        <v/>
      </c>
      <c r="D744" s="13" t="str">
        <f>IF(Tabla96[[#This Row],[Id]]="","",COUNTIF(TablaTiempos[Club],Tabla96[[#This Row],[Pos]]))</f>
        <v/>
      </c>
      <c r="E744" s="47" t="str">
        <f>IF(Tabla96[[#This Row],[Id]]="","",Tabla96[[#This Row],[Total Llegados a Meta]]/Tabla96[[#This Row],[Total Inscritos]])</f>
        <v/>
      </c>
      <c r="F74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44" s="43">
        <f ca="1">NOW()-'LOS TIEMPOS'!$K$2</f>
        <v>42368.075526157409</v>
      </c>
    </row>
    <row r="745" spans="1:8" x14ac:dyDescent="0.2">
      <c r="A745" s="13" t="str">
        <f>IF(ROW()-5&lt;=COUNTA(TablaEquipos[Compite]),ROW()-7,"")</f>
        <v/>
      </c>
      <c r="B745" s="10" t="str">
        <f>IF(Tabla96[[#This Row],[Id]]="","",VLOOKUP(Tabla96[[#This Row],[Id]]+1,TablaEquipos[],3,FALSE))</f>
        <v/>
      </c>
      <c r="C745" s="45" t="str">
        <f>IF(Tabla96[[#This Row],[Id]]="","",VLOOKUP(Tabla96[[#This Row],[Id]]+1,TablaEquipos[],4,FALSE))</f>
        <v/>
      </c>
      <c r="D745" s="13" t="str">
        <f>IF(Tabla96[[#This Row],[Id]]="","",COUNTIF(TablaTiempos[Club],Tabla96[[#This Row],[Pos]]))</f>
        <v/>
      </c>
      <c r="E745" s="47" t="str">
        <f>IF(Tabla96[[#This Row],[Id]]="","",Tabla96[[#This Row],[Total Llegados a Meta]]/Tabla96[[#This Row],[Total Inscritos]])</f>
        <v/>
      </c>
      <c r="F74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45" s="43">
        <f ca="1">NOW()-'LOS TIEMPOS'!$K$2</f>
        <v>42368.075526157409</v>
      </c>
    </row>
    <row r="746" spans="1:8" x14ac:dyDescent="0.2">
      <c r="A746" s="13" t="str">
        <f>IF(ROW()-5&lt;=COUNTA(TablaEquipos[Compite]),ROW()-7,"")</f>
        <v/>
      </c>
      <c r="B746" s="10" t="str">
        <f>IF(Tabla96[[#This Row],[Id]]="","",VLOOKUP(Tabla96[[#This Row],[Id]]+1,TablaEquipos[],3,FALSE))</f>
        <v/>
      </c>
      <c r="C746" s="45" t="str">
        <f>IF(Tabla96[[#This Row],[Id]]="","",VLOOKUP(Tabla96[[#This Row],[Id]]+1,TablaEquipos[],4,FALSE))</f>
        <v/>
      </c>
      <c r="D746" s="13" t="str">
        <f>IF(Tabla96[[#This Row],[Id]]="","",COUNTIF(TablaTiempos[Club],Tabla96[[#This Row],[Pos]]))</f>
        <v/>
      </c>
      <c r="E746" s="47" t="str">
        <f>IF(Tabla96[[#This Row],[Id]]="","",Tabla96[[#This Row],[Total Llegados a Meta]]/Tabla96[[#This Row],[Total Inscritos]])</f>
        <v/>
      </c>
      <c r="F74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46" s="43">
        <f ca="1">NOW()-'LOS TIEMPOS'!$K$2</f>
        <v>42368.075526157409</v>
      </c>
    </row>
    <row r="747" spans="1:8" x14ac:dyDescent="0.2">
      <c r="A747" s="13" t="str">
        <f>IF(ROW()-5&lt;=COUNTA(TablaEquipos[Compite]),ROW()-7,"")</f>
        <v/>
      </c>
      <c r="B747" s="10" t="str">
        <f>IF(Tabla96[[#This Row],[Id]]="","",VLOOKUP(Tabla96[[#This Row],[Id]]+1,TablaEquipos[],3,FALSE))</f>
        <v/>
      </c>
      <c r="C747" s="45" t="str">
        <f>IF(Tabla96[[#This Row],[Id]]="","",VLOOKUP(Tabla96[[#This Row],[Id]]+1,TablaEquipos[],4,FALSE))</f>
        <v/>
      </c>
      <c r="D747" s="13" t="str">
        <f>IF(Tabla96[[#This Row],[Id]]="","",COUNTIF(TablaTiempos[Club],Tabla96[[#This Row],[Pos]]))</f>
        <v/>
      </c>
      <c r="E747" s="47" t="str">
        <f>IF(Tabla96[[#This Row],[Id]]="","",Tabla96[[#This Row],[Total Llegados a Meta]]/Tabla96[[#This Row],[Total Inscritos]])</f>
        <v/>
      </c>
      <c r="F74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47" s="43">
        <f ca="1">NOW()-'LOS TIEMPOS'!$K$2</f>
        <v>42368.075526157409</v>
      </c>
    </row>
    <row r="748" spans="1:8" x14ac:dyDescent="0.2">
      <c r="A748" s="13" t="str">
        <f>IF(ROW()-5&lt;=COUNTA(TablaEquipos[Compite]),ROW()-7,"")</f>
        <v/>
      </c>
      <c r="B748" s="10" t="str">
        <f>IF(Tabla96[[#This Row],[Id]]="","",VLOOKUP(Tabla96[[#This Row],[Id]]+1,TablaEquipos[],3,FALSE))</f>
        <v/>
      </c>
      <c r="C748" s="45" t="str">
        <f>IF(Tabla96[[#This Row],[Id]]="","",VLOOKUP(Tabla96[[#This Row],[Id]]+1,TablaEquipos[],4,FALSE))</f>
        <v/>
      </c>
      <c r="D748" s="13" t="str">
        <f>IF(Tabla96[[#This Row],[Id]]="","",COUNTIF(TablaTiempos[Club],Tabla96[[#This Row],[Pos]]))</f>
        <v/>
      </c>
      <c r="E748" s="47" t="str">
        <f>IF(Tabla96[[#This Row],[Id]]="","",Tabla96[[#This Row],[Total Llegados a Meta]]/Tabla96[[#This Row],[Total Inscritos]])</f>
        <v/>
      </c>
      <c r="F74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48" s="43">
        <f ca="1">NOW()-'LOS TIEMPOS'!$K$2</f>
        <v>42368.075526157409</v>
      </c>
    </row>
    <row r="749" spans="1:8" x14ac:dyDescent="0.2">
      <c r="A749" s="13" t="str">
        <f>IF(ROW()-5&lt;=COUNTA(TablaEquipos[Compite]),ROW()-7,"")</f>
        <v/>
      </c>
      <c r="B749" s="10" t="str">
        <f>IF(Tabla96[[#This Row],[Id]]="","",VLOOKUP(Tabla96[[#This Row],[Id]]+1,TablaEquipos[],3,FALSE))</f>
        <v/>
      </c>
      <c r="C749" s="45" t="str">
        <f>IF(Tabla96[[#This Row],[Id]]="","",VLOOKUP(Tabla96[[#This Row],[Id]]+1,TablaEquipos[],4,FALSE))</f>
        <v/>
      </c>
      <c r="D749" s="13" t="str">
        <f>IF(Tabla96[[#This Row],[Id]]="","",COUNTIF(TablaTiempos[Club],Tabla96[[#This Row],[Pos]]))</f>
        <v/>
      </c>
      <c r="E749" s="47" t="str">
        <f>IF(Tabla96[[#This Row],[Id]]="","",Tabla96[[#This Row],[Total Llegados a Meta]]/Tabla96[[#This Row],[Total Inscritos]])</f>
        <v/>
      </c>
      <c r="F74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49" s="43">
        <f ca="1">NOW()-'LOS TIEMPOS'!$K$2</f>
        <v>42368.075526157409</v>
      </c>
    </row>
    <row r="750" spans="1:8" x14ac:dyDescent="0.2">
      <c r="A750" s="13" t="str">
        <f>IF(ROW()-5&lt;=COUNTA(TablaEquipos[Compite]),ROW()-7,"")</f>
        <v/>
      </c>
      <c r="B750" s="10" t="str">
        <f>IF(Tabla96[[#This Row],[Id]]="","",VLOOKUP(Tabla96[[#This Row],[Id]]+1,TablaEquipos[],3,FALSE))</f>
        <v/>
      </c>
      <c r="C750" s="45" t="str">
        <f>IF(Tabla96[[#This Row],[Id]]="","",VLOOKUP(Tabla96[[#This Row],[Id]]+1,TablaEquipos[],4,FALSE))</f>
        <v/>
      </c>
      <c r="D750" s="13" t="str">
        <f>IF(Tabla96[[#This Row],[Id]]="","",COUNTIF(TablaTiempos[Club],Tabla96[[#This Row],[Pos]]))</f>
        <v/>
      </c>
      <c r="E750" s="47" t="str">
        <f>IF(Tabla96[[#This Row],[Id]]="","",Tabla96[[#This Row],[Total Llegados a Meta]]/Tabla96[[#This Row],[Total Inscritos]])</f>
        <v/>
      </c>
      <c r="F75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50" s="43">
        <f ca="1">NOW()-'LOS TIEMPOS'!$K$2</f>
        <v>42368.075526157409</v>
      </c>
    </row>
    <row r="751" spans="1:8" x14ac:dyDescent="0.2">
      <c r="A751" s="13" t="str">
        <f>IF(ROW()-5&lt;=COUNTA(TablaEquipos[Compite]),ROW()-7,"")</f>
        <v/>
      </c>
      <c r="B751" s="10" t="str">
        <f>IF(Tabla96[[#This Row],[Id]]="","",VLOOKUP(Tabla96[[#This Row],[Id]]+1,TablaEquipos[],3,FALSE))</f>
        <v/>
      </c>
      <c r="C751" s="45" t="str">
        <f>IF(Tabla96[[#This Row],[Id]]="","",VLOOKUP(Tabla96[[#This Row],[Id]]+1,TablaEquipos[],4,FALSE))</f>
        <v/>
      </c>
      <c r="D751" s="13" t="str">
        <f>IF(Tabla96[[#This Row],[Id]]="","",COUNTIF(TablaTiempos[Club],Tabla96[[#This Row],[Pos]]))</f>
        <v/>
      </c>
      <c r="E751" s="47" t="str">
        <f>IF(Tabla96[[#This Row],[Id]]="","",Tabla96[[#This Row],[Total Llegados a Meta]]/Tabla96[[#This Row],[Total Inscritos]])</f>
        <v/>
      </c>
      <c r="F75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51" s="43">
        <f ca="1">NOW()-'LOS TIEMPOS'!$K$2</f>
        <v>42368.075526157409</v>
      </c>
    </row>
    <row r="752" spans="1:8" x14ac:dyDescent="0.2">
      <c r="A752" s="13" t="str">
        <f>IF(ROW()-5&lt;=COUNTA(TablaEquipos[Compite]),ROW()-7,"")</f>
        <v/>
      </c>
      <c r="B752" s="10" t="str">
        <f>IF(Tabla96[[#This Row],[Id]]="","",VLOOKUP(Tabla96[[#This Row],[Id]]+1,TablaEquipos[],3,FALSE))</f>
        <v/>
      </c>
      <c r="C752" s="45" t="str">
        <f>IF(Tabla96[[#This Row],[Id]]="","",VLOOKUP(Tabla96[[#This Row],[Id]]+1,TablaEquipos[],4,FALSE))</f>
        <v/>
      </c>
      <c r="D752" s="13" t="str">
        <f>IF(Tabla96[[#This Row],[Id]]="","",COUNTIF(TablaTiempos[Club],Tabla96[[#This Row],[Pos]]))</f>
        <v/>
      </c>
      <c r="E752" s="47" t="str">
        <f>IF(Tabla96[[#This Row],[Id]]="","",Tabla96[[#This Row],[Total Llegados a Meta]]/Tabla96[[#This Row],[Total Inscritos]])</f>
        <v/>
      </c>
      <c r="F75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52" s="43">
        <f ca="1">NOW()-'LOS TIEMPOS'!$K$2</f>
        <v>42368.075526157409</v>
      </c>
    </row>
    <row r="753" spans="1:8" x14ac:dyDescent="0.2">
      <c r="A753" s="13" t="str">
        <f>IF(ROW()-5&lt;=COUNTA(TablaEquipos[Compite]),ROW()-7,"")</f>
        <v/>
      </c>
      <c r="B753" s="10" t="str">
        <f>IF(Tabla96[[#This Row],[Id]]="","",VLOOKUP(Tabla96[[#This Row],[Id]]+1,TablaEquipos[],3,FALSE))</f>
        <v/>
      </c>
      <c r="C753" s="45" t="str">
        <f>IF(Tabla96[[#This Row],[Id]]="","",VLOOKUP(Tabla96[[#This Row],[Id]]+1,TablaEquipos[],4,FALSE))</f>
        <v/>
      </c>
      <c r="D753" s="13" t="str">
        <f>IF(Tabla96[[#This Row],[Id]]="","",COUNTIF(TablaTiempos[Club],Tabla96[[#This Row],[Pos]]))</f>
        <v/>
      </c>
      <c r="E753" s="47" t="str">
        <f>IF(Tabla96[[#This Row],[Id]]="","",Tabla96[[#This Row],[Total Llegados a Meta]]/Tabla96[[#This Row],[Total Inscritos]])</f>
        <v/>
      </c>
      <c r="F75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53" s="43">
        <f ca="1">NOW()-'LOS TIEMPOS'!$K$2</f>
        <v>42368.075526157409</v>
      </c>
    </row>
    <row r="754" spans="1:8" x14ac:dyDescent="0.2">
      <c r="A754" s="13" t="str">
        <f>IF(ROW()-5&lt;=COUNTA(TablaEquipos[Compite]),ROW()-7,"")</f>
        <v/>
      </c>
      <c r="B754" s="10" t="str">
        <f>IF(Tabla96[[#This Row],[Id]]="","",VLOOKUP(Tabla96[[#This Row],[Id]]+1,TablaEquipos[],3,FALSE))</f>
        <v/>
      </c>
      <c r="C754" s="45" t="str">
        <f>IF(Tabla96[[#This Row],[Id]]="","",VLOOKUP(Tabla96[[#This Row],[Id]]+1,TablaEquipos[],4,FALSE))</f>
        <v/>
      </c>
      <c r="D754" s="13" t="str">
        <f>IF(Tabla96[[#This Row],[Id]]="","",COUNTIF(TablaTiempos[Club],Tabla96[[#This Row],[Pos]]))</f>
        <v/>
      </c>
      <c r="E754" s="47" t="str">
        <f>IF(Tabla96[[#This Row],[Id]]="","",Tabla96[[#This Row],[Total Llegados a Meta]]/Tabla96[[#This Row],[Total Inscritos]])</f>
        <v/>
      </c>
      <c r="F75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54" s="43">
        <f ca="1">NOW()-'LOS TIEMPOS'!$K$2</f>
        <v>42368.075526157409</v>
      </c>
    </row>
    <row r="755" spans="1:8" x14ac:dyDescent="0.2">
      <c r="A755" s="13" t="str">
        <f>IF(ROW()-5&lt;=COUNTA(TablaEquipos[Compite]),ROW()-7,"")</f>
        <v/>
      </c>
      <c r="B755" s="10" t="str">
        <f>IF(Tabla96[[#This Row],[Id]]="","",VLOOKUP(Tabla96[[#This Row],[Id]]+1,TablaEquipos[],3,FALSE))</f>
        <v/>
      </c>
      <c r="C755" s="45" t="str">
        <f>IF(Tabla96[[#This Row],[Id]]="","",VLOOKUP(Tabla96[[#This Row],[Id]]+1,TablaEquipos[],4,FALSE))</f>
        <v/>
      </c>
      <c r="D755" s="13" t="str">
        <f>IF(Tabla96[[#This Row],[Id]]="","",COUNTIF(TablaTiempos[Club],Tabla96[[#This Row],[Pos]]))</f>
        <v/>
      </c>
      <c r="E755" s="47" t="str">
        <f>IF(Tabla96[[#This Row],[Id]]="","",Tabla96[[#This Row],[Total Llegados a Meta]]/Tabla96[[#This Row],[Total Inscritos]])</f>
        <v/>
      </c>
      <c r="F75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55" s="43">
        <f ca="1">NOW()-'LOS TIEMPOS'!$K$2</f>
        <v>42368.075526157409</v>
      </c>
    </row>
    <row r="756" spans="1:8" x14ac:dyDescent="0.2">
      <c r="A756" s="13" t="str">
        <f>IF(ROW()-5&lt;=COUNTA(TablaEquipos[Compite]),ROW()-7,"")</f>
        <v/>
      </c>
      <c r="B756" s="10" t="str">
        <f>IF(Tabla96[[#This Row],[Id]]="","",VLOOKUP(Tabla96[[#This Row],[Id]]+1,TablaEquipos[],3,FALSE))</f>
        <v/>
      </c>
      <c r="C756" s="45" t="str">
        <f>IF(Tabla96[[#This Row],[Id]]="","",VLOOKUP(Tabla96[[#This Row],[Id]]+1,TablaEquipos[],4,FALSE))</f>
        <v/>
      </c>
      <c r="D756" s="13" t="str">
        <f>IF(Tabla96[[#This Row],[Id]]="","",COUNTIF(TablaTiempos[Club],Tabla96[[#This Row],[Pos]]))</f>
        <v/>
      </c>
      <c r="E756" s="47" t="str">
        <f>IF(Tabla96[[#This Row],[Id]]="","",Tabla96[[#This Row],[Total Llegados a Meta]]/Tabla96[[#This Row],[Total Inscritos]])</f>
        <v/>
      </c>
      <c r="F75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56" s="43">
        <f ca="1">NOW()-'LOS TIEMPOS'!$K$2</f>
        <v>42368.075526157409</v>
      </c>
    </row>
    <row r="757" spans="1:8" x14ac:dyDescent="0.2">
      <c r="A757" s="13" t="str">
        <f>IF(ROW()-5&lt;=COUNTA(TablaEquipos[Compite]),ROW()-7,"")</f>
        <v/>
      </c>
      <c r="B757" s="10" t="str">
        <f>IF(Tabla96[[#This Row],[Id]]="","",VLOOKUP(Tabla96[[#This Row],[Id]]+1,TablaEquipos[],3,FALSE))</f>
        <v/>
      </c>
      <c r="C757" s="45" t="str">
        <f>IF(Tabla96[[#This Row],[Id]]="","",VLOOKUP(Tabla96[[#This Row],[Id]]+1,TablaEquipos[],4,FALSE))</f>
        <v/>
      </c>
      <c r="D757" s="13" t="str">
        <f>IF(Tabla96[[#This Row],[Id]]="","",COUNTIF(TablaTiempos[Club],Tabla96[[#This Row],[Pos]]))</f>
        <v/>
      </c>
      <c r="E757" s="47" t="str">
        <f>IF(Tabla96[[#This Row],[Id]]="","",Tabla96[[#This Row],[Total Llegados a Meta]]/Tabla96[[#This Row],[Total Inscritos]])</f>
        <v/>
      </c>
      <c r="F75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57" s="43">
        <f ca="1">NOW()-'LOS TIEMPOS'!$K$2</f>
        <v>42368.075526157409</v>
      </c>
    </row>
    <row r="758" spans="1:8" x14ac:dyDescent="0.2">
      <c r="A758" s="13" t="str">
        <f>IF(ROW()-5&lt;=COUNTA(TablaEquipos[Compite]),ROW()-7,"")</f>
        <v/>
      </c>
      <c r="B758" s="10" t="str">
        <f>IF(Tabla96[[#This Row],[Id]]="","",VLOOKUP(Tabla96[[#This Row],[Id]]+1,TablaEquipos[],3,FALSE))</f>
        <v/>
      </c>
      <c r="C758" s="45" t="str">
        <f>IF(Tabla96[[#This Row],[Id]]="","",VLOOKUP(Tabla96[[#This Row],[Id]]+1,TablaEquipos[],4,FALSE))</f>
        <v/>
      </c>
      <c r="D758" s="13" t="str">
        <f>IF(Tabla96[[#This Row],[Id]]="","",COUNTIF(TablaTiempos[Club],Tabla96[[#This Row],[Pos]]))</f>
        <v/>
      </c>
      <c r="E758" s="47" t="str">
        <f>IF(Tabla96[[#This Row],[Id]]="","",Tabla96[[#This Row],[Total Llegados a Meta]]/Tabla96[[#This Row],[Total Inscritos]])</f>
        <v/>
      </c>
      <c r="F75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58" s="43">
        <f ca="1">NOW()-'LOS TIEMPOS'!$K$2</f>
        <v>42368.075526157409</v>
      </c>
    </row>
    <row r="759" spans="1:8" x14ac:dyDescent="0.2">
      <c r="A759" s="13" t="str">
        <f>IF(ROW()-5&lt;=COUNTA(TablaEquipos[Compite]),ROW()-7,"")</f>
        <v/>
      </c>
      <c r="B759" s="10" t="str">
        <f>IF(Tabla96[[#This Row],[Id]]="","",VLOOKUP(Tabla96[[#This Row],[Id]]+1,TablaEquipos[],3,FALSE))</f>
        <v/>
      </c>
      <c r="C759" s="45" t="str">
        <f>IF(Tabla96[[#This Row],[Id]]="","",VLOOKUP(Tabla96[[#This Row],[Id]]+1,TablaEquipos[],4,FALSE))</f>
        <v/>
      </c>
      <c r="D759" s="13" t="str">
        <f>IF(Tabla96[[#This Row],[Id]]="","",COUNTIF(TablaTiempos[Club],Tabla96[[#This Row],[Pos]]))</f>
        <v/>
      </c>
      <c r="E759" s="47" t="str">
        <f>IF(Tabla96[[#This Row],[Id]]="","",Tabla96[[#This Row],[Total Llegados a Meta]]/Tabla96[[#This Row],[Total Inscritos]])</f>
        <v/>
      </c>
      <c r="F75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59" s="43">
        <f ca="1">NOW()-'LOS TIEMPOS'!$K$2</f>
        <v>42368.075526157409</v>
      </c>
    </row>
    <row r="760" spans="1:8" x14ac:dyDescent="0.2">
      <c r="A760" s="13" t="str">
        <f>IF(ROW()-5&lt;=COUNTA(TablaEquipos[Compite]),ROW()-7,"")</f>
        <v/>
      </c>
      <c r="B760" s="10" t="str">
        <f>IF(Tabla96[[#This Row],[Id]]="","",VLOOKUP(Tabla96[[#This Row],[Id]]+1,TablaEquipos[],3,FALSE))</f>
        <v/>
      </c>
      <c r="C760" s="45" t="str">
        <f>IF(Tabla96[[#This Row],[Id]]="","",VLOOKUP(Tabla96[[#This Row],[Id]]+1,TablaEquipos[],4,FALSE))</f>
        <v/>
      </c>
      <c r="D760" s="13" t="str">
        <f>IF(Tabla96[[#This Row],[Id]]="","",COUNTIF(TablaTiempos[Club],Tabla96[[#This Row],[Pos]]))</f>
        <v/>
      </c>
      <c r="E760" s="47" t="str">
        <f>IF(Tabla96[[#This Row],[Id]]="","",Tabla96[[#This Row],[Total Llegados a Meta]]/Tabla96[[#This Row],[Total Inscritos]])</f>
        <v/>
      </c>
      <c r="F76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60" s="43">
        <f ca="1">NOW()-'LOS TIEMPOS'!$K$2</f>
        <v>42368.075526157409</v>
      </c>
    </row>
    <row r="761" spans="1:8" x14ac:dyDescent="0.2">
      <c r="A761" s="13" t="str">
        <f>IF(ROW()-5&lt;=COUNTA(TablaEquipos[Compite]),ROW()-7,"")</f>
        <v/>
      </c>
      <c r="B761" s="10" t="str">
        <f>IF(Tabla96[[#This Row],[Id]]="","",VLOOKUP(Tabla96[[#This Row],[Id]]+1,TablaEquipos[],3,FALSE))</f>
        <v/>
      </c>
      <c r="C761" s="45" t="str">
        <f>IF(Tabla96[[#This Row],[Id]]="","",VLOOKUP(Tabla96[[#This Row],[Id]]+1,TablaEquipos[],4,FALSE))</f>
        <v/>
      </c>
      <c r="D761" s="13" t="str">
        <f>IF(Tabla96[[#This Row],[Id]]="","",COUNTIF(TablaTiempos[Club],Tabla96[[#This Row],[Pos]]))</f>
        <v/>
      </c>
      <c r="E761" s="47" t="str">
        <f>IF(Tabla96[[#This Row],[Id]]="","",Tabla96[[#This Row],[Total Llegados a Meta]]/Tabla96[[#This Row],[Total Inscritos]])</f>
        <v/>
      </c>
      <c r="F76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61" s="43">
        <f ca="1">NOW()-'LOS TIEMPOS'!$K$2</f>
        <v>42368.075526157409</v>
      </c>
    </row>
    <row r="762" spans="1:8" x14ac:dyDescent="0.2">
      <c r="A762" s="13" t="str">
        <f>IF(ROW()-5&lt;=COUNTA(TablaEquipos[Compite]),ROW()-7,"")</f>
        <v/>
      </c>
      <c r="B762" s="10" t="str">
        <f>IF(Tabla96[[#This Row],[Id]]="","",VLOOKUP(Tabla96[[#This Row],[Id]]+1,TablaEquipos[],3,FALSE))</f>
        <v/>
      </c>
      <c r="C762" s="45" t="str">
        <f>IF(Tabla96[[#This Row],[Id]]="","",VLOOKUP(Tabla96[[#This Row],[Id]]+1,TablaEquipos[],4,FALSE))</f>
        <v/>
      </c>
      <c r="D762" s="13" t="str">
        <f>IF(Tabla96[[#This Row],[Id]]="","",COUNTIF(TablaTiempos[Club],Tabla96[[#This Row],[Pos]]))</f>
        <v/>
      </c>
      <c r="E762" s="47" t="str">
        <f>IF(Tabla96[[#This Row],[Id]]="","",Tabla96[[#This Row],[Total Llegados a Meta]]/Tabla96[[#This Row],[Total Inscritos]])</f>
        <v/>
      </c>
      <c r="F76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62" s="43">
        <f ca="1">NOW()-'LOS TIEMPOS'!$K$2</f>
        <v>42368.075526157409</v>
      </c>
    </row>
    <row r="763" spans="1:8" x14ac:dyDescent="0.2">
      <c r="A763" s="13" t="str">
        <f>IF(ROW()-5&lt;=COUNTA(TablaEquipos[Compite]),ROW()-7,"")</f>
        <v/>
      </c>
      <c r="B763" s="10" t="str">
        <f>IF(Tabla96[[#This Row],[Id]]="","",VLOOKUP(Tabla96[[#This Row],[Id]]+1,TablaEquipos[],3,FALSE))</f>
        <v/>
      </c>
      <c r="C763" s="45" t="str">
        <f>IF(Tabla96[[#This Row],[Id]]="","",VLOOKUP(Tabla96[[#This Row],[Id]]+1,TablaEquipos[],4,FALSE))</f>
        <v/>
      </c>
      <c r="D763" s="13" t="str">
        <f>IF(Tabla96[[#This Row],[Id]]="","",COUNTIF(TablaTiempos[Club],Tabla96[[#This Row],[Pos]]))</f>
        <v/>
      </c>
      <c r="E763" s="47" t="str">
        <f>IF(Tabla96[[#This Row],[Id]]="","",Tabla96[[#This Row],[Total Llegados a Meta]]/Tabla96[[#This Row],[Total Inscritos]])</f>
        <v/>
      </c>
      <c r="F76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63" s="43">
        <f ca="1">NOW()-'LOS TIEMPOS'!$K$2</f>
        <v>42368.075526157409</v>
      </c>
    </row>
    <row r="764" spans="1:8" x14ac:dyDescent="0.2">
      <c r="A764" s="13" t="str">
        <f>IF(ROW()-5&lt;=COUNTA(TablaEquipos[Compite]),ROW()-7,"")</f>
        <v/>
      </c>
      <c r="B764" s="10" t="str">
        <f>IF(Tabla96[[#This Row],[Id]]="","",VLOOKUP(Tabla96[[#This Row],[Id]]+1,TablaEquipos[],3,FALSE))</f>
        <v/>
      </c>
      <c r="C764" s="45" t="str">
        <f>IF(Tabla96[[#This Row],[Id]]="","",VLOOKUP(Tabla96[[#This Row],[Id]]+1,TablaEquipos[],4,FALSE))</f>
        <v/>
      </c>
      <c r="D764" s="13" t="str">
        <f>IF(Tabla96[[#This Row],[Id]]="","",COUNTIF(TablaTiempos[Club],Tabla96[[#This Row],[Pos]]))</f>
        <v/>
      </c>
      <c r="E764" s="47" t="str">
        <f>IF(Tabla96[[#This Row],[Id]]="","",Tabla96[[#This Row],[Total Llegados a Meta]]/Tabla96[[#This Row],[Total Inscritos]])</f>
        <v/>
      </c>
      <c r="F76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64" s="43">
        <f ca="1">NOW()-'LOS TIEMPOS'!$K$2</f>
        <v>42368.075526157409</v>
      </c>
    </row>
    <row r="765" spans="1:8" x14ac:dyDescent="0.2">
      <c r="A765" s="13" t="str">
        <f>IF(ROW()-5&lt;=COUNTA(TablaEquipos[Compite]),ROW()-7,"")</f>
        <v/>
      </c>
      <c r="B765" s="10" t="str">
        <f>IF(Tabla96[[#This Row],[Id]]="","",VLOOKUP(Tabla96[[#This Row],[Id]]+1,TablaEquipos[],3,FALSE))</f>
        <v/>
      </c>
      <c r="C765" s="45" t="str">
        <f>IF(Tabla96[[#This Row],[Id]]="","",VLOOKUP(Tabla96[[#This Row],[Id]]+1,TablaEquipos[],4,FALSE))</f>
        <v/>
      </c>
      <c r="D765" s="13" t="str">
        <f>IF(Tabla96[[#This Row],[Id]]="","",COUNTIF(TablaTiempos[Club],Tabla96[[#This Row],[Pos]]))</f>
        <v/>
      </c>
      <c r="E765" s="47" t="str">
        <f>IF(Tabla96[[#This Row],[Id]]="","",Tabla96[[#This Row],[Total Llegados a Meta]]/Tabla96[[#This Row],[Total Inscritos]])</f>
        <v/>
      </c>
      <c r="F76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65" s="43">
        <f ca="1">NOW()-'LOS TIEMPOS'!$K$2</f>
        <v>42368.075526157409</v>
      </c>
    </row>
    <row r="766" spans="1:8" x14ac:dyDescent="0.2">
      <c r="A766" s="13" t="str">
        <f>IF(ROW()-5&lt;=COUNTA(TablaEquipos[Compite]),ROW()-7,"")</f>
        <v/>
      </c>
      <c r="B766" s="10" t="str">
        <f>IF(Tabla96[[#This Row],[Id]]="","",VLOOKUP(Tabla96[[#This Row],[Id]]+1,TablaEquipos[],3,FALSE))</f>
        <v/>
      </c>
      <c r="C766" s="45" t="str">
        <f>IF(Tabla96[[#This Row],[Id]]="","",VLOOKUP(Tabla96[[#This Row],[Id]]+1,TablaEquipos[],4,FALSE))</f>
        <v/>
      </c>
      <c r="D766" s="13" t="str">
        <f>IF(Tabla96[[#This Row],[Id]]="","",COUNTIF(TablaTiempos[Club],Tabla96[[#This Row],[Pos]]))</f>
        <v/>
      </c>
      <c r="E766" s="47" t="str">
        <f>IF(Tabla96[[#This Row],[Id]]="","",Tabla96[[#This Row],[Total Llegados a Meta]]/Tabla96[[#This Row],[Total Inscritos]])</f>
        <v/>
      </c>
      <c r="F76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66" s="43">
        <f ca="1">NOW()-'LOS TIEMPOS'!$K$2</f>
        <v>42368.075526157409</v>
      </c>
    </row>
    <row r="767" spans="1:8" x14ac:dyDescent="0.2">
      <c r="A767" s="13" t="str">
        <f>IF(ROW()-5&lt;=COUNTA(TablaEquipos[Compite]),ROW()-7,"")</f>
        <v/>
      </c>
      <c r="B767" s="10" t="str">
        <f>IF(Tabla96[[#This Row],[Id]]="","",VLOOKUP(Tabla96[[#This Row],[Id]]+1,TablaEquipos[],3,FALSE))</f>
        <v/>
      </c>
      <c r="C767" s="45" t="str">
        <f>IF(Tabla96[[#This Row],[Id]]="","",VLOOKUP(Tabla96[[#This Row],[Id]]+1,TablaEquipos[],4,FALSE))</f>
        <v/>
      </c>
      <c r="D767" s="13" t="str">
        <f>IF(Tabla96[[#This Row],[Id]]="","",COUNTIF(TablaTiempos[Club],Tabla96[[#This Row],[Pos]]))</f>
        <v/>
      </c>
      <c r="E767" s="47" t="str">
        <f>IF(Tabla96[[#This Row],[Id]]="","",Tabla96[[#This Row],[Total Llegados a Meta]]/Tabla96[[#This Row],[Total Inscritos]])</f>
        <v/>
      </c>
      <c r="F76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67" s="43">
        <f ca="1">NOW()-'LOS TIEMPOS'!$K$2</f>
        <v>42368.075526157409</v>
      </c>
    </row>
    <row r="768" spans="1:8" x14ac:dyDescent="0.2">
      <c r="A768" s="13" t="str">
        <f>IF(ROW()-5&lt;=COUNTA(TablaEquipos[Compite]),ROW()-7,"")</f>
        <v/>
      </c>
      <c r="B768" s="10" t="str">
        <f>IF(Tabla96[[#This Row],[Id]]="","",VLOOKUP(Tabla96[[#This Row],[Id]]+1,TablaEquipos[],3,FALSE))</f>
        <v/>
      </c>
      <c r="C768" s="45" t="str">
        <f>IF(Tabla96[[#This Row],[Id]]="","",VLOOKUP(Tabla96[[#This Row],[Id]]+1,TablaEquipos[],4,FALSE))</f>
        <v/>
      </c>
      <c r="D768" s="13" t="str">
        <f>IF(Tabla96[[#This Row],[Id]]="","",COUNTIF(TablaTiempos[Club],Tabla96[[#This Row],[Pos]]))</f>
        <v/>
      </c>
      <c r="E768" s="47" t="str">
        <f>IF(Tabla96[[#This Row],[Id]]="","",Tabla96[[#This Row],[Total Llegados a Meta]]/Tabla96[[#This Row],[Total Inscritos]])</f>
        <v/>
      </c>
      <c r="F76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68" s="43">
        <f ca="1">NOW()-'LOS TIEMPOS'!$K$2</f>
        <v>42368.075526157409</v>
      </c>
    </row>
    <row r="769" spans="1:8" x14ac:dyDescent="0.2">
      <c r="A769" s="13" t="str">
        <f>IF(ROW()-5&lt;=COUNTA(TablaEquipos[Compite]),ROW()-7,"")</f>
        <v/>
      </c>
      <c r="B769" s="10" t="str">
        <f>IF(Tabla96[[#This Row],[Id]]="","",VLOOKUP(Tabla96[[#This Row],[Id]]+1,TablaEquipos[],3,FALSE))</f>
        <v/>
      </c>
      <c r="C769" s="45" t="str">
        <f>IF(Tabla96[[#This Row],[Id]]="","",VLOOKUP(Tabla96[[#This Row],[Id]]+1,TablaEquipos[],4,FALSE))</f>
        <v/>
      </c>
      <c r="D769" s="13" t="str">
        <f>IF(Tabla96[[#This Row],[Id]]="","",COUNTIF(TablaTiempos[Club],Tabla96[[#This Row],[Pos]]))</f>
        <v/>
      </c>
      <c r="E769" s="47" t="str">
        <f>IF(Tabla96[[#This Row],[Id]]="","",Tabla96[[#This Row],[Total Llegados a Meta]]/Tabla96[[#This Row],[Total Inscritos]])</f>
        <v/>
      </c>
      <c r="F76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69" s="43">
        <f ca="1">NOW()-'LOS TIEMPOS'!$K$2</f>
        <v>42368.075526157409</v>
      </c>
    </row>
    <row r="770" spans="1:8" x14ac:dyDescent="0.2">
      <c r="A770" s="13" t="str">
        <f>IF(ROW()-5&lt;=COUNTA(TablaEquipos[Compite]),ROW()-7,"")</f>
        <v/>
      </c>
      <c r="B770" s="10" t="str">
        <f>IF(Tabla96[[#This Row],[Id]]="","",VLOOKUP(Tabla96[[#This Row],[Id]]+1,TablaEquipos[],3,FALSE))</f>
        <v/>
      </c>
      <c r="C770" s="45" t="str">
        <f>IF(Tabla96[[#This Row],[Id]]="","",VLOOKUP(Tabla96[[#This Row],[Id]]+1,TablaEquipos[],4,FALSE))</f>
        <v/>
      </c>
      <c r="D770" s="13" t="str">
        <f>IF(Tabla96[[#This Row],[Id]]="","",COUNTIF(TablaTiempos[Club],Tabla96[[#This Row],[Pos]]))</f>
        <v/>
      </c>
      <c r="E770" s="47" t="str">
        <f>IF(Tabla96[[#This Row],[Id]]="","",Tabla96[[#This Row],[Total Llegados a Meta]]/Tabla96[[#This Row],[Total Inscritos]])</f>
        <v/>
      </c>
      <c r="F77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70" s="43">
        <f ca="1">NOW()-'LOS TIEMPOS'!$K$2</f>
        <v>42368.075526157409</v>
      </c>
    </row>
    <row r="771" spans="1:8" x14ac:dyDescent="0.2">
      <c r="A771" s="13" t="str">
        <f>IF(ROW()-5&lt;=COUNTA(TablaEquipos[Compite]),ROW()-7,"")</f>
        <v/>
      </c>
      <c r="B771" s="10" t="str">
        <f>IF(Tabla96[[#This Row],[Id]]="","",VLOOKUP(Tabla96[[#This Row],[Id]]+1,TablaEquipos[],3,FALSE))</f>
        <v/>
      </c>
      <c r="C771" s="45" t="str">
        <f>IF(Tabla96[[#This Row],[Id]]="","",VLOOKUP(Tabla96[[#This Row],[Id]]+1,TablaEquipos[],4,FALSE))</f>
        <v/>
      </c>
      <c r="D771" s="13" t="str">
        <f>IF(Tabla96[[#This Row],[Id]]="","",COUNTIF(TablaTiempos[Club],Tabla96[[#This Row],[Pos]]))</f>
        <v/>
      </c>
      <c r="E771" s="47" t="str">
        <f>IF(Tabla96[[#This Row],[Id]]="","",Tabla96[[#This Row],[Total Llegados a Meta]]/Tabla96[[#This Row],[Total Inscritos]])</f>
        <v/>
      </c>
      <c r="F77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71" s="43">
        <f ca="1">NOW()-'LOS TIEMPOS'!$K$2</f>
        <v>42368.075526157409</v>
      </c>
    </row>
    <row r="772" spans="1:8" x14ac:dyDescent="0.2">
      <c r="A772" s="13" t="str">
        <f>IF(ROW()-5&lt;=COUNTA(TablaEquipos[Compite]),ROW()-7,"")</f>
        <v/>
      </c>
      <c r="B772" s="10" t="str">
        <f>IF(Tabla96[[#This Row],[Id]]="","",VLOOKUP(Tabla96[[#This Row],[Id]]+1,TablaEquipos[],3,FALSE))</f>
        <v/>
      </c>
      <c r="C772" s="45" t="str">
        <f>IF(Tabla96[[#This Row],[Id]]="","",VLOOKUP(Tabla96[[#This Row],[Id]]+1,TablaEquipos[],4,FALSE))</f>
        <v/>
      </c>
      <c r="D772" s="13" t="str">
        <f>IF(Tabla96[[#This Row],[Id]]="","",COUNTIF(TablaTiempos[Club],Tabla96[[#This Row],[Pos]]))</f>
        <v/>
      </c>
      <c r="E772" s="47" t="str">
        <f>IF(Tabla96[[#This Row],[Id]]="","",Tabla96[[#This Row],[Total Llegados a Meta]]/Tabla96[[#This Row],[Total Inscritos]])</f>
        <v/>
      </c>
      <c r="F77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72" s="43">
        <f ca="1">NOW()-'LOS TIEMPOS'!$K$2</f>
        <v>42368.075526157409</v>
      </c>
    </row>
    <row r="773" spans="1:8" x14ac:dyDescent="0.2">
      <c r="A773" s="13" t="str">
        <f>IF(ROW()-5&lt;=COUNTA(TablaEquipos[Compite]),ROW()-7,"")</f>
        <v/>
      </c>
      <c r="B773" s="10" t="str">
        <f>IF(Tabla96[[#This Row],[Id]]="","",VLOOKUP(Tabla96[[#This Row],[Id]]+1,TablaEquipos[],3,FALSE))</f>
        <v/>
      </c>
      <c r="C773" s="45" t="str">
        <f>IF(Tabla96[[#This Row],[Id]]="","",VLOOKUP(Tabla96[[#This Row],[Id]]+1,TablaEquipos[],4,FALSE))</f>
        <v/>
      </c>
      <c r="D773" s="13" t="str">
        <f>IF(Tabla96[[#This Row],[Id]]="","",COUNTIF(TablaTiempos[Club],Tabla96[[#This Row],[Pos]]))</f>
        <v/>
      </c>
      <c r="E773" s="47" t="str">
        <f>IF(Tabla96[[#This Row],[Id]]="","",Tabla96[[#This Row],[Total Llegados a Meta]]/Tabla96[[#This Row],[Total Inscritos]])</f>
        <v/>
      </c>
      <c r="F77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73" s="43">
        <f ca="1">NOW()-'LOS TIEMPOS'!$K$2</f>
        <v>42368.075526157409</v>
      </c>
    </row>
    <row r="774" spans="1:8" x14ac:dyDescent="0.2">
      <c r="A774" s="13" t="str">
        <f>IF(ROW()-5&lt;=COUNTA(TablaEquipos[Compite]),ROW()-7,"")</f>
        <v/>
      </c>
      <c r="B774" s="10" t="str">
        <f>IF(Tabla96[[#This Row],[Id]]="","",VLOOKUP(Tabla96[[#This Row],[Id]]+1,TablaEquipos[],3,FALSE))</f>
        <v/>
      </c>
      <c r="C774" s="45" t="str">
        <f>IF(Tabla96[[#This Row],[Id]]="","",VLOOKUP(Tabla96[[#This Row],[Id]]+1,TablaEquipos[],4,FALSE))</f>
        <v/>
      </c>
      <c r="D774" s="13" t="str">
        <f>IF(Tabla96[[#This Row],[Id]]="","",COUNTIF(TablaTiempos[Club],Tabla96[[#This Row],[Pos]]))</f>
        <v/>
      </c>
      <c r="E774" s="47" t="str">
        <f>IF(Tabla96[[#This Row],[Id]]="","",Tabla96[[#This Row],[Total Llegados a Meta]]/Tabla96[[#This Row],[Total Inscritos]])</f>
        <v/>
      </c>
      <c r="F77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74" s="43">
        <f ca="1">NOW()-'LOS TIEMPOS'!$K$2</f>
        <v>42368.075526157409</v>
      </c>
    </row>
    <row r="775" spans="1:8" x14ac:dyDescent="0.2">
      <c r="A775" s="13" t="str">
        <f>IF(ROW()-5&lt;=COUNTA(TablaEquipos[Compite]),ROW()-7,"")</f>
        <v/>
      </c>
      <c r="B775" s="10" t="str">
        <f>IF(Tabla96[[#This Row],[Id]]="","",VLOOKUP(Tabla96[[#This Row],[Id]]+1,TablaEquipos[],3,FALSE))</f>
        <v/>
      </c>
      <c r="C775" s="45" t="str">
        <f>IF(Tabla96[[#This Row],[Id]]="","",VLOOKUP(Tabla96[[#This Row],[Id]]+1,TablaEquipos[],4,FALSE))</f>
        <v/>
      </c>
      <c r="D775" s="13" t="str">
        <f>IF(Tabla96[[#This Row],[Id]]="","",COUNTIF(TablaTiempos[Club],Tabla96[[#This Row],[Pos]]))</f>
        <v/>
      </c>
      <c r="E775" s="47" t="str">
        <f>IF(Tabla96[[#This Row],[Id]]="","",Tabla96[[#This Row],[Total Llegados a Meta]]/Tabla96[[#This Row],[Total Inscritos]])</f>
        <v/>
      </c>
      <c r="F77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75" s="43">
        <f ca="1">NOW()-'LOS TIEMPOS'!$K$2</f>
        <v>42368.075526157409</v>
      </c>
    </row>
    <row r="776" spans="1:8" x14ac:dyDescent="0.2">
      <c r="A776" s="13" t="str">
        <f>IF(ROW()-5&lt;=COUNTA(TablaEquipos[Compite]),ROW()-7,"")</f>
        <v/>
      </c>
      <c r="B776" s="10" t="str">
        <f>IF(Tabla96[[#This Row],[Id]]="","",VLOOKUP(Tabla96[[#This Row],[Id]]+1,TablaEquipos[],3,FALSE))</f>
        <v/>
      </c>
      <c r="C776" s="45" t="str">
        <f>IF(Tabla96[[#This Row],[Id]]="","",VLOOKUP(Tabla96[[#This Row],[Id]]+1,TablaEquipos[],4,FALSE))</f>
        <v/>
      </c>
      <c r="D776" s="13" t="str">
        <f>IF(Tabla96[[#This Row],[Id]]="","",COUNTIF(TablaTiempos[Club],Tabla96[[#This Row],[Pos]]))</f>
        <v/>
      </c>
      <c r="E776" s="47" t="str">
        <f>IF(Tabla96[[#This Row],[Id]]="","",Tabla96[[#This Row],[Total Llegados a Meta]]/Tabla96[[#This Row],[Total Inscritos]])</f>
        <v/>
      </c>
      <c r="F77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76" s="43">
        <f ca="1">NOW()-'LOS TIEMPOS'!$K$2</f>
        <v>42368.075526157409</v>
      </c>
    </row>
    <row r="777" spans="1:8" x14ac:dyDescent="0.2">
      <c r="A777" s="13" t="str">
        <f>IF(ROW()-5&lt;=COUNTA(TablaEquipos[Compite]),ROW()-7,"")</f>
        <v/>
      </c>
      <c r="B777" s="10" t="str">
        <f>IF(Tabla96[[#This Row],[Id]]="","",VLOOKUP(Tabla96[[#This Row],[Id]]+1,TablaEquipos[],3,FALSE))</f>
        <v/>
      </c>
      <c r="C777" s="45" t="str">
        <f>IF(Tabla96[[#This Row],[Id]]="","",VLOOKUP(Tabla96[[#This Row],[Id]]+1,TablaEquipos[],4,FALSE))</f>
        <v/>
      </c>
      <c r="D777" s="13" t="str">
        <f>IF(Tabla96[[#This Row],[Id]]="","",COUNTIF(TablaTiempos[Club],Tabla96[[#This Row],[Pos]]))</f>
        <v/>
      </c>
      <c r="E777" s="47" t="str">
        <f>IF(Tabla96[[#This Row],[Id]]="","",Tabla96[[#This Row],[Total Llegados a Meta]]/Tabla96[[#This Row],[Total Inscritos]])</f>
        <v/>
      </c>
      <c r="F77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77" s="43">
        <f ca="1">NOW()-'LOS TIEMPOS'!$K$2</f>
        <v>42368.075526157409</v>
      </c>
    </row>
    <row r="778" spans="1:8" x14ac:dyDescent="0.2">
      <c r="A778" s="13" t="str">
        <f>IF(ROW()-5&lt;=COUNTA(TablaEquipos[Compite]),ROW()-7,"")</f>
        <v/>
      </c>
      <c r="B778" s="10" t="str">
        <f>IF(Tabla96[[#This Row],[Id]]="","",VLOOKUP(Tabla96[[#This Row],[Id]]+1,TablaEquipos[],3,FALSE))</f>
        <v/>
      </c>
      <c r="C778" s="45" t="str">
        <f>IF(Tabla96[[#This Row],[Id]]="","",VLOOKUP(Tabla96[[#This Row],[Id]]+1,TablaEquipos[],4,FALSE))</f>
        <v/>
      </c>
      <c r="D778" s="13" t="str">
        <f>IF(Tabla96[[#This Row],[Id]]="","",COUNTIF(TablaTiempos[Club],Tabla96[[#This Row],[Pos]]))</f>
        <v/>
      </c>
      <c r="E778" s="47" t="str">
        <f>IF(Tabla96[[#This Row],[Id]]="","",Tabla96[[#This Row],[Total Llegados a Meta]]/Tabla96[[#This Row],[Total Inscritos]])</f>
        <v/>
      </c>
      <c r="F77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78" s="43">
        <f ca="1">NOW()-'LOS TIEMPOS'!$K$2</f>
        <v>42368.075526157409</v>
      </c>
    </row>
    <row r="779" spans="1:8" x14ac:dyDescent="0.2">
      <c r="A779" s="13" t="str">
        <f>IF(ROW()-5&lt;=COUNTA(TablaEquipos[Compite]),ROW()-7,"")</f>
        <v/>
      </c>
      <c r="B779" s="10" t="str">
        <f>IF(Tabla96[[#This Row],[Id]]="","",VLOOKUP(Tabla96[[#This Row],[Id]]+1,TablaEquipos[],3,FALSE))</f>
        <v/>
      </c>
      <c r="C779" s="45" t="str">
        <f>IF(Tabla96[[#This Row],[Id]]="","",VLOOKUP(Tabla96[[#This Row],[Id]]+1,TablaEquipos[],4,FALSE))</f>
        <v/>
      </c>
      <c r="D779" s="13" t="str">
        <f>IF(Tabla96[[#This Row],[Id]]="","",COUNTIF(TablaTiempos[Club],Tabla96[[#This Row],[Pos]]))</f>
        <v/>
      </c>
      <c r="E779" s="47" t="str">
        <f>IF(Tabla96[[#This Row],[Id]]="","",Tabla96[[#This Row],[Total Llegados a Meta]]/Tabla96[[#This Row],[Total Inscritos]])</f>
        <v/>
      </c>
      <c r="F77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79" s="43">
        <f ca="1">NOW()-'LOS TIEMPOS'!$K$2</f>
        <v>42368.075526157409</v>
      </c>
    </row>
    <row r="780" spans="1:8" x14ac:dyDescent="0.2">
      <c r="A780" s="13" t="str">
        <f>IF(ROW()-5&lt;=COUNTA(TablaEquipos[Compite]),ROW()-7,"")</f>
        <v/>
      </c>
      <c r="B780" s="10" t="str">
        <f>IF(Tabla96[[#This Row],[Id]]="","",VLOOKUP(Tabla96[[#This Row],[Id]]+1,TablaEquipos[],3,FALSE))</f>
        <v/>
      </c>
      <c r="C780" s="45" t="str">
        <f>IF(Tabla96[[#This Row],[Id]]="","",VLOOKUP(Tabla96[[#This Row],[Id]]+1,TablaEquipos[],4,FALSE))</f>
        <v/>
      </c>
      <c r="D780" s="13" t="str">
        <f>IF(Tabla96[[#This Row],[Id]]="","",COUNTIF(TablaTiempos[Club],Tabla96[[#This Row],[Pos]]))</f>
        <v/>
      </c>
      <c r="E780" s="47" t="str">
        <f>IF(Tabla96[[#This Row],[Id]]="","",Tabla96[[#This Row],[Total Llegados a Meta]]/Tabla96[[#This Row],[Total Inscritos]])</f>
        <v/>
      </c>
      <c r="F78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80" s="43">
        <f ca="1">NOW()-'LOS TIEMPOS'!$K$2</f>
        <v>42368.075526157409</v>
      </c>
    </row>
    <row r="781" spans="1:8" x14ac:dyDescent="0.2">
      <c r="A781" s="13" t="str">
        <f>IF(ROW()-5&lt;=COUNTA(TablaEquipos[Compite]),ROW()-7,"")</f>
        <v/>
      </c>
      <c r="B781" s="10" t="str">
        <f>IF(Tabla96[[#This Row],[Id]]="","",VLOOKUP(Tabla96[[#This Row],[Id]]+1,TablaEquipos[],3,FALSE))</f>
        <v/>
      </c>
      <c r="C781" s="45" t="str">
        <f>IF(Tabla96[[#This Row],[Id]]="","",VLOOKUP(Tabla96[[#This Row],[Id]]+1,TablaEquipos[],4,FALSE))</f>
        <v/>
      </c>
      <c r="D781" s="13" t="str">
        <f>IF(Tabla96[[#This Row],[Id]]="","",COUNTIF(TablaTiempos[Club],Tabla96[[#This Row],[Pos]]))</f>
        <v/>
      </c>
      <c r="E781" s="47" t="str">
        <f>IF(Tabla96[[#This Row],[Id]]="","",Tabla96[[#This Row],[Total Llegados a Meta]]/Tabla96[[#This Row],[Total Inscritos]])</f>
        <v/>
      </c>
      <c r="F78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81" s="43">
        <f ca="1">NOW()-'LOS TIEMPOS'!$K$2</f>
        <v>42368.075526157409</v>
      </c>
    </row>
    <row r="782" spans="1:8" x14ac:dyDescent="0.2">
      <c r="A782" s="13" t="str">
        <f>IF(ROW()-5&lt;=COUNTA(TablaEquipos[Compite]),ROW()-7,"")</f>
        <v/>
      </c>
      <c r="B782" s="10" t="str">
        <f>IF(Tabla96[[#This Row],[Id]]="","",VLOOKUP(Tabla96[[#This Row],[Id]]+1,TablaEquipos[],3,FALSE))</f>
        <v/>
      </c>
      <c r="C782" s="45" t="str">
        <f>IF(Tabla96[[#This Row],[Id]]="","",VLOOKUP(Tabla96[[#This Row],[Id]]+1,TablaEquipos[],4,FALSE))</f>
        <v/>
      </c>
      <c r="D782" s="13" t="str">
        <f>IF(Tabla96[[#This Row],[Id]]="","",COUNTIF(TablaTiempos[Club],Tabla96[[#This Row],[Pos]]))</f>
        <v/>
      </c>
      <c r="E782" s="47" t="str">
        <f>IF(Tabla96[[#This Row],[Id]]="","",Tabla96[[#This Row],[Total Llegados a Meta]]/Tabla96[[#This Row],[Total Inscritos]])</f>
        <v/>
      </c>
      <c r="F78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82" s="43">
        <f ca="1">NOW()-'LOS TIEMPOS'!$K$2</f>
        <v>42368.075526157409</v>
      </c>
    </row>
    <row r="783" spans="1:8" x14ac:dyDescent="0.2">
      <c r="A783" s="13" t="str">
        <f>IF(ROW()-5&lt;=COUNTA(TablaEquipos[Compite]),ROW()-7,"")</f>
        <v/>
      </c>
      <c r="B783" s="10" t="str">
        <f>IF(Tabla96[[#This Row],[Id]]="","",VLOOKUP(Tabla96[[#This Row],[Id]]+1,TablaEquipos[],3,FALSE))</f>
        <v/>
      </c>
      <c r="C783" s="45" t="str">
        <f>IF(Tabla96[[#This Row],[Id]]="","",VLOOKUP(Tabla96[[#This Row],[Id]]+1,TablaEquipos[],4,FALSE))</f>
        <v/>
      </c>
      <c r="D783" s="13" t="str">
        <f>IF(Tabla96[[#This Row],[Id]]="","",COUNTIF(TablaTiempos[Club],Tabla96[[#This Row],[Pos]]))</f>
        <v/>
      </c>
      <c r="E783" s="47" t="str">
        <f>IF(Tabla96[[#This Row],[Id]]="","",Tabla96[[#This Row],[Total Llegados a Meta]]/Tabla96[[#This Row],[Total Inscritos]])</f>
        <v/>
      </c>
      <c r="F78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83" s="43">
        <f ca="1">NOW()-'LOS TIEMPOS'!$K$2</f>
        <v>42368.075526157409</v>
      </c>
    </row>
    <row r="784" spans="1:8" x14ac:dyDescent="0.2">
      <c r="A784" s="13" t="str">
        <f>IF(ROW()-5&lt;=COUNTA(TablaEquipos[Compite]),ROW()-7,"")</f>
        <v/>
      </c>
      <c r="B784" s="10" t="str">
        <f>IF(Tabla96[[#This Row],[Id]]="","",VLOOKUP(Tabla96[[#This Row],[Id]]+1,TablaEquipos[],3,FALSE))</f>
        <v/>
      </c>
      <c r="C784" s="45" t="str">
        <f>IF(Tabla96[[#This Row],[Id]]="","",VLOOKUP(Tabla96[[#This Row],[Id]]+1,TablaEquipos[],4,FALSE))</f>
        <v/>
      </c>
      <c r="D784" s="13" t="str">
        <f>IF(Tabla96[[#This Row],[Id]]="","",COUNTIF(TablaTiempos[Club],Tabla96[[#This Row],[Pos]]))</f>
        <v/>
      </c>
      <c r="E784" s="47" t="str">
        <f>IF(Tabla96[[#This Row],[Id]]="","",Tabla96[[#This Row],[Total Llegados a Meta]]/Tabla96[[#This Row],[Total Inscritos]])</f>
        <v/>
      </c>
      <c r="F78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84" s="43">
        <f ca="1">NOW()-'LOS TIEMPOS'!$K$2</f>
        <v>42368.075526157409</v>
      </c>
    </row>
    <row r="785" spans="1:8" x14ac:dyDescent="0.2">
      <c r="A785" s="13" t="str">
        <f>IF(ROW()-5&lt;=COUNTA(TablaEquipos[Compite]),ROW()-7,"")</f>
        <v/>
      </c>
      <c r="B785" s="10" t="str">
        <f>IF(Tabla96[[#This Row],[Id]]="","",VLOOKUP(Tabla96[[#This Row],[Id]]+1,TablaEquipos[],3,FALSE))</f>
        <v/>
      </c>
      <c r="C785" s="45" t="str">
        <f>IF(Tabla96[[#This Row],[Id]]="","",VLOOKUP(Tabla96[[#This Row],[Id]]+1,TablaEquipos[],4,FALSE))</f>
        <v/>
      </c>
      <c r="D785" s="13" t="str">
        <f>IF(Tabla96[[#This Row],[Id]]="","",COUNTIF(TablaTiempos[Club],Tabla96[[#This Row],[Pos]]))</f>
        <v/>
      </c>
      <c r="E785" s="47" t="str">
        <f>IF(Tabla96[[#This Row],[Id]]="","",Tabla96[[#This Row],[Total Llegados a Meta]]/Tabla96[[#This Row],[Total Inscritos]])</f>
        <v/>
      </c>
      <c r="F78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85" s="43">
        <f ca="1">NOW()-'LOS TIEMPOS'!$K$2</f>
        <v>42368.075526157409</v>
      </c>
    </row>
    <row r="786" spans="1:8" x14ac:dyDescent="0.2">
      <c r="A786" s="13" t="str">
        <f>IF(ROW()-5&lt;=COUNTA(TablaEquipos[Compite]),ROW()-7,"")</f>
        <v/>
      </c>
      <c r="B786" s="10" t="str">
        <f>IF(Tabla96[[#This Row],[Id]]="","",VLOOKUP(Tabla96[[#This Row],[Id]]+1,TablaEquipos[],3,FALSE))</f>
        <v/>
      </c>
      <c r="C786" s="45" t="str">
        <f>IF(Tabla96[[#This Row],[Id]]="","",VLOOKUP(Tabla96[[#This Row],[Id]]+1,TablaEquipos[],4,FALSE))</f>
        <v/>
      </c>
      <c r="D786" s="13" t="str">
        <f>IF(Tabla96[[#This Row],[Id]]="","",COUNTIF(TablaTiempos[Club],Tabla96[[#This Row],[Pos]]))</f>
        <v/>
      </c>
      <c r="E786" s="47" t="str">
        <f>IF(Tabla96[[#This Row],[Id]]="","",Tabla96[[#This Row],[Total Llegados a Meta]]/Tabla96[[#This Row],[Total Inscritos]])</f>
        <v/>
      </c>
      <c r="F78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86" s="43">
        <f ca="1">NOW()-'LOS TIEMPOS'!$K$2</f>
        <v>42368.075526157409</v>
      </c>
    </row>
    <row r="787" spans="1:8" x14ac:dyDescent="0.2">
      <c r="A787" s="13" t="str">
        <f>IF(ROW()-5&lt;=COUNTA(TablaEquipos[Compite]),ROW()-7,"")</f>
        <v/>
      </c>
      <c r="B787" s="10" t="str">
        <f>IF(Tabla96[[#This Row],[Id]]="","",VLOOKUP(Tabla96[[#This Row],[Id]]+1,TablaEquipos[],3,FALSE))</f>
        <v/>
      </c>
      <c r="C787" s="45" t="str">
        <f>IF(Tabla96[[#This Row],[Id]]="","",VLOOKUP(Tabla96[[#This Row],[Id]]+1,TablaEquipos[],4,FALSE))</f>
        <v/>
      </c>
      <c r="D787" s="13" t="str">
        <f>IF(Tabla96[[#This Row],[Id]]="","",COUNTIF(TablaTiempos[Club],Tabla96[[#This Row],[Pos]]))</f>
        <v/>
      </c>
      <c r="E787" s="47" t="str">
        <f>IF(Tabla96[[#This Row],[Id]]="","",Tabla96[[#This Row],[Total Llegados a Meta]]/Tabla96[[#This Row],[Total Inscritos]])</f>
        <v/>
      </c>
      <c r="F78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87" s="43">
        <f ca="1">NOW()-'LOS TIEMPOS'!$K$2</f>
        <v>42368.075526157409</v>
      </c>
    </row>
    <row r="788" spans="1:8" x14ac:dyDescent="0.2">
      <c r="A788" s="13" t="str">
        <f>IF(ROW()-5&lt;=COUNTA(TablaEquipos[Compite]),ROW()-7,"")</f>
        <v/>
      </c>
      <c r="B788" s="10" t="str">
        <f>IF(Tabla96[[#This Row],[Id]]="","",VLOOKUP(Tabla96[[#This Row],[Id]]+1,TablaEquipos[],3,FALSE))</f>
        <v/>
      </c>
      <c r="C788" s="45" t="str">
        <f>IF(Tabla96[[#This Row],[Id]]="","",VLOOKUP(Tabla96[[#This Row],[Id]]+1,TablaEquipos[],4,FALSE))</f>
        <v/>
      </c>
      <c r="D788" s="13" t="str">
        <f>IF(Tabla96[[#This Row],[Id]]="","",COUNTIF(TablaTiempos[Club],Tabla96[[#This Row],[Pos]]))</f>
        <v/>
      </c>
      <c r="E788" s="47" t="str">
        <f>IF(Tabla96[[#This Row],[Id]]="","",Tabla96[[#This Row],[Total Llegados a Meta]]/Tabla96[[#This Row],[Total Inscritos]])</f>
        <v/>
      </c>
      <c r="F78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88" s="43">
        <f ca="1">NOW()-'LOS TIEMPOS'!$K$2</f>
        <v>42368.075526157409</v>
      </c>
    </row>
    <row r="789" spans="1:8" x14ac:dyDescent="0.2">
      <c r="A789" s="13" t="str">
        <f>IF(ROW()-5&lt;=COUNTA(TablaEquipos[Compite]),ROW()-7,"")</f>
        <v/>
      </c>
      <c r="B789" s="10" t="str">
        <f>IF(Tabla96[[#This Row],[Id]]="","",VLOOKUP(Tabla96[[#This Row],[Id]]+1,TablaEquipos[],3,FALSE))</f>
        <v/>
      </c>
      <c r="C789" s="45" t="str">
        <f>IF(Tabla96[[#This Row],[Id]]="","",VLOOKUP(Tabla96[[#This Row],[Id]]+1,TablaEquipos[],4,FALSE))</f>
        <v/>
      </c>
      <c r="D789" s="13" t="str">
        <f>IF(Tabla96[[#This Row],[Id]]="","",COUNTIF(TablaTiempos[Club],Tabla96[[#This Row],[Pos]]))</f>
        <v/>
      </c>
      <c r="E789" s="47" t="str">
        <f>IF(Tabla96[[#This Row],[Id]]="","",Tabla96[[#This Row],[Total Llegados a Meta]]/Tabla96[[#This Row],[Total Inscritos]])</f>
        <v/>
      </c>
      <c r="F78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89" s="43">
        <f ca="1">NOW()-'LOS TIEMPOS'!$K$2</f>
        <v>42368.075526157409</v>
      </c>
    </row>
    <row r="790" spans="1:8" x14ac:dyDescent="0.2">
      <c r="A790" s="13" t="str">
        <f>IF(ROW()-5&lt;=COUNTA(TablaEquipos[Compite]),ROW()-7,"")</f>
        <v/>
      </c>
      <c r="B790" s="10" t="str">
        <f>IF(Tabla96[[#This Row],[Id]]="","",VLOOKUP(Tabla96[[#This Row],[Id]]+1,TablaEquipos[],3,FALSE))</f>
        <v/>
      </c>
      <c r="C790" s="45" t="str">
        <f>IF(Tabla96[[#This Row],[Id]]="","",VLOOKUP(Tabla96[[#This Row],[Id]]+1,TablaEquipos[],4,FALSE))</f>
        <v/>
      </c>
      <c r="D790" s="13" t="str">
        <f>IF(Tabla96[[#This Row],[Id]]="","",COUNTIF(TablaTiempos[Club],Tabla96[[#This Row],[Pos]]))</f>
        <v/>
      </c>
      <c r="E790" s="47" t="str">
        <f>IF(Tabla96[[#This Row],[Id]]="","",Tabla96[[#This Row],[Total Llegados a Meta]]/Tabla96[[#This Row],[Total Inscritos]])</f>
        <v/>
      </c>
      <c r="F79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90" s="43">
        <f ca="1">NOW()-'LOS TIEMPOS'!$K$2</f>
        <v>42368.075526157409</v>
      </c>
    </row>
    <row r="791" spans="1:8" x14ac:dyDescent="0.2">
      <c r="A791" s="13" t="str">
        <f>IF(ROW()-5&lt;=COUNTA(TablaEquipos[Compite]),ROW()-7,"")</f>
        <v/>
      </c>
      <c r="B791" s="10" t="str">
        <f>IF(Tabla96[[#This Row],[Id]]="","",VLOOKUP(Tabla96[[#This Row],[Id]]+1,TablaEquipos[],3,FALSE))</f>
        <v/>
      </c>
      <c r="C791" s="45" t="str">
        <f>IF(Tabla96[[#This Row],[Id]]="","",VLOOKUP(Tabla96[[#This Row],[Id]]+1,TablaEquipos[],4,FALSE))</f>
        <v/>
      </c>
      <c r="D791" s="13" t="str">
        <f>IF(Tabla96[[#This Row],[Id]]="","",COUNTIF(TablaTiempos[Club],Tabla96[[#This Row],[Pos]]))</f>
        <v/>
      </c>
      <c r="E791" s="47" t="str">
        <f>IF(Tabla96[[#This Row],[Id]]="","",Tabla96[[#This Row],[Total Llegados a Meta]]/Tabla96[[#This Row],[Total Inscritos]])</f>
        <v/>
      </c>
      <c r="F79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91" s="43">
        <f ca="1">NOW()-'LOS TIEMPOS'!$K$2</f>
        <v>42368.075526157409</v>
      </c>
    </row>
    <row r="792" spans="1:8" x14ac:dyDescent="0.2">
      <c r="A792" s="13" t="str">
        <f>IF(ROW()-5&lt;=COUNTA(TablaEquipos[Compite]),ROW()-7,"")</f>
        <v/>
      </c>
      <c r="B792" s="10" t="str">
        <f>IF(Tabla96[[#This Row],[Id]]="","",VLOOKUP(Tabla96[[#This Row],[Id]]+1,TablaEquipos[],3,FALSE))</f>
        <v/>
      </c>
      <c r="C792" s="45" t="str">
        <f>IF(Tabla96[[#This Row],[Id]]="","",VLOOKUP(Tabla96[[#This Row],[Id]]+1,TablaEquipos[],4,FALSE))</f>
        <v/>
      </c>
      <c r="D792" s="13" t="str">
        <f>IF(Tabla96[[#This Row],[Id]]="","",COUNTIF(TablaTiempos[Club],Tabla96[[#This Row],[Pos]]))</f>
        <v/>
      </c>
      <c r="E792" s="47" t="str">
        <f>IF(Tabla96[[#This Row],[Id]]="","",Tabla96[[#This Row],[Total Llegados a Meta]]/Tabla96[[#This Row],[Total Inscritos]])</f>
        <v/>
      </c>
      <c r="F79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92" s="43">
        <f ca="1">NOW()-'LOS TIEMPOS'!$K$2</f>
        <v>42368.075526157409</v>
      </c>
    </row>
    <row r="793" spans="1:8" x14ac:dyDescent="0.2">
      <c r="A793" s="13" t="str">
        <f>IF(ROW()-5&lt;=COUNTA(TablaEquipos[Compite]),ROW()-7,"")</f>
        <v/>
      </c>
      <c r="B793" s="10" t="str">
        <f>IF(Tabla96[[#This Row],[Id]]="","",VLOOKUP(Tabla96[[#This Row],[Id]]+1,TablaEquipos[],3,FALSE))</f>
        <v/>
      </c>
      <c r="C793" s="45" t="str">
        <f>IF(Tabla96[[#This Row],[Id]]="","",VLOOKUP(Tabla96[[#This Row],[Id]]+1,TablaEquipos[],4,FALSE))</f>
        <v/>
      </c>
      <c r="D793" s="13" t="str">
        <f>IF(Tabla96[[#This Row],[Id]]="","",COUNTIF(TablaTiempos[Club],Tabla96[[#This Row],[Pos]]))</f>
        <v/>
      </c>
      <c r="E793" s="47" t="str">
        <f>IF(Tabla96[[#This Row],[Id]]="","",Tabla96[[#This Row],[Total Llegados a Meta]]/Tabla96[[#This Row],[Total Inscritos]])</f>
        <v/>
      </c>
      <c r="F79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93" s="43">
        <f ca="1">NOW()-'LOS TIEMPOS'!$K$2</f>
        <v>42368.075526157409</v>
      </c>
    </row>
    <row r="794" spans="1:8" x14ac:dyDescent="0.2">
      <c r="A794" s="13" t="str">
        <f>IF(ROW()-5&lt;=COUNTA(TablaEquipos[Compite]),ROW()-7,"")</f>
        <v/>
      </c>
      <c r="B794" s="10" t="str">
        <f>IF(Tabla96[[#This Row],[Id]]="","",VLOOKUP(Tabla96[[#This Row],[Id]]+1,TablaEquipos[],3,FALSE))</f>
        <v/>
      </c>
      <c r="C794" s="45" t="str">
        <f>IF(Tabla96[[#This Row],[Id]]="","",VLOOKUP(Tabla96[[#This Row],[Id]]+1,TablaEquipos[],4,FALSE))</f>
        <v/>
      </c>
      <c r="D794" s="13" t="str">
        <f>IF(Tabla96[[#This Row],[Id]]="","",COUNTIF(TablaTiempos[Club],Tabla96[[#This Row],[Pos]]))</f>
        <v/>
      </c>
      <c r="E794" s="47" t="str">
        <f>IF(Tabla96[[#This Row],[Id]]="","",Tabla96[[#This Row],[Total Llegados a Meta]]/Tabla96[[#This Row],[Total Inscritos]])</f>
        <v/>
      </c>
      <c r="F79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94" s="43">
        <f ca="1">NOW()-'LOS TIEMPOS'!$K$2</f>
        <v>42368.075526157409</v>
      </c>
    </row>
    <row r="795" spans="1:8" x14ac:dyDescent="0.2">
      <c r="A795" s="13" t="str">
        <f>IF(ROW()-5&lt;=COUNTA(TablaEquipos[Compite]),ROW()-7,"")</f>
        <v/>
      </c>
      <c r="B795" s="10" t="str">
        <f>IF(Tabla96[[#This Row],[Id]]="","",VLOOKUP(Tabla96[[#This Row],[Id]]+1,TablaEquipos[],3,FALSE))</f>
        <v/>
      </c>
      <c r="C795" s="45" t="str">
        <f>IF(Tabla96[[#This Row],[Id]]="","",VLOOKUP(Tabla96[[#This Row],[Id]]+1,TablaEquipos[],4,FALSE))</f>
        <v/>
      </c>
      <c r="D795" s="13" t="str">
        <f>IF(Tabla96[[#This Row],[Id]]="","",COUNTIF(TablaTiempos[Club],Tabla96[[#This Row],[Pos]]))</f>
        <v/>
      </c>
      <c r="E795" s="47" t="str">
        <f>IF(Tabla96[[#This Row],[Id]]="","",Tabla96[[#This Row],[Total Llegados a Meta]]/Tabla96[[#This Row],[Total Inscritos]])</f>
        <v/>
      </c>
      <c r="F79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95" s="43">
        <f ca="1">NOW()-'LOS TIEMPOS'!$K$2</f>
        <v>42368.075526157409</v>
      </c>
    </row>
    <row r="796" spans="1:8" x14ac:dyDescent="0.2">
      <c r="A796" s="13" t="str">
        <f>IF(ROW()-5&lt;=COUNTA(TablaEquipos[Compite]),ROW()-7,"")</f>
        <v/>
      </c>
      <c r="B796" s="10" t="str">
        <f>IF(Tabla96[[#This Row],[Id]]="","",VLOOKUP(Tabla96[[#This Row],[Id]]+1,TablaEquipos[],3,FALSE))</f>
        <v/>
      </c>
      <c r="C796" s="45" t="str">
        <f>IF(Tabla96[[#This Row],[Id]]="","",VLOOKUP(Tabla96[[#This Row],[Id]]+1,TablaEquipos[],4,FALSE))</f>
        <v/>
      </c>
      <c r="D796" s="13" t="str">
        <f>IF(Tabla96[[#This Row],[Id]]="","",COUNTIF(TablaTiempos[Club],Tabla96[[#This Row],[Pos]]))</f>
        <v/>
      </c>
      <c r="E796" s="47" t="str">
        <f>IF(Tabla96[[#This Row],[Id]]="","",Tabla96[[#This Row],[Total Llegados a Meta]]/Tabla96[[#This Row],[Total Inscritos]])</f>
        <v/>
      </c>
      <c r="F79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96" s="43">
        <f ca="1">NOW()-'LOS TIEMPOS'!$K$2</f>
        <v>42368.075526157409</v>
      </c>
    </row>
    <row r="797" spans="1:8" x14ac:dyDescent="0.2">
      <c r="A797" s="13" t="str">
        <f>IF(ROW()-5&lt;=COUNTA(TablaEquipos[Compite]),ROW()-7,"")</f>
        <v/>
      </c>
      <c r="B797" s="10" t="str">
        <f>IF(Tabla96[[#This Row],[Id]]="","",VLOOKUP(Tabla96[[#This Row],[Id]]+1,TablaEquipos[],3,FALSE))</f>
        <v/>
      </c>
      <c r="C797" s="45" t="str">
        <f>IF(Tabla96[[#This Row],[Id]]="","",VLOOKUP(Tabla96[[#This Row],[Id]]+1,TablaEquipos[],4,FALSE))</f>
        <v/>
      </c>
      <c r="D797" s="13" t="str">
        <f>IF(Tabla96[[#This Row],[Id]]="","",COUNTIF(TablaTiempos[Club],Tabla96[[#This Row],[Pos]]))</f>
        <v/>
      </c>
      <c r="E797" s="47" t="str">
        <f>IF(Tabla96[[#This Row],[Id]]="","",Tabla96[[#This Row],[Total Llegados a Meta]]/Tabla96[[#This Row],[Total Inscritos]])</f>
        <v/>
      </c>
      <c r="F79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97" s="43">
        <f ca="1">NOW()-'LOS TIEMPOS'!$K$2</f>
        <v>42368.075526157409</v>
      </c>
    </row>
    <row r="798" spans="1:8" x14ac:dyDescent="0.2">
      <c r="A798" s="13" t="str">
        <f>IF(ROW()-5&lt;=COUNTA(TablaEquipos[Compite]),ROW()-7,"")</f>
        <v/>
      </c>
      <c r="B798" s="10" t="str">
        <f>IF(Tabla96[[#This Row],[Id]]="","",VLOOKUP(Tabla96[[#This Row],[Id]]+1,TablaEquipos[],3,FALSE))</f>
        <v/>
      </c>
      <c r="C798" s="45" t="str">
        <f>IF(Tabla96[[#This Row],[Id]]="","",VLOOKUP(Tabla96[[#This Row],[Id]]+1,TablaEquipos[],4,FALSE))</f>
        <v/>
      </c>
      <c r="D798" s="13" t="str">
        <f>IF(Tabla96[[#This Row],[Id]]="","",COUNTIF(TablaTiempos[Club],Tabla96[[#This Row],[Pos]]))</f>
        <v/>
      </c>
      <c r="E798" s="47" t="str">
        <f>IF(Tabla96[[#This Row],[Id]]="","",Tabla96[[#This Row],[Total Llegados a Meta]]/Tabla96[[#This Row],[Total Inscritos]])</f>
        <v/>
      </c>
      <c r="F79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98" s="43">
        <f ca="1">NOW()-'LOS TIEMPOS'!$K$2</f>
        <v>42368.075526157409</v>
      </c>
    </row>
    <row r="799" spans="1:8" x14ac:dyDescent="0.2">
      <c r="A799" s="13" t="str">
        <f>IF(ROW()-5&lt;=COUNTA(TablaEquipos[Compite]),ROW()-7,"")</f>
        <v/>
      </c>
      <c r="B799" s="10" t="str">
        <f>IF(Tabla96[[#This Row],[Id]]="","",VLOOKUP(Tabla96[[#This Row],[Id]]+1,TablaEquipos[],3,FALSE))</f>
        <v/>
      </c>
      <c r="C799" s="45" t="str">
        <f>IF(Tabla96[[#This Row],[Id]]="","",VLOOKUP(Tabla96[[#This Row],[Id]]+1,TablaEquipos[],4,FALSE))</f>
        <v/>
      </c>
      <c r="D799" s="13" t="str">
        <f>IF(Tabla96[[#This Row],[Id]]="","",COUNTIF(TablaTiempos[Club],Tabla96[[#This Row],[Pos]]))</f>
        <v/>
      </c>
      <c r="E799" s="47" t="str">
        <f>IF(Tabla96[[#This Row],[Id]]="","",Tabla96[[#This Row],[Total Llegados a Meta]]/Tabla96[[#This Row],[Total Inscritos]])</f>
        <v/>
      </c>
      <c r="F79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799" s="43">
        <f ca="1">NOW()-'LOS TIEMPOS'!$K$2</f>
        <v>42368.075526157409</v>
      </c>
    </row>
    <row r="800" spans="1:8" x14ac:dyDescent="0.2">
      <c r="A800" s="13" t="str">
        <f>IF(ROW()-5&lt;=COUNTA(TablaEquipos[Compite]),ROW()-7,"")</f>
        <v/>
      </c>
      <c r="B800" s="10" t="str">
        <f>IF(Tabla96[[#This Row],[Id]]="","",VLOOKUP(Tabla96[[#This Row],[Id]]+1,TablaEquipos[],3,FALSE))</f>
        <v/>
      </c>
      <c r="C800" s="45" t="str">
        <f>IF(Tabla96[[#This Row],[Id]]="","",VLOOKUP(Tabla96[[#This Row],[Id]]+1,TablaEquipos[],4,FALSE))</f>
        <v/>
      </c>
      <c r="D800" s="13" t="str">
        <f>IF(Tabla96[[#This Row],[Id]]="","",COUNTIF(TablaTiempos[Club],Tabla96[[#This Row],[Pos]]))</f>
        <v/>
      </c>
      <c r="E800" s="47" t="str">
        <f>IF(Tabla96[[#This Row],[Id]]="","",Tabla96[[#This Row],[Total Llegados a Meta]]/Tabla96[[#This Row],[Total Inscritos]])</f>
        <v/>
      </c>
      <c r="F80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00" s="43">
        <f ca="1">NOW()-'LOS TIEMPOS'!$K$2</f>
        <v>42368.075526157409</v>
      </c>
    </row>
    <row r="801" spans="1:8" x14ac:dyDescent="0.2">
      <c r="A801" s="13" t="str">
        <f>IF(ROW()-5&lt;=COUNTA(TablaEquipos[Compite]),ROW()-7,"")</f>
        <v/>
      </c>
      <c r="B801" s="10" t="str">
        <f>IF(Tabla96[[#This Row],[Id]]="","",VLOOKUP(Tabla96[[#This Row],[Id]]+1,TablaEquipos[],3,FALSE))</f>
        <v/>
      </c>
      <c r="C801" s="45" t="str">
        <f>IF(Tabla96[[#This Row],[Id]]="","",VLOOKUP(Tabla96[[#This Row],[Id]]+1,TablaEquipos[],4,FALSE))</f>
        <v/>
      </c>
      <c r="D801" s="13" t="str">
        <f>IF(Tabla96[[#This Row],[Id]]="","",COUNTIF(TablaTiempos[Club],Tabla96[[#This Row],[Pos]]))</f>
        <v/>
      </c>
      <c r="E801" s="47" t="str">
        <f>IF(Tabla96[[#This Row],[Id]]="","",Tabla96[[#This Row],[Total Llegados a Meta]]/Tabla96[[#This Row],[Total Inscritos]])</f>
        <v/>
      </c>
      <c r="F80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01" s="43">
        <f ca="1">NOW()-'LOS TIEMPOS'!$K$2</f>
        <v>42368.075526157409</v>
      </c>
    </row>
    <row r="802" spans="1:8" x14ac:dyDescent="0.2">
      <c r="A802" s="13" t="str">
        <f>IF(ROW()-5&lt;=COUNTA(TablaEquipos[Compite]),ROW()-7,"")</f>
        <v/>
      </c>
      <c r="B802" s="10" t="str">
        <f>IF(Tabla96[[#This Row],[Id]]="","",VLOOKUP(Tabla96[[#This Row],[Id]]+1,TablaEquipos[],3,FALSE))</f>
        <v/>
      </c>
      <c r="C802" s="45" t="str">
        <f>IF(Tabla96[[#This Row],[Id]]="","",VLOOKUP(Tabla96[[#This Row],[Id]]+1,TablaEquipos[],4,FALSE))</f>
        <v/>
      </c>
      <c r="D802" s="13" t="str">
        <f>IF(Tabla96[[#This Row],[Id]]="","",COUNTIF(TablaTiempos[Club],Tabla96[[#This Row],[Pos]]))</f>
        <v/>
      </c>
      <c r="E802" s="47" t="str">
        <f>IF(Tabla96[[#This Row],[Id]]="","",Tabla96[[#This Row],[Total Llegados a Meta]]/Tabla96[[#This Row],[Total Inscritos]])</f>
        <v/>
      </c>
      <c r="F80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02" s="43">
        <f ca="1">NOW()-'LOS TIEMPOS'!$K$2</f>
        <v>42368.075526157409</v>
      </c>
    </row>
    <row r="803" spans="1:8" x14ac:dyDescent="0.2">
      <c r="A803" s="13" t="str">
        <f>IF(ROW()-5&lt;=COUNTA(TablaEquipos[Compite]),ROW()-7,"")</f>
        <v/>
      </c>
      <c r="B803" s="10" t="str">
        <f>IF(Tabla96[[#This Row],[Id]]="","",VLOOKUP(Tabla96[[#This Row],[Id]]+1,TablaEquipos[],3,FALSE))</f>
        <v/>
      </c>
      <c r="C803" s="45" t="str">
        <f>IF(Tabla96[[#This Row],[Id]]="","",VLOOKUP(Tabla96[[#This Row],[Id]]+1,TablaEquipos[],4,FALSE))</f>
        <v/>
      </c>
      <c r="D803" s="13" t="str">
        <f>IF(Tabla96[[#This Row],[Id]]="","",COUNTIF(TablaTiempos[Club],Tabla96[[#This Row],[Pos]]))</f>
        <v/>
      </c>
      <c r="E803" s="47" t="str">
        <f>IF(Tabla96[[#This Row],[Id]]="","",Tabla96[[#This Row],[Total Llegados a Meta]]/Tabla96[[#This Row],[Total Inscritos]])</f>
        <v/>
      </c>
      <c r="F80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03" s="43">
        <f ca="1">NOW()-'LOS TIEMPOS'!$K$2</f>
        <v>42368.075526157409</v>
      </c>
    </row>
    <row r="804" spans="1:8" x14ac:dyDescent="0.2">
      <c r="A804" s="13" t="str">
        <f>IF(ROW()-5&lt;=COUNTA(TablaEquipos[Compite]),ROW()-7,"")</f>
        <v/>
      </c>
      <c r="B804" s="10" t="str">
        <f>IF(Tabla96[[#This Row],[Id]]="","",VLOOKUP(Tabla96[[#This Row],[Id]]+1,TablaEquipos[],3,FALSE))</f>
        <v/>
      </c>
      <c r="C804" s="45" t="str">
        <f>IF(Tabla96[[#This Row],[Id]]="","",VLOOKUP(Tabla96[[#This Row],[Id]]+1,TablaEquipos[],4,FALSE))</f>
        <v/>
      </c>
      <c r="D804" s="13" t="str">
        <f>IF(Tabla96[[#This Row],[Id]]="","",COUNTIF(TablaTiempos[Club],Tabla96[[#This Row],[Pos]]))</f>
        <v/>
      </c>
      <c r="E804" s="47" t="str">
        <f>IF(Tabla96[[#This Row],[Id]]="","",Tabla96[[#This Row],[Total Llegados a Meta]]/Tabla96[[#This Row],[Total Inscritos]])</f>
        <v/>
      </c>
      <c r="F80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04" s="43">
        <f ca="1">NOW()-'LOS TIEMPOS'!$K$2</f>
        <v>42368.075526157409</v>
      </c>
    </row>
    <row r="805" spans="1:8" x14ac:dyDescent="0.2">
      <c r="A805" s="13" t="str">
        <f>IF(ROW()-5&lt;=COUNTA(TablaEquipos[Compite]),ROW()-7,"")</f>
        <v/>
      </c>
      <c r="B805" s="10" t="str">
        <f>IF(Tabla96[[#This Row],[Id]]="","",VLOOKUP(Tabla96[[#This Row],[Id]]+1,TablaEquipos[],3,FALSE))</f>
        <v/>
      </c>
      <c r="C805" s="45" t="str">
        <f>IF(Tabla96[[#This Row],[Id]]="","",VLOOKUP(Tabla96[[#This Row],[Id]]+1,TablaEquipos[],4,FALSE))</f>
        <v/>
      </c>
      <c r="D805" s="13" t="str">
        <f>IF(Tabla96[[#This Row],[Id]]="","",COUNTIF(TablaTiempos[Club],Tabla96[[#This Row],[Pos]]))</f>
        <v/>
      </c>
      <c r="E805" s="47" t="str">
        <f>IF(Tabla96[[#This Row],[Id]]="","",Tabla96[[#This Row],[Total Llegados a Meta]]/Tabla96[[#This Row],[Total Inscritos]])</f>
        <v/>
      </c>
      <c r="F80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05" s="43">
        <f ca="1">NOW()-'LOS TIEMPOS'!$K$2</f>
        <v>42368.075526157409</v>
      </c>
    </row>
    <row r="806" spans="1:8" x14ac:dyDescent="0.2">
      <c r="A806" s="13" t="str">
        <f>IF(ROW()-5&lt;=COUNTA(TablaEquipos[Compite]),ROW()-7,"")</f>
        <v/>
      </c>
      <c r="B806" s="10" t="str">
        <f>IF(Tabla96[[#This Row],[Id]]="","",VLOOKUP(Tabla96[[#This Row],[Id]]+1,TablaEquipos[],3,FALSE))</f>
        <v/>
      </c>
      <c r="C806" s="45" t="str">
        <f>IF(Tabla96[[#This Row],[Id]]="","",VLOOKUP(Tabla96[[#This Row],[Id]]+1,TablaEquipos[],4,FALSE))</f>
        <v/>
      </c>
      <c r="D806" s="13" t="str">
        <f>IF(Tabla96[[#This Row],[Id]]="","",COUNTIF(TablaTiempos[Club],Tabla96[[#This Row],[Pos]]))</f>
        <v/>
      </c>
      <c r="E806" s="47" t="str">
        <f>IF(Tabla96[[#This Row],[Id]]="","",Tabla96[[#This Row],[Total Llegados a Meta]]/Tabla96[[#This Row],[Total Inscritos]])</f>
        <v/>
      </c>
      <c r="F80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06" s="43">
        <f ca="1">NOW()-'LOS TIEMPOS'!$K$2</f>
        <v>42368.075526157409</v>
      </c>
    </row>
    <row r="807" spans="1:8" x14ac:dyDescent="0.2">
      <c r="A807" s="13" t="str">
        <f>IF(ROW()-5&lt;=COUNTA(TablaEquipos[Compite]),ROW()-7,"")</f>
        <v/>
      </c>
      <c r="B807" s="10" t="str">
        <f>IF(Tabla96[[#This Row],[Id]]="","",VLOOKUP(Tabla96[[#This Row],[Id]]+1,TablaEquipos[],3,FALSE))</f>
        <v/>
      </c>
      <c r="C807" s="45" t="str">
        <f>IF(Tabla96[[#This Row],[Id]]="","",VLOOKUP(Tabla96[[#This Row],[Id]]+1,TablaEquipos[],4,FALSE))</f>
        <v/>
      </c>
      <c r="D807" s="13" t="str">
        <f>IF(Tabla96[[#This Row],[Id]]="","",COUNTIF(TablaTiempos[Club],Tabla96[[#This Row],[Pos]]))</f>
        <v/>
      </c>
      <c r="E807" s="47" t="str">
        <f>IF(Tabla96[[#This Row],[Id]]="","",Tabla96[[#This Row],[Total Llegados a Meta]]/Tabla96[[#This Row],[Total Inscritos]])</f>
        <v/>
      </c>
      <c r="F80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07" s="43">
        <f ca="1">NOW()-'LOS TIEMPOS'!$K$2</f>
        <v>42368.075526157409</v>
      </c>
    </row>
    <row r="808" spans="1:8" x14ac:dyDescent="0.2">
      <c r="A808" s="13" t="str">
        <f>IF(ROW()-5&lt;=COUNTA(TablaEquipos[Compite]),ROW()-7,"")</f>
        <v/>
      </c>
      <c r="B808" s="10" t="str">
        <f>IF(Tabla96[[#This Row],[Id]]="","",VLOOKUP(Tabla96[[#This Row],[Id]]+1,TablaEquipos[],3,FALSE))</f>
        <v/>
      </c>
      <c r="C808" s="45" t="str">
        <f>IF(Tabla96[[#This Row],[Id]]="","",VLOOKUP(Tabla96[[#This Row],[Id]]+1,TablaEquipos[],4,FALSE))</f>
        <v/>
      </c>
      <c r="D808" s="13" t="str">
        <f>IF(Tabla96[[#This Row],[Id]]="","",COUNTIF(TablaTiempos[Club],Tabla96[[#This Row],[Pos]]))</f>
        <v/>
      </c>
      <c r="E808" s="47" t="str">
        <f>IF(Tabla96[[#This Row],[Id]]="","",Tabla96[[#This Row],[Total Llegados a Meta]]/Tabla96[[#This Row],[Total Inscritos]])</f>
        <v/>
      </c>
      <c r="F80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08" s="43">
        <f ca="1">NOW()-'LOS TIEMPOS'!$K$2</f>
        <v>42368.075526157409</v>
      </c>
    </row>
    <row r="809" spans="1:8" x14ac:dyDescent="0.2">
      <c r="A809" s="13" t="str">
        <f>IF(ROW()-5&lt;=COUNTA(TablaEquipos[Compite]),ROW()-7,"")</f>
        <v/>
      </c>
      <c r="B809" s="10" t="str">
        <f>IF(Tabla96[[#This Row],[Id]]="","",VLOOKUP(Tabla96[[#This Row],[Id]]+1,TablaEquipos[],3,FALSE))</f>
        <v/>
      </c>
      <c r="C809" s="45" t="str">
        <f>IF(Tabla96[[#This Row],[Id]]="","",VLOOKUP(Tabla96[[#This Row],[Id]]+1,TablaEquipos[],4,FALSE))</f>
        <v/>
      </c>
      <c r="D809" s="13" t="str">
        <f>IF(Tabla96[[#This Row],[Id]]="","",COUNTIF(TablaTiempos[Club],Tabla96[[#This Row],[Pos]]))</f>
        <v/>
      </c>
      <c r="E809" s="47" t="str">
        <f>IF(Tabla96[[#This Row],[Id]]="","",Tabla96[[#This Row],[Total Llegados a Meta]]/Tabla96[[#This Row],[Total Inscritos]])</f>
        <v/>
      </c>
      <c r="F80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09" s="43">
        <f ca="1">NOW()-'LOS TIEMPOS'!$K$2</f>
        <v>42368.075526157409</v>
      </c>
    </row>
    <row r="810" spans="1:8" x14ac:dyDescent="0.2">
      <c r="A810" s="13" t="str">
        <f>IF(ROW()-5&lt;=COUNTA(TablaEquipos[Compite]),ROW()-7,"")</f>
        <v/>
      </c>
      <c r="B810" s="10" t="str">
        <f>IF(Tabla96[[#This Row],[Id]]="","",VLOOKUP(Tabla96[[#This Row],[Id]]+1,TablaEquipos[],3,FALSE))</f>
        <v/>
      </c>
      <c r="C810" s="45" t="str">
        <f>IF(Tabla96[[#This Row],[Id]]="","",VLOOKUP(Tabla96[[#This Row],[Id]]+1,TablaEquipos[],4,FALSE))</f>
        <v/>
      </c>
      <c r="D810" s="13" t="str">
        <f>IF(Tabla96[[#This Row],[Id]]="","",COUNTIF(TablaTiempos[Club],Tabla96[[#This Row],[Pos]]))</f>
        <v/>
      </c>
      <c r="E810" s="47" t="str">
        <f>IF(Tabla96[[#This Row],[Id]]="","",Tabla96[[#This Row],[Total Llegados a Meta]]/Tabla96[[#This Row],[Total Inscritos]])</f>
        <v/>
      </c>
      <c r="F81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10" s="43">
        <f ca="1">NOW()-'LOS TIEMPOS'!$K$2</f>
        <v>42368.075526157409</v>
      </c>
    </row>
    <row r="811" spans="1:8" x14ac:dyDescent="0.2">
      <c r="A811" s="13" t="str">
        <f>IF(ROW()-5&lt;=COUNTA(TablaEquipos[Compite]),ROW()-7,"")</f>
        <v/>
      </c>
      <c r="B811" s="10" t="str">
        <f>IF(Tabla96[[#This Row],[Id]]="","",VLOOKUP(Tabla96[[#This Row],[Id]]+1,TablaEquipos[],3,FALSE))</f>
        <v/>
      </c>
      <c r="C811" s="45" t="str">
        <f>IF(Tabla96[[#This Row],[Id]]="","",VLOOKUP(Tabla96[[#This Row],[Id]]+1,TablaEquipos[],4,FALSE))</f>
        <v/>
      </c>
      <c r="D811" s="13" t="str">
        <f>IF(Tabla96[[#This Row],[Id]]="","",COUNTIF(TablaTiempos[Club],Tabla96[[#This Row],[Pos]]))</f>
        <v/>
      </c>
      <c r="E811" s="47" t="str">
        <f>IF(Tabla96[[#This Row],[Id]]="","",Tabla96[[#This Row],[Total Llegados a Meta]]/Tabla96[[#This Row],[Total Inscritos]])</f>
        <v/>
      </c>
      <c r="F81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11" s="43">
        <f ca="1">NOW()-'LOS TIEMPOS'!$K$2</f>
        <v>42368.075526157409</v>
      </c>
    </row>
    <row r="812" spans="1:8" x14ac:dyDescent="0.2">
      <c r="A812" s="13" t="str">
        <f>IF(ROW()-5&lt;=COUNTA(TablaEquipos[Compite]),ROW()-7,"")</f>
        <v/>
      </c>
      <c r="B812" s="10" t="str">
        <f>IF(Tabla96[[#This Row],[Id]]="","",VLOOKUP(Tabla96[[#This Row],[Id]]+1,TablaEquipos[],3,FALSE))</f>
        <v/>
      </c>
      <c r="C812" s="45" t="str">
        <f>IF(Tabla96[[#This Row],[Id]]="","",VLOOKUP(Tabla96[[#This Row],[Id]]+1,TablaEquipos[],4,FALSE))</f>
        <v/>
      </c>
      <c r="D812" s="13" t="str">
        <f>IF(Tabla96[[#This Row],[Id]]="","",COUNTIF(TablaTiempos[Club],Tabla96[[#This Row],[Pos]]))</f>
        <v/>
      </c>
      <c r="E812" s="47" t="str">
        <f>IF(Tabla96[[#This Row],[Id]]="","",Tabla96[[#This Row],[Total Llegados a Meta]]/Tabla96[[#This Row],[Total Inscritos]])</f>
        <v/>
      </c>
      <c r="F81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12" s="43">
        <f ca="1">NOW()-'LOS TIEMPOS'!$K$2</f>
        <v>42368.075526157409</v>
      </c>
    </row>
    <row r="813" spans="1:8" x14ac:dyDescent="0.2">
      <c r="A813" s="13" t="str">
        <f>IF(ROW()-5&lt;=COUNTA(TablaEquipos[Compite]),ROW()-7,"")</f>
        <v/>
      </c>
      <c r="B813" s="10" t="str">
        <f>IF(Tabla96[[#This Row],[Id]]="","",VLOOKUP(Tabla96[[#This Row],[Id]]+1,TablaEquipos[],3,FALSE))</f>
        <v/>
      </c>
      <c r="C813" s="45" t="str">
        <f>IF(Tabla96[[#This Row],[Id]]="","",VLOOKUP(Tabla96[[#This Row],[Id]]+1,TablaEquipos[],4,FALSE))</f>
        <v/>
      </c>
      <c r="D813" s="13" t="str">
        <f>IF(Tabla96[[#This Row],[Id]]="","",COUNTIF(TablaTiempos[Club],Tabla96[[#This Row],[Pos]]))</f>
        <v/>
      </c>
      <c r="E813" s="47" t="str">
        <f>IF(Tabla96[[#This Row],[Id]]="","",Tabla96[[#This Row],[Total Llegados a Meta]]/Tabla96[[#This Row],[Total Inscritos]])</f>
        <v/>
      </c>
      <c r="F81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13" s="43">
        <f ca="1">NOW()-'LOS TIEMPOS'!$K$2</f>
        <v>42368.075526157409</v>
      </c>
    </row>
    <row r="814" spans="1:8" x14ac:dyDescent="0.2">
      <c r="A814" s="13" t="str">
        <f>IF(ROW()-5&lt;=COUNTA(TablaEquipos[Compite]),ROW()-7,"")</f>
        <v/>
      </c>
      <c r="B814" s="10" t="str">
        <f>IF(Tabla96[[#This Row],[Id]]="","",VLOOKUP(Tabla96[[#This Row],[Id]]+1,TablaEquipos[],3,FALSE))</f>
        <v/>
      </c>
      <c r="C814" s="45" t="str">
        <f>IF(Tabla96[[#This Row],[Id]]="","",VLOOKUP(Tabla96[[#This Row],[Id]]+1,TablaEquipos[],4,FALSE))</f>
        <v/>
      </c>
      <c r="D814" s="13" t="str">
        <f>IF(Tabla96[[#This Row],[Id]]="","",COUNTIF(TablaTiempos[Club],Tabla96[[#This Row],[Pos]]))</f>
        <v/>
      </c>
      <c r="E814" s="47" t="str">
        <f>IF(Tabla96[[#This Row],[Id]]="","",Tabla96[[#This Row],[Total Llegados a Meta]]/Tabla96[[#This Row],[Total Inscritos]])</f>
        <v/>
      </c>
      <c r="F81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14" s="43">
        <f ca="1">NOW()-'LOS TIEMPOS'!$K$2</f>
        <v>42368.075526157409</v>
      </c>
    </row>
    <row r="815" spans="1:8" x14ac:dyDescent="0.2">
      <c r="A815" s="13" t="str">
        <f>IF(ROW()-5&lt;=COUNTA(TablaEquipos[Compite]),ROW()-7,"")</f>
        <v/>
      </c>
      <c r="B815" s="10" t="str">
        <f>IF(Tabla96[[#This Row],[Id]]="","",VLOOKUP(Tabla96[[#This Row],[Id]]+1,TablaEquipos[],3,FALSE))</f>
        <v/>
      </c>
      <c r="C815" s="45" t="str">
        <f>IF(Tabla96[[#This Row],[Id]]="","",VLOOKUP(Tabla96[[#This Row],[Id]]+1,TablaEquipos[],4,FALSE))</f>
        <v/>
      </c>
      <c r="D815" s="13" t="str">
        <f>IF(Tabla96[[#This Row],[Id]]="","",COUNTIF(TablaTiempos[Club],Tabla96[[#This Row],[Pos]]))</f>
        <v/>
      </c>
      <c r="E815" s="47" t="str">
        <f>IF(Tabla96[[#This Row],[Id]]="","",Tabla96[[#This Row],[Total Llegados a Meta]]/Tabla96[[#This Row],[Total Inscritos]])</f>
        <v/>
      </c>
      <c r="F81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15" s="43">
        <f ca="1">NOW()-'LOS TIEMPOS'!$K$2</f>
        <v>42368.075526157409</v>
      </c>
    </row>
    <row r="816" spans="1:8" x14ac:dyDescent="0.2">
      <c r="A816" s="13" t="str">
        <f>IF(ROW()-5&lt;=COUNTA(TablaEquipos[Compite]),ROW()-7,"")</f>
        <v/>
      </c>
      <c r="B816" s="10" t="str">
        <f>IF(Tabla96[[#This Row],[Id]]="","",VLOOKUP(Tabla96[[#This Row],[Id]]+1,TablaEquipos[],3,FALSE))</f>
        <v/>
      </c>
      <c r="C816" s="45" t="str">
        <f>IF(Tabla96[[#This Row],[Id]]="","",VLOOKUP(Tabla96[[#This Row],[Id]]+1,TablaEquipos[],4,FALSE))</f>
        <v/>
      </c>
      <c r="D816" s="13" t="str">
        <f>IF(Tabla96[[#This Row],[Id]]="","",COUNTIF(TablaTiempos[Club],Tabla96[[#This Row],[Pos]]))</f>
        <v/>
      </c>
      <c r="E816" s="47" t="str">
        <f>IF(Tabla96[[#This Row],[Id]]="","",Tabla96[[#This Row],[Total Llegados a Meta]]/Tabla96[[#This Row],[Total Inscritos]])</f>
        <v/>
      </c>
      <c r="F81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16" s="43">
        <f ca="1">NOW()-'LOS TIEMPOS'!$K$2</f>
        <v>42368.075526157409</v>
      </c>
    </row>
    <row r="817" spans="1:8" x14ac:dyDescent="0.2">
      <c r="A817" s="13" t="str">
        <f>IF(ROW()-5&lt;=COUNTA(TablaEquipos[Compite]),ROW()-7,"")</f>
        <v/>
      </c>
      <c r="B817" s="10" t="str">
        <f>IF(Tabla96[[#This Row],[Id]]="","",VLOOKUP(Tabla96[[#This Row],[Id]]+1,TablaEquipos[],3,FALSE))</f>
        <v/>
      </c>
      <c r="C817" s="45" t="str">
        <f>IF(Tabla96[[#This Row],[Id]]="","",VLOOKUP(Tabla96[[#This Row],[Id]]+1,TablaEquipos[],4,FALSE))</f>
        <v/>
      </c>
      <c r="D817" s="13" t="str">
        <f>IF(Tabla96[[#This Row],[Id]]="","",COUNTIF(TablaTiempos[Club],Tabla96[[#This Row],[Pos]]))</f>
        <v/>
      </c>
      <c r="E817" s="47" t="str">
        <f>IF(Tabla96[[#This Row],[Id]]="","",Tabla96[[#This Row],[Total Llegados a Meta]]/Tabla96[[#This Row],[Total Inscritos]])</f>
        <v/>
      </c>
      <c r="F81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17" s="43">
        <f ca="1">NOW()-'LOS TIEMPOS'!$K$2</f>
        <v>42368.075526157409</v>
      </c>
    </row>
    <row r="818" spans="1:8" x14ac:dyDescent="0.2">
      <c r="A818" s="13" t="str">
        <f>IF(ROW()-5&lt;=COUNTA(TablaEquipos[Compite]),ROW()-7,"")</f>
        <v/>
      </c>
      <c r="B818" s="10" t="str">
        <f>IF(Tabla96[[#This Row],[Id]]="","",VLOOKUP(Tabla96[[#This Row],[Id]]+1,TablaEquipos[],3,FALSE))</f>
        <v/>
      </c>
      <c r="C818" s="45" t="str">
        <f>IF(Tabla96[[#This Row],[Id]]="","",VLOOKUP(Tabla96[[#This Row],[Id]]+1,TablaEquipos[],4,FALSE))</f>
        <v/>
      </c>
      <c r="D818" s="13" t="str">
        <f>IF(Tabla96[[#This Row],[Id]]="","",COUNTIF(TablaTiempos[Club],Tabla96[[#This Row],[Pos]]))</f>
        <v/>
      </c>
      <c r="E818" s="47" t="str">
        <f>IF(Tabla96[[#This Row],[Id]]="","",Tabla96[[#This Row],[Total Llegados a Meta]]/Tabla96[[#This Row],[Total Inscritos]])</f>
        <v/>
      </c>
      <c r="F81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18" s="43">
        <f ca="1">NOW()-'LOS TIEMPOS'!$K$2</f>
        <v>42368.075526157409</v>
      </c>
    </row>
    <row r="819" spans="1:8" x14ac:dyDescent="0.2">
      <c r="A819" s="13" t="str">
        <f>IF(ROW()-5&lt;=COUNTA(TablaEquipos[Compite]),ROW()-7,"")</f>
        <v/>
      </c>
      <c r="B819" s="10" t="str">
        <f>IF(Tabla96[[#This Row],[Id]]="","",VLOOKUP(Tabla96[[#This Row],[Id]]+1,TablaEquipos[],3,FALSE))</f>
        <v/>
      </c>
      <c r="C819" s="45" t="str">
        <f>IF(Tabla96[[#This Row],[Id]]="","",VLOOKUP(Tabla96[[#This Row],[Id]]+1,TablaEquipos[],4,FALSE))</f>
        <v/>
      </c>
      <c r="D819" s="13" t="str">
        <f>IF(Tabla96[[#This Row],[Id]]="","",COUNTIF(TablaTiempos[Club],Tabla96[[#This Row],[Pos]]))</f>
        <v/>
      </c>
      <c r="E819" s="47" t="str">
        <f>IF(Tabla96[[#This Row],[Id]]="","",Tabla96[[#This Row],[Total Llegados a Meta]]/Tabla96[[#This Row],[Total Inscritos]])</f>
        <v/>
      </c>
      <c r="F81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19" s="43">
        <f ca="1">NOW()-'LOS TIEMPOS'!$K$2</f>
        <v>42368.075526157409</v>
      </c>
    </row>
    <row r="820" spans="1:8" x14ac:dyDescent="0.2">
      <c r="A820" s="13" t="str">
        <f>IF(ROW()-5&lt;=COUNTA(TablaEquipos[Compite]),ROW()-7,"")</f>
        <v/>
      </c>
      <c r="B820" s="10" t="str">
        <f>IF(Tabla96[[#This Row],[Id]]="","",VLOOKUP(Tabla96[[#This Row],[Id]]+1,TablaEquipos[],3,FALSE))</f>
        <v/>
      </c>
      <c r="C820" s="45" t="str">
        <f>IF(Tabla96[[#This Row],[Id]]="","",VLOOKUP(Tabla96[[#This Row],[Id]]+1,TablaEquipos[],4,FALSE))</f>
        <v/>
      </c>
      <c r="D820" s="13" t="str">
        <f>IF(Tabla96[[#This Row],[Id]]="","",COUNTIF(TablaTiempos[Club],Tabla96[[#This Row],[Pos]]))</f>
        <v/>
      </c>
      <c r="E820" s="47" t="str">
        <f>IF(Tabla96[[#This Row],[Id]]="","",Tabla96[[#This Row],[Total Llegados a Meta]]/Tabla96[[#This Row],[Total Inscritos]])</f>
        <v/>
      </c>
      <c r="F82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20" s="43">
        <f ca="1">NOW()-'LOS TIEMPOS'!$K$2</f>
        <v>42368.075526157409</v>
      </c>
    </row>
    <row r="821" spans="1:8" x14ac:dyDescent="0.2">
      <c r="A821" s="13" t="str">
        <f>IF(ROW()-5&lt;=COUNTA(TablaEquipos[Compite]),ROW()-7,"")</f>
        <v/>
      </c>
      <c r="B821" s="10" t="str">
        <f>IF(Tabla96[[#This Row],[Id]]="","",VLOOKUP(Tabla96[[#This Row],[Id]]+1,TablaEquipos[],3,FALSE))</f>
        <v/>
      </c>
      <c r="C821" s="45" t="str">
        <f>IF(Tabla96[[#This Row],[Id]]="","",VLOOKUP(Tabla96[[#This Row],[Id]]+1,TablaEquipos[],4,FALSE))</f>
        <v/>
      </c>
      <c r="D821" s="13" t="str">
        <f>IF(Tabla96[[#This Row],[Id]]="","",COUNTIF(TablaTiempos[Club],Tabla96[[#This Row],[Pos]]))</f>
        <v/>
      </c>
      <c r="E821" s="47" t="str">
        <f>IF(Tabla96[[#This Row],[Id]]="","",Tabla96[[#This Row],[Total Llegados a Meta]]/Tabla96[[#This Row],[Total Inscritos]])</f>
        <v/>
      </c>
      <c r="F82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21" s="43">
        <f ca="1">NOW()-'LOS TIEMPOS'!$K$2</f>
        <v>42368.075526157409</v>
      </c>
    </row>
    <row r="822" spans="1:8" x14ac:dyDescent="0.2">
      <c r="A822" s="13" t="str">
        <f>IF(ROW()-5&lt;=COUNTA(TablaEquipos[Compite]),ROW()-7,"")</f>
        <v/>
      </c>
      <c r="B822" s="10" t="str">
        <f>IF(Tabla96[[#This Row],[Id]]="","",VLOOKUP(Tabla96[[#This Row],[Id]]+1,TablaEquipos[],3,FALSE))</f>
        <v/>
      </c>
      <c r="C822" s="45" t="str">
        <f>IF(Tabla96[[#This Row],[Id]]="","",VLOOKUP(Tabla96[[#This Row],[Id]]+1,TablaEquipos[],4,FALSE))</f>
        <v/>
      </c>
      <c r="D822" s="13" t="str">
        <f>IF(Tabla96[[#This Row],[Id]]="","",COUNTIF(TablaTiempos[Club],Tabla96[[#This Row],[Pos]]))</f>
        <v/>
      </c>
      <c r="E822" s="47" t="str">
        <f>IF(Tabla96[[#This Row],[Id]]="","",Tabla96[[#This Row],[Total Llegados a Meta]]/Tabla96[[#This Row],[Total Inscritos]])</f>
        <v/>
      </c>
      <c r="F82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22" s="43">
        <f ca="1">NOW()-'LOS TIEMPOS'!$K$2</f>
        <v>42368.075526157409</v>
      </c>
    </row>
    <row r="823" spans="1:8" x14ac:dyDescent="0.2">
      <c r="A823" s="13" t="str">
        <f>IF(ROW()-5&lt;=COUNTA(TablaEquipos[Compite]),ROW()-7,"")</f>
        <v/>
      </c>
      <c r="B823" s="10" t="str">
        <f>IF(Tabla96[[#This Row],[Id]]="","",VLOOKUP(Tabla96[[#This Row],[Id]]+1,TablaEquipos[],3,FALSE))</f>
        <v/>
      </c>
      <c r="C823" s="45" t="str">
        <f>IF(Tabla96[[#This Row],[Id]]="","",VLOOKUP(Tabla96[[#This Row],[Id]]+1,TablaEquipos[],4,FALSE))</f>
        <v/>
      </c>
      <c r="D823" s="13" t="str">
        <f>IF(Tabla96[[#This Row],[Id]]="","",COUNTIF(TablaTiempos[Club],Tabla96[[#This Row],[Pos]]))</f>
        <v/>
      </c>
      <c r="E823" s="47" t="str">
        <f>IF(Tabla96[[#This Row],[Id]]="","",Tabla96[[#This Row],[Total Llegados a Meta]]/Tabla96[[#This Row],[Total Inscritos]])</f>
        <v/>
      </c>
      <c r="F82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23" s="43">
        <f ca="1">NOW()-'LOS TIEMPOS'!$K$2</f>
        <v>42368.075526157409</v>
      </c>
    </row>
    <row r="824" spans="1:8" x14ac:dyDescent="0.2">
      <c r="A824" s="13" t="str">
        <f>IF(ROW()-5&lt;=COUNTA(TablaEquipos[Compite]),ROW()-7,"")</f>
        <v/>
      </c>
      <c r="B824" s="10" t="str">
        <f>IF(Tabla96[[#This Row],[Id]]="","",VLOOKUP(Tabla96[[#This Row],[Id]]+1,TablaEquipos[],3,FALSE))</f>
        <v/>
      </c>
      <c r="C824" s="45" t="str">
        <f>IF(Tabla96[[#This Row],[Id]]="","",VLOOKUP(Tabla96[[#This Row],[Id]]+1,TablaEquipos[],4,FALSE))</f>
        <v/>
      </c>
      <c r="D824" s="13" t="str">
        <f>IF(Tabla96[[#This Row],[Id]]="","",COUNTIF(TablaTiempos[Club],Tabla96[[#This Row],[Pos]]))</f>
        <v/>
      </c>
      <c r="E824" s="47" t="str">
        <f>IF(Tabla96[[#This Row],[Id]]="","",Tabla96[[#This Row],[Total Llegados a Meta]]/Tabla96[[#This Row],[Total Inscritos]])</f>
        <v/>
      </c>
      <c r="F82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24" s="43">
        <f ca="1">NOW()-'LOS TIEMPOS'!$K$2</f>
        <v>42368.075526157409</v>
      </c>
    </row>
    <row r="825" spans="1:8" x14ac:dyDescent="0.2">
      <c r="A825" s="13" t="str">
        <f>IF(ROW()-5&lt;=COUNTA(TablaEquipos[Compite]),ROW()-7,"")</f>
        <v/>
      </c>
      <c r="B825" s="10" t="str">
        <f>IF(Tabla96[[#This Row],[Id]]="","",VLOOKUP(Tabla96[[#This Row],[Id]]+1,TablaEquipos[],3,FALSE))</f>
        <v/>
      </c>
      <c r="C825" s="45" t="str">
        <f>IF(Tabla96[[#This Row],[Id]]="","",VLOOKUP(Tabla96[[#This Row],[Id]]+1,TablaEquipos[],4,FALSE))</f>
        <v/>
      </c>
      <c r="D825" s="13" t="str">
        <f>IF(Tabla96[[#This Row],[Id]]="","",COUNTIF(TablaTiempos[Club],Tabla96[[#This Row],[Pos]]))</f>
        <v/>
      </c>
      <c r="E825" s="47" t="str">
        <f>IF(Tabla96[[#This Row],[Id]]="","",Tabla96[[#This Row],[Total Llegados a Meta]]/Tabla96[[#This Row],[Total Inscritos]])</f>
        <v/>
      </c>
      <c r="F82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25" s="43">
        <f ca="1">NOW()-'LOS TIEMPOS'!$K$2</f>
        <v>42368.075526157409</v>
      </c>
    </row>
    <row r="826" spans="1:8" x14ac:dyDescent="0.2">
      <c r="A826" s="13" t="str">
        <f>IF(ROW()-5&lt;=COUNTA(TablaEquipos[Compite]),ROW()-7,"")</f>
        <v/>
      </c>
      <c r="B826" s="10" t="str">
        <f>IF(Tabla96[[#This Row],[Id]]="","",VLOOKUP(Tabla96[[#This Row],[Id]]+1,TablaEquipos[],3,FALSE))</f>
        <v/>
      </c>
      <c r="C826" s="45" t="str">
        <f>IF(Tabla96[[#This Row],[Id]]="","",VLOOKUP(Tabla96[[#This Row],[Id]]+1,TablaEquipos[],4,FALSE))</f>
        <v/>
      </c>
      <c r="D826" s="13" t="str">
        <f>IF(Tabla96[[#This Row],[Id]]="","",COUNTIF(TablaTiempos[Club],Tabla96[[#This Row],[Pos]]))</f>
        <v/>
      </c>
      <c r="E826" s="47" t="str">
        <f>IF(Tabla96[[#This Row],[Id]]="","",Tabla96[[#This Row],[Total Llegados a Meta]]/Tabla96[[#This Row],[Total Inscritos]])</f>
        <v/>
      </c>
      <c r="F82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26" s="43">
        <f ca="1">NOW()-'LOS TIEMPOS'!$K$2</f>
        <v>42368.075526157409</v>
      </c>
    </row>
    <row r="827" spans="1:8" x14ac:dyDescent="0.2">
      <c r="A827" s="13" t="str">
        <f>IF(ROW()-5&lt;=COUNTA(TablaEquipos[Compite]),ROW()-7,"")</f>
        <v/>
      </c>
      <c r="B827" s="10" t="str">
        <f>IF(Tabla96[[#This Row],[Id]]="","",VLOOKUP(Tabla96[[#This Row],[Id]]+1,TablaEquipos[],3,FALSE))</f>
        <v/>
      </c>
      <c r="C827" s="45" t="str">
        <f>IF(Tabla96[[#This Row],[Id]]="","",VLOOKUP(Tabla96[[#This Row],[Id]]+1,TablaEquipos[],4,FALSE))</f>
        <v/>
      </c>
      <c r="D827" s="13" t="str">
        <f>IF(Tabla96[[#This Row],[Id]]="","",COUNTIF(TablaTiempos[Club],Tabla96[[#This Row],[Pos]]))</f>
        <v/>
      </c>
      <c r="E827" s="47" t="str">
        <f>IF(Tabla96[[#This Row],[Id]]="","",Tabla96[[#This Row],[Total Llegados a Meta]]/Tabla96[[#This Row],[Total Inscritos]])</f>
        <v/>
      </c>
      <c r="F82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27" s="43">
        <f ca="1">NOW()-'LOS TIEMPOS'!$K$2</f>
        <v>42368.075526157409</v>
      </c>
    </row>
    <row r="828" spans="1:8" x14ac:dyDescent="0.2">
      <c r="A828" s="13" t="str">
        <f>IF(ROW()-5&lt;=COUNTA(TablaEquipos[Compite]),ROW()-7,"")</f>
        <v/>
      </c>
      <c r="B828" s="10" t="str">
        <f>IF(Tabla96[[#This Row],[Id]]="","",VLOOKUP(Tabla96[[#This Row],[Id]]+1,TablaEquipos[],3,FALSE))</f>
        <v/>
      </c>
      <c r="C828" s="45" t="str">
        <f>IF(Tabla96[[#This Row],[Id]]="","",VLOOKUP(Tabla96[[#This Row],[Id]]+1,TablaEquipos[],4,FALSE))</f>
        <v/>
      </c>
      <c r="D828" s="13" t="str">
        <f>IF(Tabla96[[#This Row],[Id]]="","",COUNTIF(TablaTiempos[Club],Tabla96[[#This Row],[Pos]]))</f>
        <v/>
      </c>
      <c r="E828" s="47" t="str">
        <f>IF(Tabla96[[#This Row],[Id]]="","",Tabla96[[#This Row],[Total Llegados a Meta]]/Tabla96[[#This Row],[Total Inscritos]])</f>
        <v/>
      </c>
      <c r="F82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28" s="43">
        <f ca="1">NOW()-'LOS TIEMPOS'!$K$2</f>
        <v>42368.075526157409</v>
      </c>
    </row>
    <row r="829" spans="1:8" x14ac:dyDescent="0.2">
      <c r="A829" s="13" t="str">
        <f>IF(ROW()-5&lt;=COUNTA(TablaEquipos[Compite]),ROW()-7,"")</f>
        <v/>
      </c>
      <c r="B829" s="10" t="str">
        <f>IF(Tabla96[[#This Row],[Id]]="","",VLOOKUP(Tabla96[[#This Row],[Id]]+1,TablaEquipos[],3,FALSE))</f>
        <v/>
      </c>
      <c r="C829" s="45" t="str">
        <f>IF(Tabla96[[#This Row],[Id]]="","",VLOOKUP(Tabla96[[#This Row],[Id]]+1,TablaEquipos[],4,FALSE))</f>
        <v/>
      </c>
      <c r="D829" s="13" t="str">
        <f>IF(Tabla96[[#This Row],[Id]]="","",COUNTIF(TablaTiempos[Club],Tabla96[[#This Row],[Pos]]))</f>
        <v/>
      </c>
      <c r="E829" s="47" t="str">
        <f>IF(Tabla96[[#This Row],[Id]]="","",Tabla96[[#This Row],[Total Llegados a Meta]]/Tabla96[[#This Row],[Total Inscritos]])</f>
        <v/>
      </c>
      <c r="F82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29" s="43">
        <f ca="1">NOW()-'LOS TIEMPOS'!$K$2</f>
        <v>42368.075526157409</v>
      </c>
    </row>
    <row r="830" spans="1:8" x14ac:dyDescent="0.2">
      <c r="A830" s="13" t="str">
        <f>IF(ROW()-5&lt;=COUNTA(TablaEquipos[Compite]),ROW()-7,"")</f>
        <v/>
      </c>
      <c r="B830" s="10" t="str">
        <f>IF(Tabla96[[#This Row],[Id]]="","",VLOOKUP(Tabla96[[#This Row],[Id]]+1,TablaEquipos[],3,FALSE))</f>
        <v/>
      </c>
      <c r="C830" s="45" t="str">
        <f>IF(Tabla96[[#This Row],[Id]]="","",VLOOKUP(Tabla96[[#This Row],[Id]]+1,TablaEquipos[],4,FALSE))</f>
        <v/>
      </c>
      <c r="D830" s="13" t="str">
        <f>IF(Tabla96[[#This Row],[Id]]="","",COUNTIF(TablaTiempos[Club],Tabla96[[#This Row],[Pos]]))</f>
        <v/>
      </c>
      <c r="E830" s="47" t="str">
        <f>IF(Tabla96[[#This Row],[Id]]="","",Tabla96[[#This Row],[Total Llegados a Meta]]/Tabla96[[#This Row],[Total Inscritos]])</f>
        <v/>
      </c>
      <c r="F83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30" s="43">
        <f ca="1">NOW()-'LOS TIEMPOS'!$K$2</f>
        <v>42368.075526157409</v>
      </c>
    </row>
    <row r="831" spans="1:8" x14ac:dyDescent="0.2">
      <c r="A831" s="13" t="str">
        <f>IF(ROW()-5&lt;=COUNTA(TablaEquipos[Compite]),ROW()-7,"")</f>
        <v/>
      </c>
      <c r="B831" s="10" t="str">
        <f>IF(Tabla96[[#This Row],[Id]]="","",VLOOKUP(Tabla96[[#This Row],[Id]]+1,TablaEquipos[],3,FALSE))</f>
        <v/>
      </c>
      <c r="C831" s="45" t="str">
        <f>IF(Tabla96[[#This Row],[Id]]="","",VLOOKUP(Tabla96[[#This Row],[Id]]+1,TablaEquipos[],4,FALSE))</f>
        <v/>
      </c>
      <c r="D831" s="13" t="str">
        <f>IF(Tabla96[[#This Row],[Id]]="","",COUNTIF(TablaTiempos[Club],Tabla96[[#This Row],[Pos]]))</f>
        <v/>
      </c>
      <c r="E831" s="47" t="str">
        <f>IF(Tabla96[[#This Row],[Id]]="","",Tabla96[[#This Row],[Total Llegados a Meta]]/Tabla96[[#This Row],[Total Inscritos]])</f>
        <v/>
      </c>
      <c r="F83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31" s="43">
        <f ca="1">NOW()-'LOS TIEMPOS'!$K$2</f>
        <v>42368.075526157409</v>
      </c>
    </row>
    <row r="832" spans="1:8" x14ac:dyDescent="0.2">
      <c r="A832" s="13" t="str">
        <f>IF(ROW()-5&lt;=COUNTA(TablaEquipos[Compite]),ROW()-7,"")</f>
        <v/>
      </c>
      <c r="B832" s="10" t="str">
        <f>IF(Tabla96[[#This Row],[Id]]="","",VLOOKUP(Tabla96[[#This Row],[Id]]+1,TablaEquipos[],3,FALSE))</f>
        <v/>
      </c>
      <c r="C832" s="45" t="str">
        <f>IF(Tabla96[[#This Row],[Id]]="","",VLOOKUP(Tabla96[[#This Row],[Id]]+1,TablaEquipos[],4,FALSE))</f>
        <v/>
      </c>
      <c r="D832" s="13" t="str">
        <f>IF(Tabla96[[#This Row],[Id]]="","",COUNTIF(TablaTiempos[Club],Tabla96[[#This Row],[Pos]]))</f>
        <v/>
      </c>
      <c r="E832" s="47" t="str">
        <f>IF(Tabla96[[#This Row],[Id]]="","",Tabla96[[#This Row],[Total Llegados a Meta]]/Tabla96[[#This Row],[Total Inscritos]])</f>
        <v/>
      </c>
      <c r="F83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32" s="43">
        <f ca="1">NOW()-'LOS TIEMPOS'!$K$2</f>
        <v>42368.075526157409</v>
      </c>
    </row>
    <row r="833" spans="1:8" x14ac:dyDescent="0.2">
      <c r="A833" s="13" t="str">
        <f>IF(ROW()-5&lt;=COUNTA(TablaEquipos[Compite]),ROW()-7,"")</f>
        <v/>
      </c>
      <c r="B833" s="10" t="str">
        <f>IF(Tabla96[[#This Row],[Id]]="","",VLOOKUP(Tabla96[[#This Row],[Id]]+1,TablaEquipos[],3,FALSE))</f>
        <v/>
      </c>
      <c r="C833" s="45" t="str">
        <f>IF(Tabla96[[#This Row],[Id]]="","",VLOOKUP(Tabla96[[#This Row],[Id]]+1,TablaEquipos[],4,FALSE))</f>
        <v/>
      </c>
      <c r="D833" s="13" t="str">
        <f>IF(Tabla96[[#This Row],[Id]]="","",COUNTIF(TablaTiempos[Club],Tabla96[[#This Row],[Pos]]))</f>
        <v/>
      </c>
      <c r="E833" s="47" t="str">
        <f>IF(Tabla96[[#This Row],[Id]]="","",Tabla96[[#This Row],[Total Llegados a Meta]]/Tabla96[[#This Row],[Total Inscritos]])</f>
        <v/>
      </c>
      <c r="F83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33" s="43">
        <f ca="1">NOW()-'LOS TIEMPOS'!$K$2</f>
        <v>42368.075526157409</v>
      </c>
    </row>
    <row r="834" spans="1:8" x14ac:dyDescent="0.2">
      <c r="A834" s="13" t="str">
        <f>IF(ROW()-5&lt;=COUNTA(TablaEquipos[Compite]),ROW()-7,"")</f>
        <v/>
      </c>
      <c r="B834" s="10" t="str">
        <f>IF(Tabla96[[#This Row],[Id]]="","",VLOOKUP(Tabla96[[#This Row],[Id]]+1,TablaEquipos[],3,FALSE))</f>
        <v/>
      </c>
      <c r="C834" s="45" t="str">
        <f>IF(Tabla96[[#This Row],[Id]]="","",VLOOKUP(Tabla96[[#This Row],[Id]]+1,TablaEquipos[],4,FALSE))</f>
        <v/>
      </c>
      <c r="D834" s="13" t="str">
        <f>IF(Tabla96[[#This Row],[Id]]="","",COUNTIF(TablaTiempos[Club],Tabla96[[#This Row],[Pos]]))</f>
        <v/>
      </c>
      <c r="E834" s="47" t="str">
        <f>IF(Tabla96[[#This Row],[Id]]="","",Tabla96[[#This Row],[Total Llegados a Meta]]/Tabla96[[#This Row],[Total Inscritos]])</f>
        <v/>
      </c>
      <c r="F83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34" s="43">
        <f ca="1">NOW()-'LOS TIEMPOS'!$K$2</f>
        <v>42368.075526157409</v>
      </c>
    </row>
    <row r="835" spans="1:8" x14ac:dyDescent="0.2">
      <c r="A835" s="13" t="str">
        <f>IF(ROW()-5&lt;=COUNTA(TablaEquipos[Compite]),ROW()-7,"")</f>
        <v/>
      </c>
      <c r="B835" s="10" t="str">
        <f>IF(Tabla96[[#This Row],[Id]]="","",VLOOKUP(Tabla96[[#This Row],[Id]]+1,TablaEquipos[],3,FALSE))</f>
        <v/>
      </c>
      <c r="C835" s="45" t="str">
        <f>IF(Tabla96[[#This Row],[Id]]="","",VLOOKUP(Tabla96[[#This Row],[Id]]+1,TablaEquipos[],4,FALSE))</f>
        <v/>
      </c>
      <c r="D835" s="13" t="str">
        <f>IF(Tabla96[[#This Row],[Id]]="","",COUNTIF(TablaTiempos[Club],Tabla96[[#This Row],[Pos]]))</f>
        <v/>
      </c>
      <c r="E835" s="47" t="str">
        <f>IF(Tabla96[[#This Row],[Id]]="","",Tabla96[[#This Row],[Total Llegados a Meta]]/Tabla96[[#This Row],[Total Inscritos]])</f>
        <v/>
      </c>
      <c r="F83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35" s="43">
        <f ca="1">NOW()-'LOS TIEMPOS'!$K$2</f>
        <v>42368.075526157409</v>
      </c>
    </row>
    <row r="836" spans="1:8" x14ac:dyDescent="0.2">
      <c r="A836" s="13" t="str">
        <f>IF(ROW()-5&lt;=COUNTA(TablaEquipos[Compite]),ROW()-7,"")</f>
        <v/>
      </c>
      <c r="B836" s="10" t="str">
        <f>IF(Tabla96[[#This Row],[Id]]="","",VLOOKUP(Tabla96[[#This Row],[Id]]+1,TablaEquipos[],3,FALSE))</f>
        <v/>
      </c>
      <c r="C836" s="45" t="str">
        <f>IF(Tabla96[[#This Row],[Id]]="","",VLOOKUP(Tabla96[[#This Row],[Id]]+1,TablaEquipos[],4,FALSE))</f>
        <v/>
      </c>
      <c r="D836" s="13" t="str">
        <f>IF(Tabla96[[#This Row],[Id]]="","",COUNTIF(TablaTiempos[Club],Tabla96[[#This Row],[Pos]]))</f>
        <v/>
      </c>
      <c r="E836" s="47" t="str">
        <f>IF(Tabla96[[#This Row],[Id]]="","",Tabla96[[#This Row],[Total Llegados a Meta]]/Tabla96[[#This Row],[Total Inscritos]])</f>
        <v/>
      </c>
      <c r="F83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36" s="43">
        <f ca="1">NOW()-'LOS TIEMPOS'!$K$2</f>
        <v>42368.075526157409</v>
      </c>
    </row>
    <row r="837" spans="1:8" x14ac:dyDescent="0.2">
      <c r="A837" s="13" t="str">
        <f>IF(ROW()-5&lt;=COUNTA(TablaEquipos[Compite]),ROW()-7,"")</f>
        <v/>
      </c>
      <c r="B837" s="10" t="str">
        <f>IF(Tabla96[[#This Row],[Id]]="","",VLOOKUP(Tabla96[[#This Row],[Id]]+1,TablaEquipos[],3,FALSE))</f>
        <v/>
      </c>
      <c r="C837" s="45" t="str">
        <f>IF(Tabla96[[#This Row],[Id]]="","",VLOOKUP(Tabla96[[#This Row],[Id]]+1,TablaEquipos[],4,FALSE))</f>
        <v/>
      </c>
      <c r="D837" s="13" t="str">
        <f>IF(Tabla96[[#This Row],[Id]]="","",COUNTIF(TablaTiempos[Club],Tabla96[[#This Row],[Pos]]))</f>
        <v/>
      </c>
      <c r="E837" s="47" t="str">
        <f>IF(Tabla96[[#This Row],[Id]]="","",Tabla96[[#This Row],[Total Llegados a Meta]]/Tabla96[[#This Row],[Total Inscritos]])</f>
        <v/>
      </c>
      <c r="F83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37" s="43">
        <f ca="1">NOW()-'LOS TIEMPOS'!$K$2</f>
        <v>42368.075526157409</v>
      </c>
    </row>
    <row r="838" spans="1:8" x14ac:dyDescent="0.2">
      <c r="A838" s="13" t="str">
        <f>IF(ROW()-5&lt;=COUNTA(TablaEquipos[Compite]),ROW()-7,"")</f>
        <v/>
      </c>
      <c r="B838" s="10" t="str">
        <f>IF(Tabla96[[#This Row],[Id]]="","",VLOOKUP(Tabla96[[#This Row],[Id]]+1,TablaEquipos[],3,FALSE))</f>
        <v/>
      </c>
      <c r="C838" s="45" t="str">
        <f>IF(Tabla96[[#This Row],[Id]]="","",VLOOKUP(Tabla96[[#This Row],[Id]]+1,TablaEquipos[],4,FALSE))</f>
        <v/>
      </c>
      <c r="D838" s="13" t="str">
        <f>IF(Tabla96[[#This Row],[Id]]="","",COUNTIF(TablaTiempos[Club],Tabla96[[#This Row],[Pos]]))</f>
        <v/>
      </c>
      <c r="E838" s="47" t="str">
        <f>IF(Tabla96[[#This Row],[Id]]="","",Tabla96[[#This Row],[Total Llegados a Meta]]/Tabla96[[#This Row],[Total Inscritos]])</f>
        <v/>
      </c>
      <c r="F83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38" s="43">
        <f ca="1">NOW()-'LOS TIEMPOS'!$K$2</f>
        <v>42368.075526157409</v>
      </c>
    </row>
    <row r="839" spans="1:8" x14ac:dyDescent="0.2">
      <c r="A839" s="13" t="str">
        <f>IF(ROW()-5&lt;=COUNTA(TablaEquipos[Compite]),ROW()-7,"")</f>
        <v/>
      </c>
      <c r="B839" s="10" t="str">
        <f>IF(Tabla96[[#This Row],[Id]]="","",VLOOKUP(Tabla96[[#This Row],[Id]]+1,TablaEquipos[],3,FALSE))</f>
        <v/>
      </c>
      <c r="C839" s="45" t="str">
        <f>IF(Tabla96[[#This Row],[Id]]="","",VLOOKUP(Tabla96[[#This Row],[Id]]+1,TablaEquipos[],4,FALSE))</f>
        <v/>
      </c>
      <c r="D839" s="13" t="str">
        <f>IF(Tabla96[[#This Row],[Id]]="","",COUNTIF(TablaTiempos[Club],Tabla96[[#This Row],[Pos]]))</f>
        <v/>
      </c>
      <c r="E839" s="47" t="str">
        <f>IF(Tabla96[[#This Row],[Id]]="","",Tabla96[[#This Row],[Total Llegados a Meta]]/Tabla96[[#This Row],[Total Inscritos]])</f>
        <v/>
      </c>
      <c r="F83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39" s="43">
        <f ca="1">NOW()-'LOS TIEMPOS'!$K$2</f>
        <v>42368.075526157409</v>
      </c>
    </row>
    <row r="840" spans="1:8" x14ac:dyDescent="0.2">
      <c r="A840" s="13" t="str">
        <f>IF(ROW()-5&lt;=COUNTA(TablaEquipos[Compite]),ROW()-7,"")</f>
        <v/>
      </c>
      <c r="B840" s="10" t="str">
        <f>IF(Tabla96[[#This Row],[Id]]="","",VLOOKUP(Tabla96[[#This Row],[Id]]+1,TablaEquipos[],3,FALSE))</f>
        <v/>
      </c>
      <c r="C840" s="45" t="str">
        <f>IF(Tabla96[[#This Row],[Id]]="","",VLOOKUP(Tabla96[[#This Row],[Id]]+1,TablaEquipos[],4,FALSE))</f>
        <v/>
      </c>
      <c r="D840" s="13" t="str">
        <f>IF(Tabla96[[#This Row],[Id]]="","",COUNTIF(TablaTiempos[Club],Tabla96[[#This Row],[Pos]]))</f>
        <v/>
      </c>
      <c r="E840" s="47" t="str">
        <f>IF(Tabla96[[#This Row],[Id]]="","",Tabla96[[#This Row],[Total Llegados a Meta]]/Tabla96[[#This Row],[Total Inscritos]])</f>
        <v/>
      </c>
      <c r="F84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40" s="43">
        <f ca="1">NOW()-'LOS TIEMPOS'!$K$2</f>
        <v>42368.075526157409</v>
      </c>
    </row>
    <row r="841" spans="1:8" x14ac:dyDescent="0.2">
      <c r="A841" s="13" t="str">
        <f>IF(ROW()-5&lt;=COUNTA(TablaEquipos[Compite]),ROW()-7,"")</f>
        <v/>
      </c>
      <c r="B841" s="10" t="str">
        <f>IF(Tabla96[[#This Row],[Id]]="","",VLOOKUP(Tabla96[[#This Row],[Id]]+1,TablaEquipos[],3,FALSE))</f>
        <v/>
      </c>
      <c r="C841" s="45" t="str">
        <f>IF(Tabla96[[#This Row],[Id]]="","",VLOOKUP(Tabla96[[#This Row],[Id]]+1,TablaEquipos[],4,FALSE))</f>
        <v/>
      </c>
      <c r="D841" s="13" t="str">
        <f>IF(Tabla96[[#This Row],[Id]]="","",COUNTIF(TablaTiempos[Club],Tabla96[[#This Row],[Pos]]))</f>
        <v/>
      </c>
      <c r="E841" s="47" t="str">
        <f>IF(Tabla96[[#This Row],[Id]]="","",Tabla96[[#This Row],[Total Llegados a Meta]]/Tabla96[[#This Row],[Total Inscritos]])</f>
        <v/>
      </c>
      <c r="F84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41" s="43">
        <f ca="1">NOW()-'LOS TIEMPOS'!$K$2</f>
        <v>42368.075526157409</v>
      </c>
    </row>
    <row r="842" spans="1:8" x14ac:dyDescent="0.2">
      <c r="A842" s="13" t="str">
        <f>IF(ROW()-5&lt;=COUNTA(TablaEquipos[Compite]),ROW()-7,"")</f>
        <v/>
      </c>
      <c r="B842" s="10" t="str">
        <f>IF(Tabla96[[#This Row],[Id]]="","",VLOOKUP(Tabla96[[#This Row],[Id]]+1,TablaEquipos[],3,FALSE))</f>
        <v/>
      </c>
      <c r="C842" s="45" t="str">
        <f>IF(Tabla96[[#This Row],[Id]]="","",VLOOKUP(Tabla96[[#This Row],[Id]]+1,TablaEquipos[],4,FALSE))</f>
        <v/>
      </c>
      <c r="D842" s="13" t="str">
        <f>IF(Tabla96[[#This Row],[Id]]="","",COUNTIF(TablaTiempos[Club],Tabla96[[#This Row],[Pos]]))</f>
        <v/>
      </c>
      <c r="E842" s="47" t="str">
        <f>IF(Tabla96[[#This Row],[Id]]="","",Tabla96[[#This Row],[Total Llegados a Meta]]/Tabla96[[#This Row],[Total Inscritos]])</f>
        <v/>
      </c>
      <c r="F84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42" s="43">
        <f ca="1">NOW()-'LOS TIEMPOS'!$K$2</f>
        <v>42368.075526157409</v>
      </c>
    </row>
    <row r="843" spans="1:8" x14ac:dyDescent="0.2">
      <c r="A843" s="13" t="str">
        <f>IF(ROW()-5&lt;=COUNTA(TablaEquipos[Compite]),ROW()-7,"")</f>
        <v/>
      </c>
      <c r="B843" s="10" t="str">
        <f>IF(Tabla96[[#This Row],[Id]]="","",VLOOKUP(Tabla96[[#This Row],[Id]]+1,TablaEquipos[],3,FALSE))</f>
        <v/>
      </c>
      <c r="C843" s="45" t="str">
        <f>IF(Tabla96[[#This Row],[Id]]="","",VLOOKUP(Tabla96[[#This Row],[Id]]+1,TablaEquipos[],4,FALSE))</f>
        <v/>
      </c>
      <c r="D843" s="13" t="str">
        <f>IF(Tabla96[[#This Row],[Id]]="","",COUNTIF(TablaTiempos[Club],Tabla96[[#This Row],[Pos]]))</f>
        <v/>
      </c>
      <c r="E843" s="47" t="str">
        <f>IF(Tabla96[[#This Row],[Id]]="","",Tabla96[[#This Row],[Total Llegados a Meta]]/Tabla96[[#This Row],[Total Inscritos]])</f>
        <v/>
      </c>
      <c r="F84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43" s="43">
        <f ca="1">NOW()-'LOS TIEMPOS'!$K$2</f>
        <v>42368.075526157409</v>
      </c>
    </row>
    <row r="844" spans="1:8" x14ac:dyDescent="0.2">
      <c r="A844" s="13" t="str">
        <f>IF(ROW()-5&lt;=COUNTA(TablaEquipos[Compite]),ROW()-7,"")</f>
        <v/>
      </c>
      <c r="B844" s="10" t="str">
        <f>IF(Tabla96[[#This Row],[Id]]="","",VLOOKUP(Tabla96[[#This Row],[Id]]+1,TablaEquipos[],3,FALSE))</f>
        <v/>
      </c>
      <c r="C844" s="45" t="str">
        <f>IF(Tabla96[[#This Row],[Id]]="","",VLOOKUP(Tabla96[[#This Row],[Id]]+1,TablaEquipos[],4,FALSE))</f>
        <v/>
      </c>
      <c r="D844" s="13" t="str">
        <f>IF(Tabla96[[#This Row],[Id]]="","",COUNTIF(TablaTiempos[Club],Tabla96[[#This Row],[Pos]]))</f>
        <v/>
      </c>
      <c r="E844" s="47" t="str">
        <f>IF(Tabla96[[#This Row],[Id]]="","",Tabla96[[#This Row],[Total Llegados a Meta]]/Tabla96[[#This Row],[Total Inscritos]])</f>
        <v/>
      </c>
      <c r="F84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44" s="43">
        <f ca="1">NOW()-'LOS TIEMPOS'!$K$2</f>
        <v>42368.075526157409</v>
      </c>
    </row>
    <row r="845" spans="1:8" x14ac:dyDescent="0.2">
      <c r="A845" s="13" t="str">
        <f>IF(ROW()-5&lt;=COUNTA(TablaEquipos[Compite]),ROW()-7,"")</f>
        <v/>
      </c>
      <c r="B845" s="10" t="str">
        <f>IF(Tabla96[[#This Row],[Id]]="","",VLOOKUP(Tabla96[[#This Row],[Id]]+1,TablaEquipos[],3,FALSE))</f>
        <v/>
      </c>
      <c r="C845" s="45" t="str">
        <f>IF(Tabla96[[#This Row],[Id]]="","",VLOOKUP(Tabla96[[#This Row],[Id]]+1,TablaEquipos[],4,FALSE))</f>
        <v/>
      </c>
      <c r="D845" s="13" t="str">
        <f>IF(Tabla96[[#This Row],[Id]]="","",COUNTIF(TablaTiempos[Club],Tabla96[[#This Row],[Pos]]))</f>
        <v/>
      </c>
      <c r="E845" s="47" t="str">
        <f>IF(Tabla96[[#This Row],[Id]]="","",Tabla96[[#This Row],[Total Llegados a Meta]]/Tabla96[[#This Row],[Total Inscritos]])</f>
        <v/>
      </c>
      <c r="F84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45" s="43">
        <f ca="1">NOW()-'LOS TIEMPOS'!$K$2</f>
        <v>42368.075526157409</v>
      </c>
    </row>
    <row r="846" spans="1:8" x14ac:dyDescent="0.2">
      <c r="A846" s="13" t="str">
        <f>IF(ROW()-5&lt;=COUNTA(TablaEquipos[Compite]),ROW()-7,"")</f>
        <v/>
      </c>
      <c r="B846" s="10" t="str">
        <f>IF(Tabla96[[#This Row],[Id]]="","",VLOOKUP(Tabla96[[#This Row],[Id]]+1,TablaEquipos[],3,FALSE))</f>
        <v/>
      </c>
      <c r="C846" s="45" t="str">
        <f>IF(Tabla96[[#This Row],[Id]]="","",VLOOKUP(Tabla96[[#This Row],[Id]]+1,TablaEquipos[],4,FALSE))</f>
        <v/>
      </c>
      <c r="D846" s="13" t="str">
        <f>IF(Tabla96[[#This Row],[Id]]="","",COUNTIF(TablaTiempos[Club],Tabla96[[#This Row],[Pos]]))</f>
        <v/>
      </c>
      <c r="E846" s="47" t="str">
        <f>IF(Tabla96[[#This Row],[Id]]="","",Tabla96[[#This Row],[Total Llegados a Meta]]/Tabla96[[#This Row],[Total Inscritos]])</f>
        <v/>
      </c>
      <c r="F84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46" s="43">
        <f ca="1">NOW()-'LOS TIEMPOS'!$K$2</f>
        <v>42368.075526157409</v>
      </c>
    </row>
    <row r="847" spans="1:8" x14ac:dyDescent="0.2">
      <c r="A847" s="13" t="str">
        <f>IF(ROW()-5&lt;=COUNTA(TablaEquipos[Compite]),ROW()-7,"")</f>
        <v/>
      </c>
      <c r="B847" s="10" t="str">
        <f>IF(Tabla96[[#This Row],[Id]]="","",VLOOKUP(Tabla96[[#This Row],[Id]]+1,TablaEquipos[],3,FALSE))</f>
        <v/>
      </c>
      <c r="C847" s="45" t="str">
        <f>IF(Tabla96[[#This Row],[Id]]="","",VLOOKUP(Tabla96[[#This Row],[Id]]+1,TablaEquipos[],4,FALSE))</f>
        <v/>
      </c>
      <c r="D847" s="13" t="str">
        <f>IF(Tabla96[[#This Row],[Id]]="","",COUNTIF(TablaTiempos[Club],Tabla96[[#This Row],[Pos]]))</f>
        <v/>
      </c>
      <c r="E847" s="47" t="str">
        <f>IF(Tabla96[[#This Row],[Id]]="","",Tabla96[[#This Row],[Total Llegados a Meta]]/Tabla96[[#This Row],[Total Inscritos]])</f>
        <v/>
      </c>
      <c r="F84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47" s="43">
        <f ca="1">NOW()-'LOS TIEMPOS'!$K$2</f>
        <v>42368.075526157409</v>
      </c>
    </row>
    <row r="848" spans="1:8" x14ac:dyDescent="0.2">
      <c r="A848" s="13" t="str">
        <f>IF(ROW()-5&lt;=COUNTA(TablaEquipos[Compite]),ROW()-7,"")</f>
        <v/>
      </c>
      <c r="B848" s="10" t="str">
        <f>IF(Tabla96[[#This Row],[Id]]="","",VLOOKUP(Tabla96[[#This Row],[Id]]+1,TablaEquipos[],3,FALSE))</f>
        <v/>
      </c>
      <c r="C848" s="45" t="str">
        <f>IF(Tabla96[[#This Row],[Id]]="","",VLOOKUP(Tabla96[[#This Row],[Id]]+1,TablaEquipos[],4,FALSE))</f>
        <v/>
      </c>
      <c r="D848" s="13" t="str">
        <f>IF(Tabla96[[#This Row],[Id]]="","",COUNTIF(TablaTiempos[Club],Tabla96[[#This Row],[Pos]]))</f>
        <v/>
      </c>
      <c r="E848" s="47" t="str">
        <f>IF(Tabla96[[#This Row],[Id]]="","",Tabla96[[#This Row],[Total Llegados a Meta]]/Tabla96[[#This Row],[Total Inscritos]])</f>
        <v/>
      </c>
      <c r="F84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48" s="43">
        <f ca="1">NOW()-'LOS TIEMPOS'!$K$2</f>
        <v>42368.075526157409</v>
      </c>
    </row>
    <row r="849" spans="1:8" x14ac:dyDescent="0.2">
      <c r="A849" s="13" t="str">
        <f>IF(ROW()-5&lt;=COUNTA(TablaEquipos[Compite]),ROW()-7,"")</f>
        <v/>
      </c>
      <c r="B849" s="10" t="str">
        <f>IF(Tabla96[[#This Row],[Id]]="","",VLOOKUP(Tabla96[[#This Row],[Id]]+1,TablaEquipos[],3,FALSE))</f>
        <v/>
      </c>
      <c r="C849" s="45" t="str">
        <f>IF(Tabla96[[#This Row],[Id]]="","",VLOOKUP(Tabla96[[#This Row],[Id]]+1,TablaEquipos[],4,FALSE))</f>
        <v/>
      </c>
      <c r="D849" s="13" t="str">
        <f>IF(Tabla96[[#This Row],[Id]]="","",COUNTIF(TablaTiempos[Club],Tabla96[[#This Row],[Pos]]))</f>
        <v/>
      </c>
      <c r="E849" s="47" t="str">
        <f>IF(Tabla96[[#This Row],[Id]]="","",Tabla96[[#This Row],[Total Llegados a Meta]]/Tabla96[[#This Row],[Total Inscritos]])</f>
        <v/>
      </c>
      <c r="F84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49" s="43">
        <f ca="1">NOW()-'LOS TIEMPOS'!$K$2</f>
        <v>42368.075526157409</v>
      </c>
    </row>
    <row r="850" spans="1:8" x14ac:dyDescent="0.2">
      <c r="A850" s="13" t="str">
        <f>IF(ROW()-5&lt;=COUNTA(TablaEquipos[Compite]),ROW()-7,"")</f>
        <v/>
      </c>
      <c r="B850" s="10" t="str">
        <f>IF(Tabla96[[#This Row],[Id]]="","",VLOOKUP(Tabla96[[#This Row],[Id]]+1,TablaEquipos[],3,FALSE))</f>
        <v/>
      </c>
      <c r="C850" s="45" t="str">
        <f>IF(Tabla96[[#This Row],[Id]]="","",VLOOKUP(Tabla96[[#This Row],[Id]]+1,TablaEquipos[],4,FALSE))</f>
        <v/>
      </c>
      <c r="D850" s="13" t="str">
        <f>IF(Tabla96[[#This Row],[Id]]="","",COUNTIF(TablaTiempos[Club],Tabla96[[#This Row],[Pos]]))</f>
        <v/>
      </c>
      <c r="E850" s="47" t="str">
        <f>IF(Tabla96[[#This Row],[Id]]="","",Tabla96[[#This Row],[Total Llegados a Meta]]/Tabla96[[#This Row],[Total Inscritos]])</f>
        <v/>
      </c>
      <c r="F85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50" s="43">
        <f ca="1">NOW()-'LOS TIEMPOS'!$K$2</f>
        <v>42368.075526157409</v>
      </c>
    </row>
    <row r="851" spans="1:8" x14ac:dyDescent="0.2">
      <c r="A851" s="13" t="str">
        <f>IF(ROW()-5&lt;=COUNTA(TablaEquipos[Compite]),ROW()-7,"")</f>
        <v/>
      </c>
      <c r="B851" s="10" t="str">
        <f>IF(Tabla96[[#This Row],[Id]]="","",VLOOKUP(Tabla96[[#This Row],[Id]]+1,TablaEquipos[],3,FALSE))</f>
        <v/>
      </c>
      <c r="C851" s="45" t="str">
        <f>IF(Tabla96[[#This Row],[Id]]="","",VLOOKUP(Tabla96[[#This Row],[Id]]+1,TablaEquipos[],4,FALSE))</f>
        <v/>
      </c>
      <c r="D851" s="13" t="str">
        <f>IF(Tabla96[[#This Row],[Id]]="","",COUNTIF(TablaTiempos[Club],Tabla96[[#This Row],[Pos]]))</f>
        <v/>
      </c>
      <c r="E851" s="47" t="str">
        <f>IF(Tabla96[[#This Row],[Id]]="","",Tabla96[[#This Row],[Total Llegados a Meta]]/Tabla96[[#This Row],[Total Inscritos]])</f>
        <v/>
      </c>
      <c r="F85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51" s="43">
        <f ca="1">NOW()-'LOS TIEMPOS'!$K$2</f>
        <v>42368.075526157409</v>
      </c>
    </row>
    <row r="852" spans="1:8" x14ac:dyDescent="0.2">
      <c r="A852" s="13" t="str">
        <f>IF(ROW()-5&lt;=COUNTA(TablaEquipos[Compite]),ROW()-7,"")</f>
        <v/>
      </c>
      <c r="B852" s="10" t="str">
        <f>IF(Tabla96[[#This Row],[Id]]="","",VLOOKUP(Tabla96[[#This Row],[Id]]+1,TablaEquipos[],3,FALSE))</f>
        <v/>
      </c>
      <c r="C852" s="45" t="str">
        <f>IF(Tabla96[[#This Row],[Id]]="","",VLOOKUP(Tabla96[[#This Row],[Id]]+1,TablaEquipos[],4,FALSE))</f>
        <v/>
      </c>
      <c r="D852" s="13" t="str">
        <f>IF(Tabla96[[#This Row],[Id]]="","",COUNTIF(TablaTiempos[Club],Tabla96[[#This Row],[Pos]]))</f>
        <v/>
      </c>
      <c r="E852" s="47" t="str">
        <f>IF(Tabla96[[#This Row],[Id]]="","",Tabla96[[#This Row],[Total Llegados a Meta]]/Tabla96[[#This Row],[Total Inscritos]])</f>
        <v/>
      </c>
      <c r="F85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52" s="43">
        <f ca="1">NOW()-'LOS TIEMPOS'!$K$2</f>
        <v>42368.075526157409</v>
      </c>
    </row>
    <row r="853" spans="1:8" x14ac:dyDescent="0.2">
      <c r="A853" s="13" t="str">
        <f>IF(ROW()-5&lt;=COUNTA(TablaEquipos[Compite]),ROW()-7,"")</f>
        <v/>
      </c>
      <c r="B853" s="10" t="str">
        <f>IF(Tabla96[[#This Row],[Id]]="","",VLOOKUP(Tabla96[[#This Row],[Id]]+1,TablaEquipos[],3,FALSE))</f>
        <v/>
      </c>
      <c r="C853" s="45" t="str">
        <f>IF(Tabla96[[#This Row],[Id]]="","",VLOOKUP(Tabla96[[#This Row],[Id]]+1,TablaEquipos[],4,FALSE))</f>
        <v/>
      </c>
      <c r="D853" s="13" t="str">
        <f>IF(Tabla96[[#This Row],[Id]]="","",COUNTIF(TablaTiempos[Club],Tabla96[[#This Row],[Pos]]))</f>
        <v/>
      </c>
      <c r="E853" s="47" t="str">
        <f>IF(Tabla96[[#This Row],[Id]]="","",Tabla96[[#This Row],[Total Llegados a Meta]]/Tabla96[[#This Row],[Total Inscritos]])</f>
        <v/>
      </c>
      <c r="F85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53" s="43">
        <f ca="1">NOW()-'LOS TIEMPOS'!$K$2</f>
        <v>42368.075526157409</v>
      </c>
    </row>
    <row r="854" spans="1:8" x14ac:dyDescent="0.2">
      <c r="A854" s="13" t="str">
        <f>IF(ROW()-5&lt;=COUNTA(TablaEquipos[Compite]),ROW()-7,"")</f>
        <v/>
      </c>
      <c r="B854" s="10" t="str">
        <f>IF(Tabla96[[#This Row],[Id]]="","",VLOOKUP(Tabla96[[#This Row],[Id]]+1,TablaEquipos[],3,FALSE))</f>
        <v/>
      </c>
      <c r="C854" s="45" t="str">
        <f>IF(Tabla96[[#This Row],[Id]]="","",VLOOKUP(Tabla96[[#This Row],[Id]]+1,TablaEquipos[],4,FALSE))</f>
        <v/>
      </c>
      <c r="D854" s="13" t="str">
        <f>IF(Tabla96[[#This Row],[Id]]="","",COUNTIF(TablaTiempos[Club],Tabla96[[#This Row],[Pos]]))</f>
        <v/>
      </c>
      <c r="E854" s="47" t="str">
        <f>IF(Tabla96[[#This Row],[Id]]="","",Tabla96[[#This Row],[Total Llegados a Meta]]/Tabla96[[#This Row],[Total Inscritos]])</f>
        <v/>
      </c>
      <c r="F85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54" s="43">
        <f ca="1">NOW()-'LOS TIEMPOS'!$K$2</f>
        <v>42368.075526157409</v>
      </c>
    </row>
    <row r="855" spans="1:8" x14ac:dyDescent="0.2">
      <c r="A855" s="13" t="str">
        <f>IF(ROW()-5&lt;=COUNTA(TablaEquipos[Compite]),ROW()-7,"")</f>
        <v/>
      </c>
      <c r="B855" s="10" t="str">
        <f>IF(Tabla96[[#This Row],[Id]]="","",VLOOKUP(Tabla96[[#This Row],[Id]]+1,TablaEquipos[],3,FALSE))</f>
        <v/>
      </c>
      <c r="C855" s="45" t="str">
        <f>IF(Tabla96[[#This Row],[Id]]="","",VLOOKUP(Tabla96[[#This Row],[Id]]+1,TablaEquipos[],4,FALSE))</f>
        <v/>
      </c>
      <c r="D855" s="13" t="str">
        <f>IF(Tabla96[[#This Row],[Id]]="","",COUNTIF(TablaTiempos[Club],Tabla96[[#This Row],[Pos]]))</f>
        <v/>
      </c>
      <c r="E855" s="47" t="str">
        <f>IF(Tabla96[[#This Row],[Id]]="","",Tabla96[[#This Row],[Total Llegados a Meta]]/Tabla96[[#This Row],[Total Inscritos]])</f>
        <v/>
      </c>
      <c r="F85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55" s="43">
        <f ca="1">NOW()-'LOS TIEMPOS'!$K$2</f>
        <v>42368.075526157409</v>
      </c>
    </row>
    <row r="856" spans="1:8" x14ac:dyDescent="0.2">
      <c r="A856" s="13" t="str">
        <f>IF(ROW()-5&lt;=COUNTA(TablaEquipos[Compite]),ROW()-7,"")</f>
        <v/>
      </c>
      <c r="B856" s="10" t="str">
        <f>IF(Tabla96[[#This Row],[Id]]="","",VLOOKUP(Tabla96[[#This Row],[Id]]+1,TablaEquipos[],3,FALSE))</f>
        <v/>
      </c>
      <c r="C856" s="45" t="str">
        <f>IF(Tabla96[[#This Row],[Id]]="","",VLOOKUP(Tabla96[[#This Row],[Id]]+1,TablaEquipos[],4,FALSE))</f>
        <v/>
      </c>
      <c r="D856" s="13" t="str">
        <f>IF(Tabla96[[#This Row],[Id]]="","",COUNTIF(TablaTiempos[Club],Tabla96[[#This Row],[Pos]]))</f>
        <v/>
      </c>
      <c r="E856" s="47" t="str">
        <f>IF(Tabla96[[#This Row],[Id]]="","",Tabla96[[#This Row],[Total Llegados a Meta]]/Tabla96[[#This Row],[Total Inscritos]])</f>
        <v/>
      </c>
      <c r="F85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56" s="43">
        <f ca="1">NOW()-'LOS TIEMPOS'!$K$2</f>
        <v>42368.075526157409</v>
      </c>
    </row>
    <row r="857" spans="1:8" x14ac:dyDescent="0.2">
      <c r="A857" s="13" t="str">
        <f>IF(ROW()-5&lt;=COUNTA(TablaEquipos[Compite]),ROW()-7,"")</f>
        <v/>
      </c>
      <c r="B857" s="10" t="str">
        <f>IF(Tabla96[[#This Row],[Id]]="","",VLOOKUP(Tabla96[[#This Row],[Id]]+1,TablaEquipos[],3,FALSE))</f>
        <v/>
      </c>
      <c r="C857" s="45" t="str">
        <f>IF(Tabla96[[#This Row],[Id]]="","",VLOOKUP(Tabla96[[#This Row],[Id]]+1,TablaEquipos[],4,FALSE))</f>
        <v/>
      </c>
      <c r="D857" s="13" t="str">
        <f>IF(Tabla96[[#This Row],[Id]]="","",COUNTIF(TablaTiempos[Club],Tabla96[[#This Row],[Pos]]))</f>
        <v/>
      </c>
      <c r="E857" s="47" t="str">
        <f>IF(Tabla96[[#This Row],[Id]]="","",Tabla96[[#This Row],[Total Llegados a Meta]]/Tabla96[[#This Row],[Total Inscritos]])</f>
        <v/>
      </c>
      <c r="F85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57" s="43">
        <f ca="1">NOW()-'LOS TIEMPOS'!$K$2</f>
        <v>42368.075526157409</v>
      </c>
    </row>
    <row r="858" spans="1:8" x14ac:dyDescent="0.2">
      <c r="A858" s="13" t="str">
        <f>IF(ROW()-5&lt;=COUNTA(TablaEquipos[Compite]),ROW()-7,"")</f>
        <v/>
      </c>
      <c r="B858" s="10" t="str">
        <f>IF(Tabla96[[#This Row],[Id]]="","",VLOOKUP(Tabla96[[#This Row],[Id]]+1,TablaEquipos[],3,FALSE))</f>
        <v/>
      </c>
      <c r="C858" s="45" t="str">
        <f>IF(Tabla96[[#This Row],[Id]]="","",VLOOKUP(Tabla96[[#This Row],[Id]]+1,TablaEquipos[],4,FALSE))</f>
        <v/>
      </c>
      <c r="D858" s="13" t="str">
        <f>IF(Tabla96[[#This Row],[Id]]="","",COUNTIF(TablaTiempos[Club],Tabla96[[#This Row],[Pos]]))</f>
        <v/>
      </c>
      <c r="E858" s="47" t="str">
        <f>IF(Tabla96[[#This Row],[Id]]="","",Tabla96[[#This Row],[Total Llegados a Meta]]/Tabla96[[#This Row],[Total Inscritos]])</f>
        <v/>
      </c>
      <c r="F85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58" s="43">
        <f ca="1">NOW()-'LOS TIEMPOS'!$K$2</f>
        <v>42368.075526157409</v>
      </c>
    </row>
    <row r="859" spans="1:8" x14ac:dyDescent="0.2">
      <c r="A859" s="13" t="str">
        <f>IF(ROW()-5&lt;=COUNTA(TablaEquipos[Compite]),ROW()-7,"")</f>
        <v/>
      </c>
      <c r="B859" s="10" t="str">
        <f>IF(Tabla96[[#This Row],[Id]]="","",VLOOKUP(Tabla96[[#This Row],[Id]]+1,TablaEquipos[],3,FALSE))</f>
        <v/>
      </c>
      <c r="C859" s="45" t="str">
        <f>IF(Tabla96[[#This Row],[Id]]="","",VLOOKUP(Tabla96[[#This Row],[Id]]+1,TablaEquipos[],4,FALSE))</f>
        <v/>
      </c>
      <c r="D859" s="13" t="str">
        <f>IF(Tabla96[[#This Row],[Id]]="","",COUNTIF(TablaTiempos[Club],Tabla96[[#This Row],[Pos]]))</f>
        <v/>
      </c>
      <c r="E859" s="47" t="str">
        <f>IF(Tabla96[[#This Row],[Id]]="","",Tabla96[[#This Row],[Total Llegados a Meta]]/Tabla96[[#This Row],[Total Inscritos]])</f>
        <v/>
      </c>
      <c r="F85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59" s="43">
        <f ca="1">NOW()-'LOS TIEMPOS'!$K$2</f>
        <v>42368.075526157409</v>
      </c>
    </row>
    <row r="860" spans="1:8" x14ac:dyDescent="0.2">
      <c r="A860" s="13" t="str">
        <f>IF(ROW()-5&lt;=COUNTA(TablaEquipos[Compite]),ROW()-7,"")</f>
        <v/>
      </c>
      <c r="B860" s="10" t="str">
        <f>IF(Tabla96[[#This Row],[Id]]="","",VLOOKUP(Tabla96[[#This Row],[Id]]+1,TablaEquipos[],3,FALSE))</f>
        <v/>
      </c>
      <c r="C860" s="45" t="str">
        <f>IF(Tabla96[[#This Row],[Id]]="","",VLOOKUP(Tabla96[[#This Row],[Id]]+1,TablaEquipos[],4,FALSE))</f>
        <v/>
      </c>
      <c r="D860" s="13" t="str">
        <f>IF(Tabla96[[#This Row],[Id]]="","",COUNTIF(TablaTiempos[Club],Tabla96[[#This Row],[Pos]]))</f>
        <v/>
      </c>
      <c r="E860" s="47" t="str">
        <f>IF(Tabla96[[#This Row],[Id]]="","",Tabla96[[#This Row],[Total Llegados a Meta]]/Tabla96[[#This Row],[Total Inscritos]])</f>
        <v/>
      </c>
      <c r="F86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60" s="43">
        <f ca="1">NOW()-'LOS TIEMPOS'!$K$2</f>
        <v>42368.075526157409</v>
      </c>
    </row>
    <row r="861" spans="1:8" x14ac:dyDescent="0.2">
      <c r="A861" s="13" t="str">
        <f>IF(ROW()-5&lt;=COUNTA(TablaEquipos[Compite]),ROW()-7,"")</f>
        <v/>
      </c>
      <c r="B861" s="10" t="str">
        <f>IF(Tabla96[[#This Row],[Id]]="","",VLOOKUP(Tabla96[[#This Row],[Id]]+1,TablaEquipos[],3,FALSE))</f>
        <v/>
      </c>
      <c r="C861" s="45" t="str">
        <f>IF(Tabla96[[#This Row],[Id]]="","",VLOOKUP(Tabla96[[#This Row],[Id]]+1,TablaEquipos[],4,FALSE))</f>
        <v/>
      </c>
      <c r="D861" s="13" t="str">
        <f>IF(Tabla96[[#This Row],[Id]]="","",COUNTIF(TablaTiempos[Club],Tabla96[[#This Row],[Pos]]))</f>
        <v/>
      </c>
      <c r="E861" s="47" t="str">
        <f>IF(Tabla96[[#This Row],[Id]]="","",Tabla96[[#This Row],[Total Llegados a Meta]]/Tabla96[[#This Row],[Total Inscritos]])</f>
        <v/>
      </c>
      <c r="F86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61" s="43">
        <f ca="1">NOW()-'LOS TIEMPOS'!$K$2</f>
        <v>42368.075526157409</v>
      </c>
    </row>
    <row r="862" spans="1:8" x14ac:dyDescent="0.2">
      <c r="A862" s="13" t="str">
        <f>IF(ROW()-5&lt;=COUNTA(TablaEquipos[Compite]),ROW()-7,"")</f>
        <v/>
      </c>
      <c r="B862" s="10" t="str">
        <f>IF(Tabla96[[#This Row],[Id]]="","",VLOOKUP(Tabla96[[#This Row],[Id]]+1,TablaEquipos[],3,FALSE))</f>
        <v/>
      </c>
      <c r="C862" s="45" t="str">
        <f>IF(Tabla96[[#This Row],[Id]]="","",VLOOKUP(Tabla96[[#This Row],[Id]]+1,TablaEquipos[],4,FALSE))</f>
        <v/>
      </c>
      <c r="D862" s="13" t="str">
        <f>IF(Tabla96[[#This Row],[Id]]="","",COUNTIF(TablaTiempos[Club],Tabla96[[#This Row],[Pos]]))</f>
        <v/>
      </c>
      <c r="E862" s="47" t="str">
        <f>IF(Tabla96[[#This Row],[Id]]="","",Tabla96[[#This Row],[Total Llegados a Meta]]/Tabla96[[#This Row],[Total Inscritos]])</f>
        <v/>
      </c>
      <c r="F86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62" s="43">
        <f ca="1">NOW()-'LOS TIEMPOS'!$K$2</f>
        <v>42368.075526157409</v>
      </c>
    </row>
    <row r="863" spans="1:8" x14ac:dyDescent="0.2">
      <c r="A863" s="13" t="str">
        <f>IF(ROW()-5&lt;=COUNTA(TablaEquipos[Compite]),ROW()-7,"")</f>
        <v/>
      </c>
      <c r="B863" s="10" t="str">
        <f>IF(Tabla96[[#This Row],[Id]]="","",VLOOKUP(Tabla96[[#This Row],[Id]]+1,TablaEquipos[],3,FALSE))</f>
        <v/>
      </c>
      <c r="C863" s="45" t="str">
        <f>IF(Tabla96[[#This Row],[Id]]="","",VLOOKUP(Tabla96[[#This Row],[Id]]+1,TablaEquipos[],4,FALSE))</f>
        <v/>
      </c>
      <c r="D863" s="13" t="str">
        <f>IF(Tabla96[[#This Row],[Id]]="","",COUNTIF(TablaTiempos[Club],Tabla96[[#This Row],[Pos]]))</f>
        <v/>
      </c>
      <c r="E863" s="47" t="str">
        <f>IF(Tabla96[[#This Row],[Id]]="","",Tabla96[[#This Row],[Total Llegados a Meta]]/Tabla96[[#This Row],[Total Inscritos]])</f>
        <v/>
      </c>
      <c r="F86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63" s="43">
        <f ca="1">NOW()-'LOS TIEMPOS'!$K$2</f>
        <v>42368.075526157409</v>
      </c>
    </row>
    <row r="864" spans="1:8" x14ac:dyDescent="0.2">
      <c r="A864" s="13" t="str">
        <f>IF(ROW()-5&lt;=COUNTA(TablaEquipos[Compite]),ROW()-7,"")</f>
        <v/>
      </c>
      <c r="B864" s="10" t="str">
        <f>IF(Tabla96[[#This Row],[Id]]="","",VLOOKUP(Tabla96[[#This Row],[Id]]+1,TablaEquipos[],3,FALSE))</f>
        <v/>
      </c>
      <c r="C864" s="45" t="str">
        <f>IF(Tabla96[[#This Row],[Id]]="","",VLOOKUP(Tabla96[[#This Row],[Id]]+1,TablaEquipos[],4,FALSE))</f>
        <v/>
      </c>
      <c r="D864" s="13" t="str">
        <f>IF(Tabla96[[#This Row],[Id]]="","",COUNTIF(TablaTiempos[Club],Tabla96[[#This Row],[Pos]]))</f>
        <v/>
      </c>
      <c r="E864" s="47" t="str">
        <f>IF(Tabla96[[#This Row],[Id]]="","",Tabla96[[#This Row],[Total Llegados a Meta]]/Tabla96[[#This Row],[Total Inscritos]])</f>
        <v/>
      </c>
      <c r="F86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64" s="43">
        <f ca="1">NOW()-'LOS TIEMPOS'!$K$2</f>
        <v>42368.075526157409</v>
      </c>
    </row>
    <row r="865" spans="1:8" x14ac:dyDescent="0.2">
      <c r="A865" s="13" t="str">
        <f>IF(ROW()-5&lt;=COUNTA(TablaEquipos[Compite]),ROW()-7,"")</f>
        <v/>
      </c>
      <c r="B865" s="10" t="str">
        <f>IF(Tabla96[[#This Row],[Id]]="","",VLOOKUP(Tabla96[[#This Row],[Id]]+1,TablaEquipos[],3,FALSE))</f>
        <v/>
      </c>
      <c r="C865" s="45" t="str">
        <f>IF(Tabla96[[#This Row],[Id]]="","",VLOOKUP(Tabla96[[#This Row],[Id]]+1,TablaEquipos[],4,FALSE))</f>
        <v/>
      </c>
      <c r="D865" s="13" t="str">
        <f>IF(Tabla96[[#This Row],[Id]]="","",COUNTIF(TablaTiempos[Club],Tabla96[[#This Row],[Pos]]))</f>
        <v/>
      </c>
      <c r="E865" s="47" t="str">
        <f>IF(Tabla96[[#This Row],[Id]]="","",Tabla96[[#This Row],[Total Llegados a Meta]]/Tabla96[[#This Row],[Total Inscritos]])</f>
        <v/>
      </c>
      <c r="F86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65" s="43">
        <f ca="1">NOW()-'LOS TIEMPOS'!$K$2</f>
        <v>42368.075526157409</v>
      </c>
    </row>
    <row r="866" spans="1:8" x14ac:dyDescent="0.2">
      <c r="A866" s="13" t="str">
        <f>IF(ROW()-5&lt;=COUNTA(TablaEquipos[Compite]),ROW()-7,"")</f>
        <v/>
      </c>
      <c r="B866" s="10" t="str">
        <f>IF(Tabla96[[#This Row],[Id]]="","",VLOOKUP(Tabla96[[#This Row],[Id]]+1,TablaEquipos[],3,FALSE))</f>
        <v/>
      </c>
      <c r="C866" s="45" t="str">
        <f>IF(Tabla96[[#This Row],[Id]]="","",VLOOKUP(Tabla96[[#This Row],[Id]]+1,TablaEquipos[],4,FALSE))</f>
        <v/>
      </c>
      <c r="D866" s="13" t="str">
        <f>IF(Tabla96[[#This Row],[Id]]="","",COUNTIF(TablaTiempos[Club],Tabla96[[#This Row],[Pos]]))</f>
        <v/>
      </c>
      <c r="E866" s="47" t="str">
        <f>IF(Tabla96[[#This Row],[Id]]="","",Tabla96[[#This Row],[Total Llegados a Meta]]/Tabla96[[#This Row],[Total Inscritos]])</f>
        <v/>
      </c>
      <c r="F86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66" s="43">
        <f ca="1">NOW()-'LOS TIEMPOS'!$K$2</f>
        <v>42368.075526157409</v>
      </c>
    </row>
    <row r="867" spans="1:8" x14ac:dyDescent="0.2">
      <c r="A867" s="13" t="str">
        <f>IF(ROW()-5&lt;=COUNTA(TablaEquipos[Compite]),ROW()-7,"")</f>
        <v/>
      </c>
      <c r="B867" s="10" t="str">
        <f>IF(Tabla96[[#This Row],[Id]]="","",VLOOKUP(Tabla96[[#This Row],[Id]]+1,TablaEquipos[],3,FALSE))</f>
        <v/>
      </c>
      <c r="C867" s="45" t="str">
        <f>IF(Tabla96[[#This Row],[Id]]="","",VLOOKUP(Tabla96[[#This Row],[Id]]+1,TablaEquipos[],4,FALSE))</f>
        <v/>
      </c>
      <c r="D867" s="13" t="str">
        <f>IF(Tabla96[[#This Row],[Id]]="","",COUNTIF(TablaTiempos[Club],Tabla96[[#This Row],[Pos]]))</f>
        <v/>
      </c>
      <c r="E867" s="47" t="str">
        <f>IF(Tabla96[[#This Row],[Id]]="","",Tabla96[[#This Row],[Total Llegados a Meta]]/Tabla96[[#This Row],[Total Inscritos]])</f>
        <v/>
      </c>
      <c r="F86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67" s="43">
        <f ca="1">NOW()-'LOS TIEMPOS'!$K$2</f>
        <v>42368.075526157409</v>
      </c>
    </row>
    <row r="868" spans="1:8" x14ac:dyDescent="0.2">
      <c r="A868" s="13" t="str">
        <f>IF(ROW()-5&lt;=COUNTA(TablaEquipos[Compite]),ROW()-7,"")</f>
        <v/>
      </c>
      <c r="B868" s="10" t="str">
        <f>IF(Tabla96[[#This Row],[Id]]="","",VLOOKUP(Tabla96[[#This Row],[Id]]+1,TablaEquipos[],3,FALSE))</f>
        <v/>
      </c>
      <c r="C868" s="45" t="str">
        <f>IF(Tabla96[[#This Row],[Id]]="","",VLOOKUP(Tabla96[[#This Row],[Id]]+1,TablaEquipos[],4,FALSE))</f>
        <v/>
      </c>
      <c r="D868" s="13" t="str">
        <f>IF(Tabla96[[#This Row],[Id]]="","",COUNTIF(TablaTiempos[Club],Tabla96[[#This Row],[Pos]]))</f>
        <v/>
      </c>
      <c r="E868" s="47" t="str">
        <f>IF(Tabla96[[#This Row],[Id]]="","",Tabla96[[#This Row],[Total Llegados a Meta]]/Tabla96[[#This Row],[Total Inscritos]])</f>
        <v/>
      </c>
      <c r="F86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68" s="43">
        <f ca="1">NOW()-'LOS TIEMPOS'!$K$2</f>
        <v>42368.075526157409</v>
      </c>
    </row>
    <row r="869" spans="1:8" x14ac:dyDescent="0.2">
      <c r="A869" s="13" t="str">
        <f>IF(ROW()-5&lt;=COUNTA(TablaEquipos[Compite]),ROW()-7,"")</f>
        <v/>
      </c>
      <c r="B869" s="10" t="str">
        <f>IF(Tabla96[[#This Row],[Id]]="","",VLOOKUP(Tabla96[[#This Row],[Id]]+1,TablaEquipos[],3,FALSE))</f>
        <v/>
      </c>
      <c r="C869" s="45" t="str">
        <f>IF(Tabla96[[#This Row],[Id]]="","",VLOOKUP(Tabla96[[#This Row],[Id]]+1,TablaEquipos[],4,FALSE))</f>
        <v/>
      </c>
      <c r="D869" s="13" t="str">
        <f>IF(Tabla96[[#This Row],[Id]]="","",COUNTIF(TablaTiempos[Club],Tabla96[[#This Row],[Pos]]))</f>
        <v/>
      </c>
      <c r="E869" s="47" t="str">
        <f>IF(Tabla96[[#This Row],[Id]]="","",Tabla96[[#This Row],[Total Llegados a Meta]]/Tabla96[[#This Row],[Total Inscritos]])</f>
        <v/>
      </c>
      <c r="F86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69" s="43">
        <f ca="1">NOW()-'LOS TIEMPOS'!$K$2</f>
        <v>42368.075526157409</v>
      </c>
    </row>
    <row r="870" spans="1:8" x14ac:dyDescent="0.2">
      <c r="A870" s="13" t="str">
        <f>IF(ROW()-5&lt;=COUNTA(TablaEquipos[Compite]),ROW()-7,"")</f>
        <v/>
      </c>
      <c r="B870" s="10" t="str">
        <f>IF(Tabla96[[#This Row],[Id]]="","",VLOOKUP(Tabla96[[#This Row],[Id]]+1,TablaEquipos[],3,FALSE))</f>
        <v/>
      </c>
      <c r="C870" s="45" t="str">
        <f>IF(Tabla96[[#This Row],[Id]]="","",VLOOKUP(Tabla96[[#This Row],[Id]]+1,TablaEquipos[],4,FALSE))</f>
        <v/>
      </c>
      <c r="D870" s="13" t="str">
        <f>IF(Tabla96[[#This Row],[Id]]="","",COUNTIF(TablaTiempos[Club],Tabla96[[#This Row],[Pos]]))</f>
        <v/>
      </c>
      <c r="E870" s="47" t="str">
        <f>IF(Tabla96[[#This Row],[Id]]="","",Tabla96[[#This Row],[Total Llegados a Meta]]/Tabla96[[#This Row],[Total Inscritos]])</f>
        <v/>
      </c>
      <c r="F87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70" s="43">
        <f ca="1">NOW()-'LOS TIEMPOS'!$K$2</f>
        <v>42368.075526157409</v>
      </c>
    </row>
    <row r="871" spans="1:8" x14ac:dyDescent="0.2">
      <c r="A871" s="13" t="str">
        <f>IF(ROW()-5&lt;=COUNTA(TablaEquipos[Compite]),ROW()-7,"")</f>
        <v/>
      </c>
      <c r="B871" s="10" t="str">
        <f>IF(Tabla96[[#This Row],[Id]]="","",VLOOKUP(Tabla96[[#This Row],[Id]]+1,TablaEquipos[],3,FALSE))</f>
        <v/>
      </c>
      <c r="C871" s="45" t="str">
        <f>IF(Tabla96[[#This Row],[Id]]="","",VLOOKUP(Tabla96[[#This Row],[Id]]+1,TablaEquipos[],4,FALSE))</f>
        <v/>
      </c>
      <c r="D871" s="13" t="str">
        <f>IF(Tabla96[[#This Row],[Id]]="","",COUNTIF(TablaTiempos[Club],Tabla96[[#This Row],[Pos]]))</f>
        <v/>
      </c>
      <c r="E871" s="47" t="str">
        <f>IF(Tabla96[[#This Row],[Id]]="","",Tabla96[[#This Row],[Total Llegados a Meta]]/Tabla96[[#This Row],[Total Inscritos]])</f>
        <v/>
      </c>
      <c r="F87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71" s="43">
        <f ca="1">NOW()-'LOS TIEMPOS'!$K$2</f>
        <v>42368.075526157409</v>
      </c>
    </row>
    <row r="872" spans="1:8" x14ac:dyDescent="0.2">
      <c r="A872" s="13" t="str">
        <f>IF(ROW()-5&lt;=COUNTA(TablaEquipos[Compite]),ROW()-7,"")</f>
        <v/>
      </c>
      <c r="B872" s="10" t="str">
        <f>IF(Tabla96[[#This Row],[Id]]="","",VLOOKUP(Tabla96[[#This Row],[Id]]+1,TablaEquipos[],3,FALSE))</f>
        <v/>
      </c>
      <c r="C872" s="45" t="str">
        <f>IF(Tabla96[[#This Row],[Id]]="","",VLOOKUP(Tabla96[[#This Row],[Id]]+1,TablaEquipos[],4,FALSE))</f>
        <v/>
      </c>
      <c r="D872" s="13" t="str">
        <f>IF(Tabla96[[#This Row],[Id]]="","",COUNTIF(TablaTiempos[Club],Tabla96[[#This Row],[Pos]]))</f>
        <v/>
      </c>
      <c r="E872" s="47" t="str">
        <f>IF(Tabla96[[#This Row],[Id]]="","",Tabla96[[#This Row],[Total Llegados a Meta]]/Tabla96[[#This Row],[Total Inscritos]])</f>
        <v/>
      </c>
      <c r="F87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72" s="43">
        <f ca="1">NOW()-'LOS TIEMPOS'!$K$2</f>
        <v>42368.075526157409</v>
      </c>
    </row>
    <row r="873" spans="1:8" x14ac:dyDescent="0.2">
      <c r="A873" s="13" t="str">
        <f>IF(ROW()-5&lt;=COUNTA(TablaEquipos[Compite]),ROW()-7,"")</f>
        <v/>
      </c>
      <c r="B873" s="10" t="str">
        <f>IF(Tabla96[[#This Row],[Id]]="","",VLOOKUP(Tabla96[[#This Row],[Id]]+1,TablaEquipos[],3,FALSE))</f>
        <v/>
      </c>
      <c r="C873" s="45" t="str">
        <f>IF(Tabla96[[#This Row],[Id]]="","",VLOOKUP(Tabla96[[#This Row],[Id]]+1,TablaEquipos[],4,FALSE))</f>
        <v/>
      </c>
      <c r="D873" s="13" t="str">
        <f>IF(Tabla96[[#This Row],[Id]]="","",COUNTIF(TablaTiempos[Club],Tabla96[[#This Row],[Pos]]))</f>
        <v/>
      </c>
      <c r="E873" s="47" t="str">
        <f>IF(Tabla96[[#This Row],[Id]]="","",Tabla96[[#This Row],[Total Llegados a Meta]]/Tabla96[[#This Row],[Total Inscritos]])</f>
        <v/>
      </c>
      <c r="F87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73" s="43">
        <f ca="1">NOW()-'LOS TIEMPOS'!$K$2</f>
        <v>42368.075526157409</v>
      </c>
    </row>
    <row r="874" spans="1:8" x14ac:dyDescent="0.2">
      <c r="A874" s="13" t="str">
        <f>IF(ROW()-5&lt;=COUNTA(TablaEquipos[Compite]),ROW()-7,"")</f>
        <v/>
      </c>
      <c r="B874" s="10" t="str">
        <f>IF(Tabla96[[#This Row],[Id]]="","",VLOOKUP(Tabla96[[#This Row],[Id]]+1,TablaEquipos[],3,FALSE))</f>
        <v/>
      </c>
      <c r="C874" s="45" t="str">
        <f>IF(Tabla96[[#This Row],[Id]]="","",VLOOKUP(Tabla96[[#This Row],[Id]]+1,TablaEquipos[],4,FALSE))</f>
        <v/>
      </c>
      <c r="D874" s="13" t="str">
        <f>IF(Tabla96[[#This Row],[Id]]="","",COUNTIF(TablaTiempos[Club],Tabla96[[#This Row],[Pos]]))</f>
        <v/>
      </c>
      <c r="E874" s="47" t="str">
        <f>IF(Tabla96[[#This Row],[Id]]="","",Tabla96[[#This Row],[Total Llegados a Meta]]/Tabla96[[#This Row],[Total Inscritos]])</f>
        <v/>
      </c>
      <c r="F87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74" s="43">
        <f ca="1">NOW()-'LOS TIEMPOS'!$K$2</f>
        <v>42368.075526157409</v>
      </c>
    </row>
    <row r="875" spans="1:8" x14ac:dyDescent="0.2">
      <c r="A875" s="13" t="str">
        <f>IF(ROW()-5&lt;=COUNTA(TablaEquipos[Compite]),ROW()-7,"")</f>
        <v/>
      </c>
      <c r="B875" s="10" t="str">
        <f>IF(Tabla96[[#This Row],[Id]]="","",VLOOKUP(Tabla96[[#This Row],[Id]]+1,TablaEquipos[],3,FALSE))</f>
        <v/>
      </c>
      <c r="C875" s="45" t="str">
        <f>IF(Tabla96[[#This Row],[Id]]="","",VLOOKUP(Tabla96[[#This Row],[Id]]+1,TablaEquipos[],4,FALSE))</f>
        <v/>
      </c>
      <c r="D875" s="13" t="str">
        <f>IF(Tabla96[[#This Row],[Id]]="","",COUNTIF(TablaTiempos[Club],Tabla96[[#This Row],[Pos]]))</f>
        <v/>
      </c>
      <c r="E875" s="47" t="str">
        <f>IF(Tabla96[[#This Row],[Id]]="","",Tabla96[[#This Row],[Total Llegados a Meta]]/Tabla96[[#This Row],[Total Inscritos]])</f>
        <v/>
      </c>
      <c r="F87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75" s="43">
        <f ca="1">NOW()-'LOS TIEMPOS'!$K$2</f>
        <v>42368.075526157409</v>
      </c>
    </row>
    <row r="876" spans="1:8" x14ac:dyDescent="0.2">
      <c r="A876" s="13" t="str">
        <f>IF(ROW()-5&lt;=COUNTA(TablaEquipos[Compite]),ROW()-7,"")</f>
        <v/>
      </c>
      <c r="B876" s="10" t="str">
        <f>IF(Tabla96[[#This Row],[Id]]="","",VLOOKUP(Tabla96[[#This Row],[Id]]+1,TablaEquipos[],3,FALSE))</f>
        <v/>
      </c>
      <c r="C876" s="45" t="str">
        <f>IF(Tabla96[[#This Row],[Id]]="","",VLOOKUP(Tabla96[[#This Row],[Id]]+1,TablaEquipos[],4,FALSE))</f>
        <v/>
      </c>
      <c r="D876" s="13" t="str">
        <f>IF(Tabla96[[#This Row],[Id]]="","",COUNTIF(TablaTiempos[Club],Tabla96[[#This Row],[Pos]]))</f>
        <v/>
      </c>
      <c r="E876" s="47" t="str">
        <f>IF(Tabla96[[#This Row],[Id]]="","",Tabla96[[#This Row],[Total Llegados a Meta]]/Tabla96[[#This Row],[Total Inscritos]])</f>
        <v/>
      </c>
      <c r="F87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76" s="43">
        <f ca="1">NOW()-'LOS TIEMPOS'!$K$2</f>
        <v>42368.075526157409</v>
      </c>
    </row>
    <row r="877" spans="1:8" x14ac:dyDescent="0.2">
      <c r="A877" s="13" t="str">
        <f>IF(ROW()-5&lt;=COUNTA(TablaEquipos[Compite]),ROW()-7,"")</f>
        <v/>
      </c>
      <c r="B877" s="10" t="str">
        <f>IF(Tabla96[[#This Row],[Id]]="","",VLOOKUP(Tabla96[[#This Row],[Id]]+1,TablaEquipos[],3,FALSE))</f>
        <v/>
      </c>
      <c r="C877" s="45" t="str">
        <f>IF(Tabla96[[#This Row],[Id]]="","",VLOOKUP(Tabla96[[#This Row],[Id]]+1,TablaEquipos[],4,FALSE))</f>
        <v/>
      </c>
      <c r="D877" s="13" t="str">
        <f>IF(Tabla96[[#This Row],[Id]]="","",COUNTIF(TablaTiempos[Club],Tabla96[[#This Row],[Pos]]))</f>
        <v/>
      </c>
      <c r="E877" s="47" t="str">
        <f>IF(Tabla96[[#This Row],[Id]]="","",Tabla96[[#This Row],[Total Llegados a Meta]]/Tabla96[[#This Row],[Total Inscritos]])</f>
        <v/>
      </c>
      <c r="F87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77" s="43">
        <f ca="1">NOW()-'LOS TIEMPOS'!$K$2</f>
        <v>42368.075526157409</v>
      </c>
    </row>
    <row r="878" spans="1:8" x14ac:dyDescent="0.2">
      <c r="A878" s="13" t="str">
        <f>IF(ROW()-5&lt;=COUNTA(TablaEquipos[Compite]),ROW()-7,"")</f>
        <v/>
      </c>
      <c r="B878" s="10" t="str">
        <f>IF(Tabla96[[#This Row],[Id]]="","",VLOOKUP(Tabla96[[#This Row],[Id]]+1,TablaEquipos[],3,FALSE))</f>
        <v/>
      </c>
      <c r="C878" s="45" t="str">
        <f>IF(Tabla96[[#This Row],[Id]]="","",VLOOKUP(Tabla96[[#This Row],[Id]]+1,TablaEquipos[],4,FALSE))</f>
        <v/>
      </c>
      <c r="D878" s="13" t="str">
        <f>IF(Tabla96[[#This Row],[Id]]="","",COUNTIF(TablaTiempos[Club],Tabla96[[#This Row],[Pos]]))</f>
        <v/>
      </c>
      <c r="E878" s="47" t="str">
        <f>IF(Tabla96[[#This Row],[Id]]="","",Tabla96[[#This Row],[Total Llegados a Meta]]/Tabla96[[#This Row],[Total Inscritos]])</f>
        <v/>
      </c>
      <c r="F87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78" s="43">
        <f ca="1">NOW()-'LOS TIEMPOS'!$K$2</f>
        <v>42368.075526157409</v>
      </c>
    </row>
    <row r="879" spans="1:8" x14ac:dyDescent="0.2">
      <c r="A879" s="13" t="str">
        <f>IF(ROW()-5&lt;=COUNTA(TablaEquipos[Compite]),ROW()-7,"")</f>
        <v/>
      </c>
      <c r="B879" s="10" t="str">
        <f>IF(Tabla96[[#This Row],[Id]]="","",VLOOKUP(Tabla96[[#This Row],[Id]]+1,TablaEquipos[],3,FALSE))</f>
        <v/>
      </c>
      <c r="C879" s="45" t="str">
        <f>IF(Tabla96[[#This Row],[Id]]="","",VLOOKUP(Tabla96[[#This Row],[Id]]+1,TablaEquipos[],4,FALSE))</f>
        <v/>
      </c>
      <c r="D879" s="13" t="str">
        <f>IF(Tabla96[[#This Row],[Id]]="","",COUNTIF(TablaTiempos[Club],Tabla96[[#This Row],[Pos]]))</f>
        <v/>
      </c>
      <c r="E879" s="47" t="str">
        <f>IF(Tabla96[[#This Row],[Id]]="","",Tabla96[[#This Row],[Total Llegados a Meta]]/Tabla96[[#This Row],[Total Inscritos]])</f>
        <v/>
      </c>
      <c r="F87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79" s="43">
        <f ca="1">NOW()-'LOS TIEMPOS'!$K$2</f>
        <v>42368.075526157409</v>
      </c>
    </row>
    <row r="880" spans="1:8" x14ac:dyDescent="0.2">
      <c r="A880" s="13" t="str">
        <f>IF(ROW()-5&lt;=COUNTA(TablaEquipos[Compite]),ROW()-7,"")</f>
        <v/>
      </c>
      <c r="B880" s="10" t="str">
        <f>IF(Tabla96[[#This Row],[Id]]="","",VLOOKUP(Tabla96[[#This Row],[Id]]+1,TablaEquipos[],3,FALSE))</f>
        <v/>
      </c>
      <c r="C880" s="45" t="str">
        <f>IF(Tabla96[[#This Row],[Id]]="","",VLOOKUP(Tabla96[[#This Row],[Id]]+1,TablaEquipos[],4,FALSE))</f>
        <v/>
      </c>
      <c r="D880" s="13" t="str">
        <f>IF(Tabla96[[#This Row],[Id]]="","",COUNTIF(TablaTiempos[Club],Tabla96[[#This Row],[Pos]]))</f>
        <v/>
      </c>
      <c r="E880" s="47" t="str">
        <f>IF(Tabla96[[#This Row],[Id]]="","",Tabla96[[#This Row],[Total Llegados a Meta]]/Tabla96[[#This Row],[Total Inscritos]])</f>
        <v/>
      </c>
      <c r="F88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80" s="43">
        <f ca="1">NOW()-'LOS TIEMPOS'!$K$2</f>
        <v>42368.075526157409</v>
      </c>
    </row>
    <row r="881" spans="1:8" x14ac:dyDescent="0.2">
      <c r="A881" s="13" t="str">
        <f>IF(ROW()-5&lt;=COUNTA(TablaEquipos[Compite]),ROW()-7,"")</f>
        <v/>
      </c>
      <c r="B881" s="10" t="str">
        <f>IF(Tabla96[[#This Row],[Id]]="","",VLOOKUP(Tabla96[[#This Row],[Id]]+1,TablaEquipos[],3,FALSE))</f>
        <v/>
      </c>
      <c r="C881" s="45" t="str">
        <f>IF(Tabla96[[#This Row],[Id]]="","",VLOOKUP(Tabla96[[#This Row],[Id]]+1,TablaEquipos[],4,FALSE))</f>
        <v/>
      </c>
      <c r="D881" s="13" t="str">
        <f>IF(Tabla96[[#This Row],[Id]]="","",COUNTIF(TablaTiempos[Club],Tabla96[[#This Row],[Pos]]))</f>
        <v/>
      </c>
      <c r="E881" s="47" t="str">
        <f>IF(Tabla96[[#This Row],[Id]]="","",Tabla96[[#This Row],[Total Llegados a Meta]]/Tabla96[[#This Row],[Total Inscritos]])</f>
        <v/>
      </c>
      <c r="F88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81" s="43">
        <f ca="1">NOW()-'LOS TIEMPOS'!$K$2</f>
        <v>42368.075526157409</v>
      </c>
    </row>
    <row r="882" spans="1:8" x14ac:dyDescent="0.2">
      <c r="A882" s="13" t="str">
        <f>IF(ROW()-5&lt;=COUNTA(TablaEquipos[Compite]),ROW()-7,"")</f>
        <v/>
      </c>
      <c r="B882" s="10" t="str">
        <f>IF(Tabla96[[#This Row],[Id]]="","",VLOOKUP(Tabla96[[#This Row],[Id]]+1,TablaEquipos[],3,FALSE))</f>
        <v/>
      </c>
      <c r="C882" s="45" t="str">
        <f>IF(Tabla96[[#This Row],[Id]]="","",VLOOKUP(Tabla96[[#This Row],[Id]]+1,TablaEquipos[],4,FALSE))</f>
        <v/>
      </c>
      <c r="D882" s="13" t="str">
        <f>IF(Tabla96[[#This Row],[Id]]="","",COUNTIF(TablaTiempos[Club],Tabla96[[#This Row],[Pos]]))</f>
        <v/>
      </c>
      <c r="E882" s="47" t="str">
        <f>IF(Tabla96[[#This Row],[Id]]="","",Tabla96[[#This Row],[Total Llegados a Meta]]/Tabla96[[#This Row],[Total Inscritos]])</f>
        <v/>
      </c>
      <c r="F88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82" s="43">
        <f ca="1">NOW()-'LOS TIEMPOS'!$K$2</f>
        <v>42368.075526157409</v>
      </c>
    </row>
    <row r="883" spans="1:8" x14ac:dyDescent="0.2">
      <c r="A883" s="13" t="str">
        <f>IF(ROW()-5&lt;=COUNTA(TablaEquipos[Compite]),ROW()-7,"")</f>
        <v/>
      </c>
      <c r="B883" s="10" t="str">
        <f>IF(Tabla96[[#This Row],[Id]]="","",VLOOKUP(Tabla96[[#This Row],[Id]]+1,TablaEquipos[],3,FALSE))</f>
        <v/>
      </c>
      <c r="C883" s="45" t="str">
        <f>IF(Tabla96[[#This Row],[Id]]="","",VLOOKUP(Tabla96[[#This Row],[Id]]+1,TablaEquipos[],4,FALSE))</f>
        <v/>
      </c>
      <c r="D883" s="13" t="str">
        <f>IF(Tabla96[[#This Row],[Id]]="","",COUNTIF(TablaTiempos[Club],Tabla96[[#This Row],[Pos]]))</f>
        <v/>
      </c>
      <c r="E883" s="47" t="str">
        <f>IF(Tabla96[[#This Row],[Id]]="","",Tabla96[[#This Row],[Total Llegados a Meta]]/Tabla96[[#This Row],[Total Inscritos]])</f>
        <v/>
      </c>
      <c r="F88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83" s="43">
        <f ca="1">NOW()-'LOS TIEMPOS'!$K$2</f>
        <v>42368.075526157409</v>
      </c>
    </row>
    <row r="884" spans="1:8" x14ac:dyDescent="0.2">
      <c r="A884" s="13" t="str">
        <f>IF(ROW()-5&lt;=COUNTA(TablaEquipos[Compite]),ROW()-7,"")</f>
        <v/>
      </c>
      <c r="B884" s="10" t="str">
        <f>IF(Tabla96[[#This Row],[Id]]="","",VLOOKUP(Tabla96[[#This Row],[Id]]+1,TablaEquipos[],3,FALSE))</f>
        <v/>
      </c>
      <c r="C884" s="45" t="str">
        <f>IF(Tabla96[[#This Row],[Id]]="","",VLOOKUP(Tabla96[[#This Row],[Id]]+1,TablaEquipos[],4,FALSE))</f>
        <v/>
      </c>
      <c r="D884" s="13" t="str">
        <f>IF(Tabla96[[#This Row],[Id]]="","",COUNTIF(TablaTiempos[Club],Tabla96[[#This Row],[Pos]]))</f>
        <v/>
      </c>
      <c r="E884" s="47" t="str">
        <f>IF(Tabla96[[#This Row],[Id]]="","",Tabla96[[#This Row],[Total Llegados a Meta]]/Tabla96[[#This Row],[Total Inscritos]])</f>
        <v/>
      </c>
      <c r="F88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84" s="43">
        <f ca="1">NOW()-'LOS TIEMPOS'!$K$2</f>
        <v>42368.075526157409</v>
      </c>
    </row>
    <row r="885" spans="1:8" x14ac:dyDescent="0.2">
      <c r="A885" s="13" t="str">
        <f>IF(ROW()-5&lt;=COUNTA(TablaEquipos[Compite]),ROW()-7,"")</f>
        <v/>
      </c>
      <c r="B885" s="10" t="str">
        <f>IF(Tabla96[[#This Row],[Id]]="","",VLOOKUP(Tabla96[[#This Row],[Id]]+1,TablaEquipos[],3,FALSE))</f>
        <v/>
      </c>
      <c r="C885" s="45" t="str">
        <f>IF(Tabla96[[#This Row],[Id]]="","",VLOOKUP(Tabla96[[#This Row],[Id]]+1,TablaEquipos[],4,FALSE))</f>
        <v/>
      </c>
      <c r="D885" s="13" t="str">
        <f>IF(Tabla96[[#This Row],[Id]]="","",COUNTIF(TablaTiempos[Club],Tabla96[[#This Row],[Pos]]))</f>
        <v/>
      </c>
      <c r="E885" s="47" t="str">
        <f>IF(Tabla96[[#This Row],[Id]]="","",Tabla96[[#This Row],[Total Llegados a Meta]]/Tabla96[[#This Row],[Total Inscritos]])</f>
        <v/>
      </c>
      <c r="F88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85" s="43">
        <f ca="1">NOW()-'LOS TIEMPOS'!$K$2</f>
        <v>42368.075526157409</v>
      </c>
    </row>
    <row r="886" spans="1:8" x14ac:dyDescent="0.2">
      <c r="A886" s="13" t="str">
        <f>IF(ROW()-5&lt;=COUNTA(TablaEquipos[Compite]),ROW()-7,"")</f>
        <v/>
      </c>
      <c r="B886" s="10" t="str">
        <f>IF(Tabla96[[#This Row],[Id]]="","",VLOOKUP(Tabla96[[#This Row],[Id]]+1,TablaEquipos[],3,FALSE))</f>
        <v/>
      </c>
      <c r="C886" s="45" t="str">
        <f>IF(Tabla96[[#This Row],[Id]]="","",VLOOKUP(Tabla96[[#This Row],[Id]]+1,TablaEquipos[],4,FALSE))</f>
        <v/>
      </c>
      <c r="D886" s="13" t="str">
        <f>IF(Tabla96[[#This Row],[Id]]="","",COUNTIF(TablaTiempos[Club],Tabla96[[#This Row],[Pos]]))</f>
        <v/>
      </c>
      <c r="E886" s="47" t="str">
        <f>IF(Tabla96[[#This Row],[Id]]="","",Tabla96[[#This Row],[Total Llegados a Meta]]/Tabla96[[#This Row],[Total Inscritos]])</f>
        <v/>
      </c>
      <c r="F88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86" s="43">
        <f ca="1">NOW()-'LOS TIEMPOS'!$K$2</f>
        <v>42368.075526157409</v>
      </c>
    </row>
    <row r="887" spans="1:8" x14ac:dyDescent="0.2">
      <c r="A887" s="13" t="str">
        <f>IF(ROW()-5&lt;=COUNTA(TablaEquipos[Compite]),ROW()-7,"")</f>
        <v/>
      </c>
      <c r="B887" s="10" t="str">
        <f>IF(Tabla96[[#This Row],[Id]]="","",VLOOKUP(Tabla96[[#This Row],[Id]]+1,TablaEquipos[],3,FALSE))</f>
        <v/>
      </c>
      <c r="C887" s="45" t="str">
        <f>IF(Tabla96[[#This Row],[Id]]="","",VLOOKUP(Tabla96[[#This Row],[Id]]+1,TablaEquipos[],4,FALSE))</f>
        <v/>
      </c>
      <c r="D887" s="13" t="str">
        <f>IF(Tabla96[[#This Row],[Id]]="","",COUNTIF(TablaTiempos[Club],Tabla96[[#This Row],[Pos]]))</f>
        <v/>
      </c>
      <c r="E887" s="47" t="str">
        <f>IF(Tabla96[[#This Row],[Id]]="","",Tabla96[[#This Row],[Total Llegados a Meta]]/Tabla96[[#This Row],[Total Inscritos]])</f>
        <v/>
      </c>
      <c r="F88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87" s="43">
        <f ca="1">NOW()-'LOS TIEMPOS'!$K$2</f>
        <v>42368.075526157409</v>
      </c>
    </row>
    <row r="888" spans="1:8" x14ac:dyDescent="0.2">
      <c r="A888" s="13" t="str">
        <f>IF(ROW()-5&lt;=COUNTA(TablaEquipos[Compite]),ROW()-7,"")</f>
        <v/>
      </c>
      <c r="B888" s="10" t="str">
        <f>IF(Tabla96[[#This Row],[Id]]="","",VLOOKUP(Tabla96[[#This Row],[Id]]+1,TablaEquipos[],3,FALSE))</f>
        <v/>
      </c>
      <c r="C888" s="45" t="str">
        <f>IF(Tabla96[[#This Row],[Id]]="","",VLOOKUP(Tabla96[[#This Row],[Id]]+1,TablaEquipos[],4,FALSE))</f>
        <v/>
      </c>
      <c r="D888" s="13" t="str">
        <f>IF(Tabla96[[#This Row],[Id]]="","",COUNTIF(TablaTiempos[Club],Tabla96[[#This Row],[Pos]]))</f>
        <v/>
      </c>
      <c r="E888" s="47" t="str">
        <f>IF(Tabla96[[#This Row],[Id]]="","",Tabla96[[#This Row],[Total Llegados a Meta]]/Tabla96[[#This Row],[Total Inscritos]])</f>
        <v/>
      </c>
      <c r="F88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88" s="43">
        <f ca="1">NOW()-'LOS TIEMPOS'!$K$2</f>
        <v>42368.075526157409</v>
      </c>
    </row>
    <row r="889" spans="1:8" x14ac:dyDescent="0.2">
      <c r="A889" s="13" t="str">
        <f>IF(ROW()-5&lt;=COUNTA(TablaEquipos[Compite]),ROW()-7,"")</f>
        <v/>
      </c>
      <c r="B889" s="10" t="str">
        <f>IF(Tabla96[[#This Row],[Id]]="","",VLOOKUP(Tabla96[[#This Row],[Id]]+1,TablaEquipos[],3,FALSE))</f>
        <v/>
      </c>
      <c r="C889" s="45" t="str">
        <f>IF(Tabla96[[#This Row],[Id]]="","",VLOOKUP(Tabla96[[#This Row],[Id]]+1,TablaEquipos[],4,FALSE))</f>
        <v/>
      </c>
      <c r="D889" s="13" t="str">
        <f>IF(Tabla96[[#This Row],[Id]]="","",COUNTIF(TablaTiempos[Club],Tabla96[[#This Row],[Pos]]))</f>
        <v/>
      </c>
      <c r="E889" s="47" t="str">
        <f>IF(Tabla96[[#This Row],[Id]]="","",Tabla96[[#This Row],[Total Llegados a Meta]]/Tabla96[[#This Row],[Total Inscritos]])</f>
        <v/>
      </c>
      <c r="F88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89" s="43">
        <f ca="1">NOW()-'LOS TIEMPOS'!$K$2</f>
        <v>42368.075526157409</v>
      </c>
    </row>
    <row r="890" spans="1:8" x14ac:dyDescent="0.2">
      <c r="A890" s="13" t="str">
        <f>IF(ROW()-5&lt;=COUNTA(TablaEquipos[Compite]),ROW()-7,"")</f>
        <v/>
      </c>
      <c r="B890" s="10" t="str">
        <f>IF(Tabla96[[#This Row],[Id]]="","",VLOOKUP(Tabla96[[#This Row],[Id]]+1,TablaEquipos[],3,FALSE))</f>
        <v/>
      </c>
      <c r="C890" s="45" t="str">
        <f>IF(Tabla96[[#This Row],[Id]]="","",VLOOKUP(Tabla96[[#This Row],[Id]]+1,TablaEquipos[],4,FALSE))</f>
        <v/>
      </c>
      <c r="D890" s="13" t="str">
        <f>IF(Tabla96[[#This Row],[Id]]="","",COUNTIF(TablaTiempos[Club],Tabla96[[#This Row],[Pos]]))</f>
        <v/>
      </c>
      <c r="E890" s="47" t="str">
        <f>IF(Tabla96[[#This Row],[Id]]="","",Tabla96[[#This Row],[Total Llegados a Meta]]/Tabla96[[#This Row],[Total Inscritos]])</f>
        <v/>
      </c>
      <c r="F89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90" s="43">
        <f ca="1">NOW()-'LOS TIEMPOS'!$K$2</f>
        <v>42368.075526157409</v>
      </c>
    </row>
    <row r="891" spans="1:8" x14ac:dyDescent="0.2">
      <c r="A891" s="13" t="str">
        <f>IF(ROW()-5&lt;=COUNTA(TablaEquipos[Compite]),ROW()-7,"")</f>
        <v/>
      </c>
      <c r="B891" s="10" t="str">
        <f>IF(Tabla96[[#This Row],[Id]]="","",VLOOKUP(Tabla96[[#This Row],[Id]]+1,TablaEquipos[],3,FALSE))</f>
        <v/>
      </c>
      <c r="C891" s="45" t="str">
        <f>IF(Tabla96[[#This Row],[Id]]="","",VLOOKUP(Tabla96[[#This Row],[Id]]+1,TablaEquipos[],4,FALSE))</f>
        <v/>
      </c>
      <c r="D891" s="13" t="str">
        <f>IF(Tabla96[[#This Row],[Id]]="","",COUNTIF(TablaTiempos[Club],Tabla96[[#This Row],[Pos]]))</f>
        <v/>
      </c>
      <c r="E891" s="47" t="str">
        <f>IF(Tabla96[[#This Row],[Id]]="","",Tabla96[[#This Row],[Total Llegados a Meta]]/Tabla96[[#This Row],[Total Inscritos]])</f>
        <v/>
      </c>
      <c r="F89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91" s="43">
        <f ca="1">NOW()-'LOS TIEMPOS'!$K$2</f>
        <v>42368.075526157409</v>
      </c>
    </row>
    <row r="892" spans="1:8" x14ac:dyDescent="0.2">
      <c r="A892" s="13" t="str">
        <f>IF(ROW()-5&lt;=COUNTA(TablaEquipos[Compite]),ROW()-7,"")</f>
        <v/>
      </c>
      <c r="B892" s="10" t="str">
        <f>IF(Tabla96[[#This Row],[Id]]="","",VLOOKUP(Tabla96[[#This Row],[Id]]+1,TablaEquipos[],3,FALSE))</f>
        <v/>
      </c>
      <c r="C892" s="45" t="str">
        <f>IF(Tabla96[[#This Row],[Id]]="","",VLOOKUP(Tabla96[[#This Row],[Id]]+1,TablaEquipos[],4,FALSE))</f>
        <v/>
      </c>
      <c r="D892" s="13" t="str">
        <f>IF(Tabla96[[#This Row],[Id]]="","",COUNTIF(TablaTiempos[Club],Tabla96[[#This Row],[Pos]]))</f>
        <v/>
      </c>
      <c r="E892" s="47" t="str">
        <f>IF(Tabla96[[#This Row],[Id]]="","",Tabla96[[#This Row],[Total Llegados a Meta]]/Tabla96[[#This Row],[Total Inscritos]])</f>
        <v/>
      </c>
      <c r="F89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92" s="43">
        <f ca="1">NOW()-'LOS TIEMPOS'!$K$2</f>
        <v>42368.075526157409</v>
      </c>
    </row>
    <row r="893" spans="1:8" x14ac:dyDescent="0.2">
      <c r="A893" s="13" t="str">
        <f>IF(ROW()-5&lt;=COUNTA(TablaEquipos[Compite]),ROW()-7,"")</f>
        <v/>
      </c>
      <c r="B893" s="10" t="str">
        <f>IF(Tabla96[[#This Row],[Id]]="","",VLOOKUP(Tabla96[[#This Row],[Id]]+1,TablaEquipos[],3,FALSE))</f>
        <v/>
      </c>
      <c r="C893" s="45" t="str">
        <f>IF(Tabla96[[#This Row],[Id]]="","",VLOOKUP(Tabla96[[#This Row],[Id]]+1,TablaEquipos[],4,FALSE))</f>
        <v/>
      </c>
      <c r="D893" s="13" t="str">
        <f>IF(Tabla96[[#This Row],[Id]]="","",COUNTIF(TablaTiempos[Club],Tabla96[[#This Row],[Pos]]))</f>
        <v/>
      </c>
      <c r="E893" s="47" t="str">
        <f>IF(Tabla96[[#This Row],[Id]]="","",Tabla96[[#This Row],[Total Llegados a Meta]]/Tabla96[[#This Row],[Total Inscritos]])</f>
        <v/>
      </c>
      <c r="F89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93" s="43">
        <f ca="1">NOW()-'LOS TIEMPOS'!$K$2</f>
        <v>42368.075526157409</v>
      </c>
    </row>
    <row r="894" spans="1:8" x14ac:dyDescent="0.2">
      <c r="A894" s="13" t="str">
        <f>IF(ROW()-5&lt;=COUNTA(TablaEquipos[Compite]),ROW()-7,"")</f>
        <v/>
      </c>
      <c r="B894" s="10" t="str">
        <f>IF(Tabla96[[#This Row],[Id]]="","",VLOOKUP(Tabla96[[#This Row],[Id]]+1,TablaEquipos[],3,FALSE))</f>
        <v/>
      </c>
      <c r="C894" s="45" t="str">
        <f>IF(Tabla96[[#This Row],[Id]]="","",VLOOKUP(Tabla96[[#This Row],[Id]]+1,TablaEquipos[],4,FALSE))</f>
        <v/>
      </c>
      <c r="D894" s="13" t="str">
        <f>IF(Tabla96[[#This Row],[Id]]="","",COUNTIF(TablaTiempos[Club],Tabla96[[#This Row],[Pos]]))</f>
        <v/>
      </c>
      <c r="E894" s="47" t="str">
        <f>IF(Tabla96[[#This Row],[Id]]="","",Tabla96[[#This Row],[Total Llegados a Meta]]/Tabla96[[#This Row],[Total Inscritos]])</f>
        <v/>
      </c>
      <c r="F89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94" s="43">
        <f ca="1">NOW()-'LOS TIEMPOS'!$K$2</f>
        <v>42368.075526157409</v>
      </c>
    </row>
    <row r="895" spans="1:8" x14ac:dyDescent="0.2">
      <c r="A895" s="13" t="str">
        <f>IF(ROW()-5&lt;=COUNTA(TablaEquipos[Compite]),ROW()-7,"")</f>
        <v/>
      </c>
      <c r="B895" s="10" t="str">
        <f>IF(Tabla96[[#This Row],[Id]]="","",VLOOKUP(Tabla96[[#This Row],[Id]]+1,TablaEquipos[],3,FALSE))</f>
        <v/>
      </c>
      <c r="C895" s="45" t="str">
        <f>IF(Tabla96[[#This Row],[Id]]="","",VLOOKUP(Tabla96[[#This Row],[Id]]+1,TablaEquipos[],4,FALSE))</f>
        <v/>
      </c>
      <c r="D895" s="13" t="str">
        <f>IF(Tabla96[[#This Row],[Id]]="","",COUNTIF(TablaTiempos[Club],Tabla96[[#This Row],[Pos]]))</f>
        <v/>
      </c>
      <c r="E895" s="47" t="str">
        <f>IF(Tabla96[[#This Row],[Id]]="","",Tabla96[[#This Row],[Total Llegados a Meta]]/Tabla96[[#This Row],[Total Inscritos]])</f>
        <v/>
      </c>
      <c r="F89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95" s="43">
        <f ca="1">NOW()-'LOS TIEMPOS'!$K$2</f>
        <v>42368.075526157409</v>
      </c>
    </row>
    <row r="896" spans="1:8" x14ac:dyDescent="0.2">
      <c r="A896" s="13" t="str">
        <f>IF(ROW()-5&lt;=COUNTA(TablaEquipos[Compite]),ROW()-7,"")</f>
        <v/>
      </c>
      <c r="B896" s="10" t="str">
        <f>IF(Tabla96[[#This Row],[Id]]="","",VLOOKUP(Tabla96[[#This Row],[Id]]+1,TablaEquipos[],3,FALSE))</f>
        <v/>
      </c>
      <c r="C896" s="45" t="str">
        <f>IF(Tabla96[[#This Row],[Id]]="","",VLOOKUP(Tabla96[[#This Row],[Id]]+1,TablaEquipos[],4,FALSE))</f>
        <v/>
      </c>
      <c r="D896" s="13" t="str">
        <f>IF(Tabla96[[#This Row],[Id]]="","",COUNTIF(TablaTiempos[Club],Tabla96[[#This Row],[Pos]]))</f>
        <v/>
      </c>
      <c r="E896" s="47" t="str">
        <f>IF(Tabla96[[#This Row],[Id]]="","",Tabla96[[#This Row],[Total Llegados a Meta]]/Tabla96[[#This Row],[Total Inscritos]])</f>
        <v/>
      </c>
      <c r="F89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96" s="43">
        <f ca="1">NOW()-'LOS TIEMPOS'!$K$2</f>
        <v>42368.075526157409</v>
      </c>
    </row>
    <row r="897" spans="1:8" x14ac:dyDescent="0.2">
      <c r="A897" s="13" t="str">
        <f>IF(ROW()-5&lt;=COUNTA(TablaEquipos[Compite]),ROW()-7,"")</f>
        <v/>
      </c>
      <c r="B897" s="10" t="str">
        <f>IF(Tabla96[[#This Row],[Id]]="","",VLOOKUP(Tabla96[[#This Row],[Id]]+1,TablaEquipos[],3,FALSE))</f>
        <v/>
      </c>
      <c r="C897" s="45" t="str">
        <f>IF(Tabla96[[#This Row],[Id]]="","",VLOOKUP(Tabla96[[#This Row],[Id]]+1,TablaEquipos[],4,FALSE))</f>
        <v/>
      </c>
      <c r="D897" s="13" t="str">
        <f>IF(Tabla96[[#This Row],[Id]]="","",COUNTIF(TablaTiempos[Club],Tabla96[[#This Row],[Pos]]))</f>
        <v/>
      </c>
      <c r="E897" s="47" t="str">
        <f>IF(Tabla96[[#This Row],[Id]]="","",Tabla96[[#This Row],[Total Llegados a Meta]]/Tabla96[[#This Row],[Total Inscritos]])</f>
        <v/>
      </c>
      <c r="F89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97" s="43">
        <f ca="1">NOW()-'LOS TIEMPOS'!$K$2</f>
        <v>42368.075526157409</v>
      </c>
    </row>
    <row r="898" spans="1:8" x14ac:dyDescent="0.2">
      <c r="A898" s="13" t="str">
        <f>IF(ROW()-5&lt;=COUNTA(TablaEquipos[Compite]),ROW()-7,"")</f>
        <v/>
      </c>
      <c r="B898" s="10" t="str">
        <f>IF(Tabla96[[#This Row],[Id]]="","",VLOOKUP(Tabla96[[#This Row],[Id]]+1,TablaEquipos[],3,FALSE))</f>
        <v/>
      </c>
      <c r="C898" s="45" t="str">
        <f>IF(Tabla96[[#This Row],[Id]]="","",VLOOKUP(Tabla96[[#This Row],[Id]]+1,TablaEquipos[],4,FALSE))</f>
        <v/>
      </c>
      <c r="D898" s="13" t="str">
        <f>IF(Tabla96[[#This Row],[Id]]="","",COUNTIF(TablaTiempos[Club],Tabla96[[#This Row],[Pos]]))</f>
        <v/>
      </c>
      <c r="E898" s="47" t="str">
        <f>IF(Tabla96[[#This Row],[Id]]="","",Tabla96[[#This Row],[Total Llegados a Meta]]/Tabla96[[#This Row],[Total Inscritos]])</f>
        <v/>
      </c>
      <c r="F89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98" s="43">
        <f ca="1">NOW()-'LOS TIEMPOS'!$K$2</f>
        <v>42368.075526157409</v>
      </c>
    </row>
    <row r="899" spans="1:8" x14ac:dyDescent="0.2">
      <c r="A899" s="13" t="str">
        <f>IF(ROW()-5&lt;=COUNTA(TablaEquipos[Compite]),ROW()-7,"")</f>
        <v/>
      </c>
      <c r="B899" s="10" t="str">
        <f>IF(Tabla96[[#This Row],[Id]]="","",VLOOKUP(Tabla96[[#This Row],[Id]]+1,TablaEquipos[],3,FALSE))</f>
        <v/>
      </c>
      <c r="C899" s="45" t="str">
        <f>IF(Tabla96[[#This Row],[Id]]="","",VLOOKUP(Tabla96[[#This Row],[Id]]+1,TablaEquipos[],4,FALSE))</f>
        <v/>
      </c>
      <c r="D899" s="13" t="str">
        <f>IF(Tabla96[[#This Row],[Id]]="","",COUNTIF(TablaTiempos[Club],Tabla96[[#This Row],[Pos]]))</f>
        <v/>
      </c>
      <c r="E899" s="47" t="str">
        <f>IF(Tabla96[[#This Row],[Id]]="","",Tabla96[[#This Row],[Total Llegados a Meta]]/Tabla96[[#This Row],[Total Inscritos]])</f>
        <v/>
      </c>
      <c r="F89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899" s="43">
        <f ca="1">NOW()-'LOS TIEMPOS'!$K$2</f>
        <v>42368.075526157409</v>
      </c>
    </row>
    <row r="900" spans="1:8" x14ac:dyDescent="0.2">
      <c r="A900" s="13" t="str">
        <f>IF(ROW()-5&lt;=COUNTA(TablaEquipos[Compite]),ROW()-7,"")</f>
        <v/>
      </c>
      <c r="B900" s="10" t="str">
        <f>IF(Tabla96[[#This Row],[Id]]="","",VLOOKUP(Tabla96[[#This Row],[Id]]+1,TablaEquipos[],3,FALSE))</f>
        <v/>
      </c>
      <c r="C900" s="45" t="str">
        <f>IF(Tabla96[[#This Row],[Id]]="","",VLOOKUP(Tabla96[[#This Row],[Id]]+1,TablaEquipos[],4,FALSE))</f>
        <v/>
      </c>
      <c r="D900" s="13" t="str">
        <f>IF(Tabla96[[#This Row],[Id]]="","",COUNTIF(TablaTiempos[Club],Tabla96[[#This Row],[Pos]]))</f>
        <v/>
      </c>
      <c r="E900" s="47" t="str">
        <f>IF(Tabla96[[#This Row],[Id]]="","",Tabla96[[#This Row],[Total Llegados a Meta]]/Tabla96[[#This Row],[Total Inscritos]])</f>
        <v/>
      </c>
      <c r="F90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00" s="43">
        <f ca="1">NOW()-'LOS TIEMPOS'!$K$2</f>
        <v>42368.075526157409</v>
      </c>
    </row>
    <row r="901" spans="1:8" x14ac:dyDescent="0.2">
      <c r="A901" s="13" t="str">
        <f>IF(ROW()-5&lt;=COUNTA(TablaEquipos[Compite]),ROW()-7,"")</f>
        <v/>
      </c>
      <c r="B901" s="10" t="str">
        <f>IF(Tabla96[[#This Row],[Id]]="","",VLOOKUP(Tabla96[[#This Row],[Id]]+1,TablaEquipos[],3,FALSE))</f>
        <v/>
      </c>
      <c r="C901" s="45" t="str">
        <f>IF(Tabla96[[#This Row],[Id]]="","",VLOOKUP(Tabla96[[#This Row],[Id]]+1,TablaEquipos[],4,FALSE))</f>
        <v/>
      </c>
      <c r="D901" s="13" t="str">
        <f>IF(Tabla96[[#This Row],[Id]]="","",COUNTIF(TablaTiempos[Club],Tabla96[[#This Row],[Pos]]))</f>
        <v/>
      </c>
      <c r="E901" s="47" t="str">
        <f>IF(Tabla96[[#This Row],[Id]]="","",Tabla96[[#This Row],[Total Llegados a Meta]]/Tabla96[[#This Row],[Total Inscritos]])</f>
        <v/>
      </c>
      <c r="F90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01" s="43">
        <f ca="1">NOW()-'LOS TIEMPOS'!$K$2</f>
        <v>42368.075526157409</v>
      </c>
    </row>
    <row r="902" spans="1:8" x14ac:dyDescent="0.2">
      <c r="A902" s="13" t="str">
        <f>IF(ROW()-5&lt;=COUNTA(TablaEquipos[Compite]),ROW()-7,"")</f>
        <v/>
      </c>
      <c r="B902" s="10" t="str">
        <f>IF(Tabla96[[#This Row],[Id]]="","",VLOOKUP(Tabla96[[#This Row],[Id]]+1,TablaEquipos[],3,FALSE))</f>
        <v/>
      </c>
      <c r="C902" s="45" t="str">
        <f>IF(Tabla96[[#This Row],[Id]]="","",VLOOKUP(Tabla96[[#This Row],[Id]]+1,TablaEquipos[],4,FALSE))</f>
        <v/>
      </c>
      <c r="D902" s="13" t="str">
        <f>IF(Tabla96[[#This Row],[Id]]="","",COUNTIF(TablaTiempos[Club],Tabla96[[#This Row],[Pos]]))</f>
        <v/>
      </c>
      <c r="E902" s="47" t="str">
        <f>IF(Tabla96[[#This Row],[Id]]="","",Tabla96[[#This Row],[Total Llegados a Meta]]/Tabla96[[#This Row],[Total Inscritos]])</f>
        <v/>
      </c>
      <c r="F90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02" s="43">
        <f ca="1">NOW()-'LOS TIEMPOS'!$K$2</f>
        <v>42368.075526157409</v>
      </c>
    </row>
    <row r="903" spans="1:8" x14ac:dyDescent="0.2">
      <c r="A903" s="13" t="str">
        <f>IF(ROW()-5&lt;=COUNTA(TablaEquipos[Compite]),ROW()-7,"")</f>
        <v/>
      </c>
      <c r="B903" s="10" t="str">
        <f>IF(Tabla96[[#This Row],[Id]]="","",VLOOKUP(Tabla96[[#This Row],[Id]]+1,TablaEquipos[],3,FALSE))</f>
        <v/>
      </c>
      <c r="C903" s="45" t="str">
        <f>IF(Tabla96[[#This Row],[Id]]="","",VLOOKUP(Tabla96[[#This Row],[Id]]+1,TablaEquipos[],4,FALSE))</f>
        <v/>
      </c>
      <c r="D903" s="13" t="str">
        <f>IF(Tabla96[[#This Row],[Id]]="","",COUNTIF(TablaTiempos[Club],Tabla96[[#This Row],[Pos]]))</f>
        <v/>
      </c>
      <c r="E903" s="47" t="str">
        <f>IF(Tabla96[[#This Row],[Id]]="","",Tabla96[[#This Row],[Total Llegados a Meta]]/Tabla96[[#This Row],[Total Inscritos]])</f>
        <v/>
      </c>
      <c r="F90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03" s="43">
        <f ca="1">NOW()-'LOS TIEMPOS'!$K$2</f>
        <v>42368.075526157409</v>
      </c>
    </row>
    <row r="904" spans="1:8" x14ac:dyDescent="0.2">
      <c r="A904" s="13" t="str">
        <f>IF(ROW()-5&lt;=COUNTA(TablaEquipos[Compite]),ROW()-7,"")</f>
        <v/>
      </c>
      <c r="B904" s="10" t="str">
        <f>IF(Tabla96[[#This Row],[Id]]="","",VLOOKUP(Tabla96[[#This Row],[Id]]+1,TablaEquipos[],3,FALSE))</f>
        <v/>
      </c>
      <c r="C904" s="45" t="str">
        <f>IF(Tabla96[[#This Row],[Id]]="","",VLOOKUP(Tabla96[[#This Row],[Id]]+1,TablaEquipos[],4,FALSE))</f>
        <v/>
      </c>
      <c r="D904" s="13" t="str">
        <f>IF(Tabla96[[#This Row],[Id]]="","",COUNTIF(TablaTiempos[Club],Tabla96[[#This Row],[Pos]]))</f>
        <v/>
      </c>
      <c r="E904" s="47" t="str">
        <f>IF(Tabla96[[#This Row],[Id]]="","",Tabla96[[#This Row],[Total Llegados a Meta]]/Tabla96[[#This Row],[Total Inscritos]])</f>
        <v/>
      </c>
      <c r="F90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04" s="43">
        <f ca="1">NOW()-'LOS TIEMPOS'!$K$2</f>
        <v>42368.075526157409</v>
      </c>
    </row>
    <row r="905" spans="1:8" x14ac:dyDescent="0.2">
      <c r="A905" s="13" t="str">
        <f>IF(ROW()-5&lt;=COUNTA(TablaEquipos[Compite]),ROW()-7,"")</f>
        <v/>
      </c>
      <c r="B905" s="10" t="str">
        <f>IF(Tabla96[[#This Row],[Id]]="","",VLOOKUP(Tabla96[[#This Row],[Id]]+1,TablaEquipos[],3,FALSE))</f>
        <v/>
      </c>
      <c r="C905" s="45" t="str">
        <f>IF(Tabla96[[#This Row],[Id]]="","",VLOOKUP(Tabla96[[#This Row],[Id]]+1,TablaEquipos[],4,FALSE))</f>
        <v/>
      </c>
      <c r="D905" s="13" t="str">
        <f>IF(Tabla96[[#This Row],[Id]]="","",COUNTIF(TablaTiempos[Club],Tabla96[[#This Row],[Pos]]))</f>
        <v/>
      </c>
      <c r="E905" s="47" t="str">
        <f>IF(Tabla96[[#This Row],[Id]]="","",Tabla96[[#This Row],[Total Llegados a Meta]]/Tabla96[[#This Row],[Total Inscritos]])</f>
        <v/>
      </c>
      <c r="F90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05" s="43">
        <f ca="1">NOW()-'LOS TIEMPOS'!$K$2</f>
        <v>42368.075526157409</v>
      </c>
    </row>
    <row r="906" spans="1:8" x14ac:dyDescent="0.2">
      <c r="A906" s="13" t="str">
        <f>IF(ROW()-5&lt;=COUNTA(TablaEquipos[Compite]),ROW()-7,"")</f>
        <v/>
      </c>
      <c r="B906" s="10" t="str">
        <f>IF(Tabla96[[#This Row],[Id]]="","",VLOOKUP(Tabla96[[#This Row],[Id]]+1,TablaEquipos[],3,FALSE))</f>
        <v/>
      </c>
      <c r="C906" s="45" t="str">
        <f>IF(Tabla96[[#This Row],[Id]]="","",VLOOKUP(Tabla96[[#This Row],[Id]]+1,TablaEquipos[],4,FALSE))</f>
        <v/>
      </c>
      <c r="D906" s="13" t="str">
        <f>IF(Tabla96[[#This Row],[Id]]="","",COUNTIF(TablaTiempos[Club],Tabla96[[#This Row],[Pos]]))</f>
        <v/>
      </c>
      <c r="E906" s="47" t="str">
        <f>IF(Tabla96[[#This Row],[Id]]="","",Tabla96[[#This Row],[Total Llegados a Meta]]/Tabla96[[#This Row],[Total Inscritos]])</f>
        <v/>
      </c>
      <c r="F90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06" s="43">
        <f ca="1">NOW()-'LOS TIEMPOS'!$K$2</f>
        <v>42368.075526157409</v>
      </c>
    </row>
    <row r="907" spans="1:8" x14ac:dyDescent="0.2">
      <c r="A907" s="13" t="str">
        <f>IF(ROW()-5&lt;=COUNTA(TablaEquipos[Compite]),ROW()-7,"")</f>
        <v/>
      </c>
      <c r="B907" s="10" t="str">
        <f>IF(Tabla96[[#This Row],[Id]]="","",VLOOKUP(Tabla96[[#This Row],[Id]]+1,TablaEquipos[],3,FALSE))</f>
        <v/>
      </c>
      <c r="C907" s="45" t="str">
        <f>IF(Tabla96[[#This Row],[Id]]="","",VLOOKUP(Tabla96[[#This Row],[Id]]+1,TablaEquipos[],4,FALSE))</f>
        <v/>
      </c>
      <c r="D907" s="13" t="str">
        <f>IF(Tabla96[[#This Row],[Id]]="","",COUNTIF(TablaTiempos[Club],Tabla96[[#This Row],[Pos]]))</f>
        <v/>
      </c>
      <c r="E907" s="47" t="str">
        <f>IF(Tabla96[[#This Row],[Id]]="","",Tabla96[[#This Row],[Total Llegados a Meta]]/Tabla96[[#This Row],[Total Inscritos]])</f>
        <v/>
      </c>
      <c r="F90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07" s="43">
        <f ca="1">NOW()-'LOS TIEMPOS'!$K$2</f>
        <v>42368.075526157409</v>
      </c>
    </row>
    <row r="908" spans="1:8" x14ac:dyDescent="0.2">
      <c r="A908" s="13" t="str">
        <f>IF(ROW()-5&lt;=COUNTA(TablaEquipos[Compite]),ROW()-7,"")</f>
        <v/>
      </c>
      <c r="B908" s="10" t="str">
        <f>IF(Tabla96[[#This Row],[Id]]="","",VLOOKUP(Tabla96[[#This Row],[Id]]+1,TablaEquipos[],3,FALSE))</f>
        <v/>
      </c>
      <c r="C908" s="45" t="str">
        <f>IF(Tabla96[[#This Row],[Id]]="","",VLOOKUP(Tabla96[[#This Row],[Id]]+1,TablaEquipos[],4,FALSE))</f>
        <v/>
      </c>
      <c r="D908" s="13" t="str">
        <f>IF(Tabla96[[#This Row],[Id]]="","",COUNTIF(TablaTiempos[Club],Tabla96[[#This Row],[Pos]]))</f>
        <v/>
      </c>
      <c r="E908" s="47" t="str">
        <f>IF(Tabla96[[#This Row],[Id]]="","",Tabla96[[#This Row],[Total Llegados a Meta]]/Tabla96[[#This Row],[Total Inscritos]])</f>
        <v/>
      </c>
      <c r="F90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08" s="43">
        <f ca="1">NOW()-'LOS TIEMPOS'!$K$2</f>
        <v>42368.075526157409</v>
      </c>
    </row>
    <row r="909" spans="1:8" x14ac:dyDescent="0.2">
      <c r="A909" s="13" t="str">
        <f>IF(ROW()-5&lt;=COUNTA(TablaEquipos[Compite]),ROW()-7,"")</f>
        <v/>
      </c>
      <c r="B909" s="10" t="str">
        <f>IF(Tabla96[[#This Row],[Id]]="","",VLOOKUP(Tabla96[[#This Row],[Id]]+1,TablaEquipos[],3,FALSE))</f>
        <v/>
      </c>
      <c r="C909" s="45" t="str">
        <f>IF(Tabla96[[#This Row],[Id]]="","",VLOOKUP(Tabla96[[#This Row],[Id]]+1,TablaEquipos[],4,FALSE))</f>
        <v/>
      </c>
      <c r="D909" s="13" t="str">
        <f>IF(Tabla96[[#This Row],[Id]]="","",COUNTIF(TablaTiempos[Club],Tabla96[[#This Row],[Pos]]))</f>
        <v/>
      </c>
      <c r="E909" s="47" t="str">
        <f>IF(Tabla96[[#This Row],[Id]]="","",Tabla96[[#This Row],[Total Llegados a Meta]]/Tabla96[[#This Row],[Total Inscritos]])</f>
        <v/>
      </c>
      <c r="F90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09" s="43">
        <f ca="1">NOW()-'LOS TIEMPOS'!$K$2</f>
        <v>42368.075526157409</v>
      </c>
    </row>
    <row r="910" spans="1:8" x14ac:dyDescent="0.2">
      <c r="A910" s="13" t="str">
        <f>IF(ROW()-5&lt;=COUNTA(TablaEquipos[Compite]),ROW()-7,"")</f>
        <v/>
      </c>
      <c r="B910" s="10" t="str">
        <f>IF(Tabla96[[#This Row],[Id]]="","",VLOOKUP(Tabla96[[#This Row],[Id]]+1,TablaEquipos[],3,FALSE))</f>
        <v/>
      </c>
      <c r="C910" s="45" t="str">
        <f>IF(Tabla96[[#This Row],[Id]]="","",VLOOKUP(Tabla96[[#This Row],[Id]]+1,TablaEquipos[],4,FALSE))</f>
        <v/>
      </c>
      <c r="D910" s="13" t="str">
        <f>IF(Tabla96[[#This Row],[Id]]="","",COUNTIF(TablaTiempos[Club],Tabla96[[#This Row],[Pos]]))</f>
        <v/>
      </c>
      <c r="E910" s="47" t="str">
        <f>IF(Tabla96[[#This Row],[Id]]="","",Tabla96[[#This Row],[Total Llegados a Meta]]/Tabla96[[#This Row],[Total Inscritos]])</f>
        <v/>
      </c>
      <c r="F91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10" s="43">
        <f ca="1">NOW()-'LOS TIEMPOS'!$K$2</f>
        <v>42368.075526157409</v>
      </c>
    </row>
    <row r="911" spans="1:8" x14ac:dyDescent="0.2">
      <c r="A911" s="13" t="str">
        <f>IF(ROW()-5&lt;=COUNTA(TablaEquipos[Compite]),ROW()-7,"")</f>
        <v/>
      </c>
      <c r="B911" s="10" t="str">
        <f>IF(Tabla96[[#This Row],[Id]]="","",VLOOKUP(Tabla96[[#This Row],[Id]]+1,TablaEquipos[],3,FALSE))</f>
        <v/>
      </c>
      <c r="C911" s="45" t="str">
        <f>IF(Tabla96[[#This Row],[Id]]="","",VLOOKUP(Tabla96[[#This Row],[Id]]+1,TablaEquipos[],4,FALSE))</f>
        <v/>
      </c>
      <c r="D911" s="13" t="str">
        <f>IF(Tabla96[[#This Row],[Id]]="","",COUNTIF(TablaTiempos[Club],Tabla96[[#This Row],[Pos]]))</f>
        <v/>
      </c>
      <c r="E911" s="47" t="str">
        <f>IF(Tabla96[[#This Row],[Id]]="","",Tabla96[[#This Row],[Total Llegados a Meta]]/Tabla96[[#This Row],[Total Inscritos]])</f>
        <v/>
      </c>
      <c r="F91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11" s="43">
        <f ca="1">NOW()-'LOS TIEMPOS'!$K$2</f>
        <v>42368.075526157409</v>
      </c>
    </row>
    <row r="912" spans="1:8" x14ac:dyDescent="0.2">
      <c r="A912" s="13" t="str">
        <f>IF(ROW()-5&lt;=COUNTA(TablaEquipos[Compite]),ROW()-7,"")</f>
        <v/>
      </c>
      <c r="B912" s="10" t="str">
        <f>IF(Tabla96[[#This Row],[Id]]="","",VLOOKUP(Tabla96[[#This Row],[Id]]+1,TablaEquipos[],3,FALSE))</f>
        <v/>
      </c>
      <c r="C912" s="45" t="str">
        <f>IF(Tabla96[[#This Row],[Id]]="","",VLOOKUP(Tabla96[[#This Row],[Id]]+1,TablaEquipos[],4,FALSE))</f>
        <v/>
      </c>
      <c r="D912" s="13" t="str">
        <f>IF(Tabla96[[#This Row],[Id]]="","",COUNTIF(TablaTiempos[Club],Tabla96[[#This Row],[Pos]]))</f>
        <v/>
      </c>
      <c r="E912" s="47" t="str">
        <f>IF(Tabla96[[#This Row],[Id]]="","",Tabla96[[#This Row],[Total Llegados a Meta]]/Tabla96[[#This Row],[Total Inscritos]])</f>
        <v/>
      </c>
      <c r="F91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12" s="43">
        <f ca="1">NOW()-'LOS TIEMPOS'!$K$2</f>
        <v>42368.075526157409</v>
      </c>
    </row>
    <row r="913" spans="1:8" x14ac:dyDescent="0.2">
      <c r="A913" s="13" t="str">
        <f>IF(ROW()-5&lt;=COUNTA(TablaEquipos[Compite]),ROW()-7,"")</f>
        <v/>
      </c>
      <c r="B913" s="10" t="str">
        <f>IF(Tabla96[[#This Row],[Id]]="","",VLOOKUP(Tabla96[[#This Row],[Id]]+1,TablaEquipos[],3,FALSE))</f>
        <v/>
      </c>
      <c r="C913" s="45" t="str">
        <f>IF(Tabla96[[#This Row],[Id]]="","",VLOOKUP(Tabla96[[#This Row],[Id]]+1,TablaEquipos[],4,FALSE))</f>
        <v/>
      </c>
      <c r="D913" s="13" t="str">
        <f>IF(Tabla96[[#This Row],[Id]]="","",COUNTIF(TablaTiempos[Club],Tabla96[[#This Row],[Pos]]))</f>
        <v/>
      </c>
      <c r="E913" s="47" t="str">
        <f>IF(Tabla96[[#This Row],[Id]]="","",Tabla96[[#This Row],[Total Llegados a Meta]]/Tabla96[[#This Row],[Total Inscritos]])</f>
        <v/>
      </c>
      <c r="F91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13" s="43">
        <f ca="1">NOW()-'LOS TIEMPOS'!$K$2</f>
        <v>42368.075526157409</v>
      </c>
    </row>
    <row r="914" spans="1:8" x14ac:dyDescent="0.2">
      <c r="A914" s="13" t="str">
        <f>IF(ROW()-5&lt;=COUNTA(TablaEquipos[Compite]),ROW()-7,"")</f>
        <v/>
      </c>
      <c r="B914" s="10" t="str">
        <f>IF(Tabla96[[#This Row],[Id]]="","",VLOOKUP(Tabla96[[#This Row],[Id]]+1,TablaEquipos[],3,FALSE))</f>
        <v/>
      </c>
      <c r="C914" s="45" t="str">
        <f>IF(Tabla96[[#This Row],[Id]]="","",VLOOKUP(Tabla96[[#This Row],[Id]]+1,TablaEquipos[],4,FALSE))</f>
        <v/>
      </c>
      <c r="D914" s="13" t="str">
        <f>IF(Tabla96[[#This Row],[Id]]="","",COUNTIF(TablaTiempos[Club],Tabla96[[#This Row],[Pos]]))</f>
        <v/>
      </c>
      <c r="E914" s="47" t="str">
        <f>IF(Tabla96[[#This Row],[Id]]="","",Tabla96[[#This Row],[Total Llegados a Meta]]/Tabla96[[#This Row],[Total Inscritos]])</f>
        <v/>
      </c>
      <c r="F91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14" s="43">
        <f ca="1">NOW()-'LOS TIEMPOS'!$K$2</f>
        <v>42368.075526157409</v>
      </c>
    </row>
    <row r="915" spans="1:8" x14ac:dyDescent="0.2">
      <c r="A915" s="13" t="str">
        <f>IF(ROW()-5&lt;=COUNTA(TablaEquipos[Compite]),ROW()-7,"")</f>
        <v/>
      </c>
      <c r="B915" s="10" t="str">
        <f>IF(Tabla96[[#This Row],[Id]]="","",VLOOKUP(Tabla96[[#This Row],[Id]]+1,TablaEquipos[],3,FALSE))</f>
        <v/>
      </c>
      <c r="C915" s="45" t="str">
        <f>IF(Tabla96[[#This Row],[Id]]="","",VLOOKUP(Tabla96[[#This Row],[Id]]+1,TablaEquipos[],4,FALSE))</f>
        <v/>
      </c>
      <c r="D915" s="13" t="str">
        <f>IF(Tabla96[[#This Row],[Id]]="","",COUNTIF(TablaTiempos[Club],Tabla96[[#This Row],[Pos]]))</f>
        <v/>
      </c>
      <c r="E915" s="47" t="str">
        <f>IF(Tabla96[[#This Row],[Id]]="","",Tabla96[[#This Row],[Total Llegados a Meta]]/Tabla96[[#This Row],[Total Inscritos]])</f>
        <v/>
      </c>
      <c r="F91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15" s="43">
        <f ca="1">NOW()-'LOS TIEMPOS'!$K$2</f>
        <v>42368.075526157409</v>
      </c>
    </row>
    <row r="916" spans="1:8" x14ac:dyDescent="0.2">
      <c r="A916" s="13" t="str">
        <f>IF(ROW()-5&lt;=COUNTA(TablaEquipos[Compite]),ROW()-7,"")</f>
        <v/>
      </c>
      <c r="B916" s="10" t="str">
        <f>IF(Tabla96[[#This Row],[Id]]="","",VLOOKUP(Tabla96[[#This Row],[Id]]+1,TablaEquipos[],3,FALSE))</f>
        <v/>
      </c>
      <c r="C916" s="45" t="str">
        <f>IF(Tabla96[[#This Row],[Id]]="","",VLOOKUP(Tabla96[[#This Row],[Id]]+1,TablaEquipos[],4,FALSE))</f>
        <v/>
      </c>
      <c r="D916" s="13" t="str">
        <f>IF(Tabla96[[#This Row],[Id]]="","",COUNTIF(TablaTiempos[Club],Tabla96[[#This Row],[Pos]]))</f>
        <v/>
      </c>
      <c r="E916" s="47" t="str">
        <f>IF(Tabla96[[#This Row],[Id]]="","",Tabla96[[#This Row],[Total Llegados a Meta]]/Tabla96[[#This Row],[Total Inscritos]])</f>
        <v/>
      </c>
      <c r="F91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16" s="43">
        <f ca="1">NOW()-'LOS TIEMPOS'!$K$2</f>
        <v>42368.075526157409</v>
      </c>
    </row>
    <row r="917" spans="1:8" x14ac:dyDescent="0.2">
      <c r="A917" s="13" t="str">
        <f>IF(ROW()-5&lt;=COUNTA(TablaEquipos[Compite]),ROW()-7,"")</f>
        <v/>
      </c>
      <c r="B917" s="10" t="str">
        <f>IF(Tabla96[[#This Row],[Id]]="","",VLOOKUP(Tabla96[[#This Row],[Id]]+1,TablaEquipos[],3,FALSE))</f>
        <v/>
      </c>
      <c r="C917" s="45" t="str">
        <f>IF(Tabla96[[#This Row],[Id]]="","",VLOOKUP(Tabla96[[#This Row],[Id]]+1,TablaEquipos[],4,FALSE))</f>
        <v/>
      </c>
      <c r="D917" s="13" t="str">
        <f>IF(Tabla96[[#This Row],[Id]]="","",COUNTIF(TablaTiempos[Club],Tabla96[[#This Row],[Pos]]))</f>
        <v/>
      </c>
      <c r="E917" s="47" t="str">
        <f>IF(Tabla96[[#This Row],[Id]]="","",Tabla96[[#This Row],[Total Llegados a Meta]]/Tabla96[[#This Row],[Total Inscritos]])</f>
        <v/>
      </c>
      <c r="F91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17" s="43">
        <f ca="1">NOW()-'LOS TIEMPOS'!$K$2</f>
        <v>42368.075526157409</v>
      </c>
    </row>
    <row r="918" spans="1:8" x14ac:dyDescent="0.2">
      <c r="A918" s="13" t="str">
        <f>IF(ROW()-5&lt;=COUNTA(TablaEquipos[Compite]),ROW()-7,"")</f>
        <v/>
      </c>
      <c r="B918" s="10" t="str">
        <f>IF(Tabla96[[#This Row],[Id]]="","",VLOOKUP(Tabla96[[#This Row],[Id]]+1,TablaEquipos[],3,FALSE))</f>
        <v/>
      </c>
      <c r="C918" s="45" t="str">
        <f>IF(Tabla96[[#This Row],[Id]]="","",VLOOKUP(Tabla96[[#This Row],[Id]]+1,TablaEquipos[],4,FALSE))</f>
        <v/>
      </c>
      <c r="D918" s="13" t="str">
        <f>IF(Tabla96[[#This Row],[Id]]="","",COUNTIF(TablaTiempos[Club],Tabla96[[#This Row],[Pos]]))</f>
        <v/>
      </c>
      <c r="E918" s="47" t="str">
        <f>IF(Tabla96[[#This Row],[Id]]="","",Tabla96[[#This Row],[Total Llegados a Meta]]/Tabla96[[#This Row],[Total Inscritos]])</f>
        <v/>
      </c>
      <c r="F91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18" s="43">
        <f ca="1">NOW()-'LOS TIEMPOS'!$K$2</f>
        <v>42368.075526157409</v>
      </c>
    </row>
    <row r="919" spans="1:8" x14ac:dyDescent="0.2">
      <c r="A919" s="13" t="str">
        <f>IF(ROW()-5&lt;=COUNTA(TablaEquipos[Compite]),ROW()-7,"")</f>
        <v/>
      </c>
      <c r="B919" s="10" t="str">
        <f>IF(Tabla96[[#This Row],[Id]]="","",VLOOKUP(Tabla96[[#This Row],[Id]]+1,TablaEquipos[],3,FALSE))</f>
        <v/>
      </c>
      <c r="C919" s="45" t="str">
        <f>IF(Tabla96[[#This Row],[Id]]="","",VLOOKUP(Tabla96[[#This Row],[Id]]+1,TablaEquipos[],4,FALSE))</f>
        <v/>
      </c>
      <c r="D919" s="13" t="str">
        <f>IF(Tabla96[[#This Row],[Id]]="","",COUNTIF(TablaTiempos[Club],Tabla96[[#This Row],[Pos]]))</f>
        <v/>
      </c>
      <c r="E919" s="47" t="str">
        <f>IF(Tabla96[[#This Row],[Id]]="","",Tabla96[[#This Row],[Total Llegados a Meta]]/Tabla96[[#This Row],[Total Inscritos]])</f>
        <v/>
      </c>
      <c r="F91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19" s="43">
        <f ca="1">NOW()-'LOS TIEMPOS'!$K$2</f>
        <v>42368.075526157409</v>
      </c>
    </row>
    <row r="920" spans="1:8" x14ac:dyDescent="0.2">
      <c r="A920" s="13" t="str">
        <f>IF(ROW()-5&lt;=COUNTA(TablaEquipos[Compite]),ROW()-7,"")</f>
        <v/>
      </c>
      <c r="B920" s="10" t="str">
        <f>IF(Tabla96[[#This Row],[Id]]="","",VLOOKUP(Tabla96[[#This Row],[Id]]+1,TablaEquipos[],3,FALSE))</f>
        <v/>
      </c>
      <c r="C920" s="45" t="str">
        <f>IF(Tabla96[[#This Row],[Id]]="","",VLOOKUP(Tabla96[[#This Row],[Id]]+1,TablaEquipos[],4,FALSE))</f>
        <v/>
      </c>
      <c r="D920" s="13" t="str">
        <f>IF(Tabla96[[#This Row],[Id]]="","",COUNTIF(TablaTiempos[Club],Tabla96[[#This Row],[Pos]]))</f>
        <v/>
      </c>
      <c r="E920" s="47" t="str">
        <f>IF(Tabla96[[#This Row],[Id]]="","",Tabla96[[#This Row],[Total Llegados a Meta]]/Tabla96[[#This Row],[Total Inscritos]])</f>
        <v/>
      </c>
      <c r="F92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20" s="43">
        <f ca="1">NOW()-'LOS TIEMPOS'!$K$2</f>
        <v>42368.075526157409</v>
      </c>
    </row>
    <row r="921" spans="1:8" x14ac:dyDescent="0.2">
      <c r="A921" s="13" t="str">
        <f>IF(ROW()-5&lt;=COUNTA(TablaEquipos[Compite]),ROW()-7,"")</f>
        <v/>
      </c>
      <c r="B921" s="10" t="str">
        <f>IF(Tabla96[[#This Row],[Id]]="","",VLOOKUP(Tabla96[[#This Row],[Id]]+1,TablaEquipos[],3,FALSE))</f>
        <v/>
      </c>
      <c r="C921" s="45" t="str">
        <f>IF(Tabla96[[#This Row],[Id]]="","",VLOOKUP(Tabla96[[#This Row],[Id]]+1,TablaEquipos[],4,FALSE))</f>
        <v/>
      </c>
      <c r="D921" s="13" t="str">
        <f>IF(Tabla96[[#This Row],[Id]]="","",COUNTIF(TablaTiempos[Club],Tabla96[[#This Row],[Pos]]))</f>
        <v/>
      </c>
      <c r="E921" s="47" t="str">
        <f>IF(Tabla96[[#This Row],[Id]]="","",Tabla96[[#This Row],[Total Llegados a Meta]]/Tabla96[[#This Row],[Total Inscritos]])</f>
        <v/>
      </c>
      <c r="F92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21" s="43">
        <f ca="1">NOW()-'LOS TIEMPOS'!$K$2</f>
        <v>42368.075526157409</v>
      </c>
    </row>
    <row r="922" spans="1:8" x14ac:dyDescent="0.2">
      <c r="A922" s="13" t="str">
        <f>IF(ROW()-5&lt;=COUNTA(TablaEquipos[Compite]),ROW()-7,"")</f>
        <v/>
      </c>
      <c r="B922" s="10" t="str">
        <f>IF(Tabla96[[#This Row],[Id]]="","",VLOOKUP(Tabla96[[#This Row],[Id]]+1,TablaEquipos[],3,FALSE))</f>
        <v/>
      </c>
      <c r="C922" s="45" t="str">
        <f>IF(Tabla96[[#This Row],[Id]]="","",VLOOKUP(Tabla96[[#This Row],[Id]]+1,TablaEquipos[],4,FALSE))</f>
        <v/>
      </c>
      <c r="D922" s="13" t="str">
        <f>IF(Tabla96[[#This Row],[Id]]="","",COUNTIF(TablaTiempos[Club],Tabla96[[#This Row],[Pos]]))</f>
        <v/>
      </c>
      <c r="E922" s="47" t="str">
        <f>IF(Tabla96[[#This Row],[Id]]="","",Tabla96[[#This Row],[Total Llegados a Meta]]/Tabla96[[#This Row],[Total Inscritos]])</f>
        <v/>
      </c>
      <c r="F92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22" s="43">
        <f ca="1">NOW()-'LOS TIEMPOS'!$K$2</f>
        <v>42368.075526157409</v>
      </c>
    </row>
    <row r="923" spans="1:8" x14ac:dyDescent="0.2">
      <c r="A923" s="13" t="str">
        <f>IF(ROW()-5&lt;=COUNTA(TablaEquipos[Compite]),ROW()-7,"")</f>
        <v/>
      </c>
      <c r="B923" s="10" t="str">
        <f>IF(Tabla96[[#This Row],[Id]]="","",VLOOKUP(Tabla96[[#This Row],[Id]]+1,TablaEquipos[],3,FALSE))</f>
        <v/>
      </c>
      <c r="C923" s="45" t="str">
        <f>IF(Tabla96[[#This Row],[Id]]="","",VLOOKUP(Tabla96[[#This Row],[Id]]+1,TablaEquipos[],4,FALSE))</f>
        <v/>
      </c>
      <c r="D923" s="13" t="str">
        <f>IF(Tabla96[[#This Row],[Id]]="","",COUNTIF(TablaTiempos[Club],Tabla96[[#This Row],[Pos]]))</f>
        <v/>
      </c>
      <c r="E923" s="47" t="str">
        <f>IF(Tabla96[[#This Row],[Id]]="","",Tabla96[[#This Row],[Total Llegados a Meta]]/Tabla96[[#This Row],[Total Inscritos]])</f>
        <v/>
      </c>
      <c r="F92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23" s="43">
        <f ca="1">NOW()-'LOS TIEMPOS'!$K$2</f>
        <v>42368.075526157409</v>
      </c>
    </row>
    <row r="924" spans="1:8" x14ac:dyDescent="0.2">
      <c r="A924" s="13" t="str">
        <f>IF(ROW()-5&lt;=COUNTA(TablaEquipos[Compite]),ROW()-7,"")</f>
        <v/>
      </c>
      <c r="B924" s="10" t="str">
        <f>IF(Tabla96[[#This Row],[Id]]="","",VLOOKUP(Tabla96[[#This Row],[Id]]+1,TablaEquipos[],3,FALSE))</f>
        <v/>
      </c>
      <c r="C924" s="45" t="str">
        <f>IF(Tabla96[[#This Row],[Id]]="","",VLOOKUP(Tabla96[[#This Row],[Id]]+1,TablaEquipos[],4,FALSE))</f>
        <v/>
      </c>
      <c r="D924" s="13" t="str">
        <f>IF(Tabla96[[#This Row],[Id]]="","",COUNTIF(TablaTiempos[Club],Tabla96[[#This Row],[Pos]]))</f>
        <v/>
      </c>
      <c r="E924" s="47" t="str">
        <f>IF(Tabla96[[#This Row],[Id]]="","",Tabla96[[#This Row],[Total Llegados a Meta]]/Tabla96[[#This Row],[Total Inscritos]])</f>
        <v/>
      </c>
      <c r="F92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24" s="43">
        <f ca="1">NOW()-'LOS TIEMPOS'!$K$2</f>
        <v>42368.075526157409</v>
      </c>
    </row>
    <row r="925" spans="1:8" x14ac:dyDescent="0.2">
      <c r="A925" s="13" t="str">
        <f>IF(ROW()-5&lt;=COUNTA(TablaEquipos[Compite]),ROW()-7,"")</f>
        <v/>
      </c>
      <c r="B925" s="10" t="str">
        <f>IF(Tabla96[[#This Row],[Id]]="","",VLOOKUP(Tabla96[[#This Row],[Id]]+1,TablaEquipos[],3,FALSE))</f>
        <v/>
      </c>
      <c r="C925" s="45" t="str">
        <f>IF(Tabla96[[#This Row],[Id]]="","",VLOOKUP(Tabla96[[#This Row],[Id]]+1,TablaEquipos[],4,FALSE))</f>
        <v/>
      </c>
      <c r="D925" s="13" t="str">
        <f>IF(Tabla96[[#This Row],[Id]]="","",COUNTIF(TablaTiempos[Club],Tabla96[[#This Row],[Pos]]))</f>
        <v/>
      </c>
      <c r="E925" s="47" t="str">
        <f>IF(Tabla96[[#This Row],[Id]]="","",Tabla96[[#This Row],[Total Llegados a Meta]]/Tabla96[[#This Row],[Total Inscritos]])</f>
        <v/>
      </c>
      <c r="F92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25" s="43">
        <f ca="1">NOW()-'LOS TIEMPOS'!$K$2</f>
        <v>42368.075526157409</v>
      </c>
    </row>
    <row r="926" spans="1:8" x14ac:dyDescent="0.2">
      <c r="A926" s="13" t="str">
        <f>IF(ROW()-5&lt;=COUNTA(TablaEquipos[Compite]),ROW()-7,"")</f>
        <v/>
      </c>
      <c r="B926" s="10" t="str">
        <f>IF(Tabla96[[#This Row],[Id]]="","",VLOOKUP(Tabla96[[#This Row],[Id]]+1,TablaEquipos[],3,FALSE))</f>
        <v/>
      </c>
      <c r="C926" s="45" t="str">
        <f>IF(Tabla96[[#This Row],[Id]]="","",VLOOKUP(Tabla96[[#This Row],[Id]]+1,TablaEquipos[],4,FALSE))</f>
        <v/>
      </c>
      <c r="D926" s="13" t="str">
        <f>IF(Tabla96[[#This Row],[Id]]="","",COUNTIF(TablaTiempos[Club],Tabla96[[#This Row],[Pos]]))</f>
        <v/>
      </c>
      <c r="E926" s="47" t="str">
        <f>IF(Tabla96[[#This Row],[Id]]="","",Tabla96[[#This Row],[Total Llegados a Meta]]/Tabla96[[#This Row],[Total Inscritos]])</f>
        <v/>
      </c>
      <c r="F92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26" s="43">
        <f ca="1">NOW()-'LOS TIEMPOS'!$K$2</f>
        <v>42368.075526157409</v>
      </c>
    </row>
    <row r="927" spans="1:8" x14ac:dyDescent="0.2">
      <c r="A927" s="13" t="str">
        <f>IF(ROW()-5&lt;=COUNTA(TablaEquipos[Compite]),ROW()-7,"")</f>
        <v/>
      </c>
      <c r="B927" s="10" t="str">
        <f>IF(Tabla96[[#This Row],[Id]]="","",VLOOKUP(Tabla96[[#This Row],[Id]]+1,TablaEquipos[],3,FALSE))</f>
        <v/>
      </c>
      <c r="C927" s="45" t="str">
        <f>IF(Tabla96[[#This Row],[Id]]="","",VLOOKUP(Tabla96[[#This Row],[Id]]+1,TablaEquipos[],4,FALSE))</f>
        <v/>
      </c>
      <c r="D927" s="13" t="str">
        <f>IF(Tabla96[[#This Row],[Id]]="","",COUNTIF(TablaTiempos[Club],Tabla96[[#This Row],[Pos]]))</f>
        <v/>
      </c>
      <c r="E927" s="47" t="str">
        <f>IF(Tabla96[[#This Row],[Id]]="","",Tabla96[[#This Row],[Total Llegados a Meta]]/Tabla96[[#This Row],[Total Inscritos]])</f>
        <v/>
      </c>
      <c r="F92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27" s="43">
        <f ca="1">NOW()-'LOS TIEMPOS'!$K$2</f>
        <v>42368.075526157409</v>
      </c>
    </row>
    <row r="928" spans="1:8" x14ac:dyDescent="0.2">
      <c r="A928" s="13" t="str">
        <f>IF(ROW()-5&lt;=COUNTA(TablaEquipos[Compite]),ROW()-7,"")</f>
        <v/>
      </c>
      <c r="B928" s="10" t="str">
        <f>IF(Tabla96[[#This Row],[Id]]="","",VLOOKUP(Tabla96[[#This Row],[Id]]+1,TablaEquipos[],3,FALSE))</f>
        <v/>
      </c>
      <c r="C928" s="45" t="str">
        <f>IF(Tabla96[[#This Row],[Id]]="","",VLOOKUP(Tabla96[[#This Row],[Id]]+1,TablaEquipos[],4,FALSE))</f>
        <v/>
      </c>
      <c r="D928" s="13" t="str">
        <f>IF(Tabla96[[#This Row],[Id]]="","",COUNTIF(TablaTiempos[Club],Tabla96[[#This Row],[Pos]]))</f>
        <v/>
      </c>
      <c r="E928" s="47" t="str">
        <f>IF(Tabla96[[#This Row],[Id]]="","",Tabla96[[#This Row],[Total Llegados a Meta]]/Tabla96[[#This Row],[Total Inscritos]])</f>
        <v/>
      </c>
      <c r="F92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28" s="43">
        <f ca="1">NOW()-'LOS TIEMPOS'!$K$2</f>
        <v>42368.075526157409</v>
      </c>
    </row>
    <row r="929" spans="1:8" x14ac:dyDescent="0.2">
      <c r="A929" s="13" t="str">
        <f>IF(ROW()-5&lt;=COUNTA(TablaEquipos[Compite]),ROW()-7,"")</f>
        <v/>
      </c>
      <c r="B929" s="10" t="str">
        <f>IF(Tabla96[[#This Row],[Id]]="","",VLOOKUP(Tabla96[[#This Row],[Id]]+1,TablaEquipos[],3,FALSE))</f>
        <v/>
      </c>
      <c r="C929" s="45" t="str">
        <f>IF(Tabla96[[#This Row],[Id]]="","",VLOOKUP(Tabla96[[#This Row],[Id]]+1,TablaEquipos[],4,FALSE))</f>
        <v/>
      </c>
      <c r="D929" s="13" t="str">
        <f>IF(Tabla96[[#This Row],[Id]]="","",COUNTIF(TablaTiempos[Club],Tabla96[[#This Row],[Pos]]))</f>
        <v/>
      </c>
      <c r="E929" s="47" t="str">
        <f>IF(Tabla96[[#This Row],[Id]]="","",Tabla96[[#This Row],[Total Llegados a Meta]]/Tabla96[[#This Row],[Total Inscritos]])</f>
        <v/>
      </c>
      <c r="F92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29" s="43">
        <f ca="1">NOW()-'LOS TIEMPOS'!$K$2</f>
        <v>42368.075526157409</v>
      </c>
    </row>
    <row r="930" spans="1:8" x14ac:dyDescent="0.2">
      <c r="A930" s="13" t="str">
        <f>IF(ROW()-5&lt;=COUNTA(TablaEquipos[Compite]),ROW()-7,"")</f>
        <v/>
      </c>
      <c r="B930" s="10" t="str">
        <f>IF(Tabla96[[#This Row],[Id]]="","",VLOOKUP(Tabla96[[#This Row],[Id]]+1,TablaEquipos[],3,FALSE))</f>
        <v/>
      </c>
      <c r="C930" s="45" t="str">
        <f>IF(Tabla96[[#This Row],[Id]]="","",VLOOKUP(Tabla96[[#This Row],[Id]]+1,TablaEquipos[],4,FALSE))</f>
        <v/>
      </c>
      <c r="D930" s="13" t="str">
        <f>IF(Tabla96[[#This Row],[Id]]="","",COUNTIF(TablaTiempos[Club],Tabla96[[#This Row],[Pos]]))</f>
        <v/>
      </c>
      <c r="E930" s="47" t="str">
        <f>IF(Tabla96[[#This Row],[Id]]="","",Tabla96[[#This Row],[Total Llegados a Meta]]/Tabla96[[#This Row],[Total Inscritos]])</f>
        <v/>
      </c>
      <c r="F93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30" s="43">
        <f ca="1">NOW()-'LOS TIEMPOS'!$K$2</f>
        <v>42368.075526157409</v>
      </c>
    </row>
    <row r="931" spans="1:8" x14ac:dyDescent="0.2">
      <c r="A931" s="13" t="str">
        <f>IF(ROW()-5&lt;=COUNTA(TablaEquipos[Compite]),ROW()-7,"")</f>
        <v/>
      </c>
      <c r="B931" s="10" t="str">
        <f>IF(Tabla96[[#This Row],[Id]]="","",VLOOKUP(Tabla96[[#This Row],[Id]]+1,TablaEquipos[],3,FALSE))</f>
        <v/>
      </c>
      <c r="C931" s="45" t="str">
        <f>IF(Tabla96[[#This Row],[Id]]="","",VLOOKUP(Tabla96[[#This Row],[Id]]+1,TablaEquipos[],4,FALSE))</f>
        <v/>
      </c>
      <c r="D931" s="13" t="str">
        <f>IF(Tabla96[[#This Row],[Id]]="","",COUNTIF(TablaTiempos[Club],Tabla96[[#This Row],[Pos]]))</f>
        <v/>
      </c>
      <c r="E931" s="47" t="str">
        <f>IF(Tabla96[[#This Row],[Id]]="","",Tabla96[[#This Row],[Total Llegados a Meta]]/Tabla96[[#This Row],[Total Inscritos]])</f>
        <v/>
      </c>
      <c r="F93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31" s="43">
        <f ca="1">NOW()-'LOS TIEMPOS'!$K$2</f>
        <v>42368.075526157409</v>
      </c>
    </row>
    <row r="932" spans="1:8" x14ac:dyDescent="0.2">
      <c r="A932" s="13" t="str">
        <f>IF(ROW()-5&lt;=COUNTA(TablaEquipos[Compite]),ROW()-7,"")</f>
        <v/>
      </c>
      <c r="B932" s="10" t="str">
        <f>IF(Tabla96[[#This Row],[Id]]="","",VLOOKUP(Tabla96[[#This Row],[Id]]+1,TablaEquipos[],3,FALSE))</f>
        <v/>
      </c>
      <c r="C932" s="45" t="str">
        <f>IF(Tabla96[[#This Row],[Id]]="","",VLOOKUP(Tabla96[[#This Row],[Id]]+1,TablaEquipos[],4,FALSE))</f>
        <v/>
      </c>
      <c r="D932" s="13" t="str">
        <f>IF(Tabla96[[#This Row],[Id]]="","",COUNTIF(TablaTiempos[Club],Tabla96[[#This Row],[Pos]]))</f>
        <v/>
      </c>
      <c r="E932" s="47" t="str">
        <f>IF(Tabla96[[#This Row],[Id]]="","",Tabla96[[#This Row],[Total Llegados a Meta]]/Tabla96[[#This Row],[Total Inscritos]])</f>
        <v/>
      </c>
      <c r="F93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32" s="43">
        <f ca="1">NOW()-'LOS TIEMPOS'!$K$2</f>
        <v>42368.075526157409</v>
      </c>
    </row>
    <row r="933" spans="1:8" x14ac:dyDescent="0.2">
      <c r="A933" s="13" t="str">
        <f>IF(ROW()-5&lt;=COUNTA(TablaEquipos[Compite]),ROW()-7,"")</f>
        <v/>
      </c>
      <c r="B933" s="10" t="str">
        <f>IF(Tabla96[[#This Row],[Id]]="","",VLOOKUP(Tabla96[[#This Row],[Id]]+1,TablaEquipos[],3,FALSE))</f>
        <v/>
      </c>
      <c r="C933" s="45" t="str">
        <f>IF(Tabla96[[#This Row],[Id]]="","",VLOOKUP(Tabla96[[#This Row],[Id]]+1,TablaEquipos[],4,FALSE))</f>
        <v/>
      </c>
      <c r="D933" s="13" t="str">
        <f>IF(Tabla96[[#This Row],[Id]]="","",COUNTIF(TablaTiempos[Club],Tabla96[[#This Row],[Pos]]))</f>
        <v/>
      </c>
      <c r="E933" s="47" t="str">
        <f>IF(Tabla96[[#This Row],[Id]]="","",Tabla96[[#This Row],[Total Llegados a Meta]]/Tabla96[[#This Row],[Total Inscritos]])</f>
        <v/>
      </c>
      <c r="F93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33" s="43">
        <f ca="1">NOW()-'LOS TIEMPOS'!$K$2</f>
        <v>42368.075526157409</v>
      </c>
    </row>
    <row r="934" spans="1:8" x14ac:dyDescent="0.2">
      <c r="A934" s="13" t="str">
        <f>IF(ROW()-5&lt;=COUNTA(TablaEquipos[Compite]),ROW()-7,"")</f>
        <v/>
      </c>
      <c r="B934" s="10" t="str">
        <f>IF(Tabla96[[#This Row],[Id]]="","",VLOOKUP(Tabla96[[#This Row],[Id]]+1,TablaEquipos[],3,FALSE))</f>
        <v/>
      </c>
      <c r="C934" s="45" t="str">
        <f>IF(Tabla96[[#This Row],[Id]]="","",VLOOKUP(Tabla96[[#This Row],[Id]]+1,TablaEquipos[],4,FALSE))</f>
        <v/>
      </c>
      <c r="D934" s="13" t="str">
        <f>IF(Tabla96[[#This Row],[Id]]="","",COUNTIF(TablaTiempos[Club],Tabla96[[#This Row],[Pos]]))</f>
        <v/>
      </c>
      <c r="E934" s="47" t="str">
        <f>IF(Tabla96[[#This Row],[Id]]="","",Tabla96[[#This Row],[Total Llegados a Meta]]/Tabla96[[#This Row],[Total Inscritos]])</f>
        <v/>
      </c>
      <c r="F93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34" s="43">
        <f ca="1">NOW()-'LOS TIEMPOS'!$K$2</f>
        <v>42368.075526157409</v>
      </c>
    </row>
    <row r="935" spans="1:8" x14ac:dyDescent="0.2">
      <c r="A935" s="13" t="str">
        <f>IF(ROW()-5&lt;=COUNTA(TablaEquipos[Compite]),ROW()-7,"")</f>
        <v/>
      </c>
      <c r="B935" s="10" t="str">
        <f>IF(Tabla96[[#This Row],[Id]]="","",VLOOKUP(Tabla96[[#This Row],[Id]]+1,TablaEquipos[],3,FALSE))</f>
        <v/>
      </c>
      <c r="C935" s="45" t="str">
        <f>IF(Tabla96[[#This Row],[Id]]="","",VLOOKUP(Tabla96[[#This Row],[Id]]+1,TablaEquipos[],4,FALSE))</f>
        <v/>
      </c>
      <c r="D935" s="13" t="str">
        <f>IF(Tabla96[[#This Row],[Id]]="","",COUNTIF(TablaTiempos[Club],Tabla96[[#This Row],[Pos]]))</f>
        <v/>
      </c>
      <c r="E935" s="47" t="str">
        <f>IF(Tabla96[[#This Row],[Id]]="","",Tabla96[[#This Row],[Total Llegados a Meta]]/Tabla96[[#This Row],[Total Inscritos]])</f>
        <v/>
      </c>
      <c r="F93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35" s="43">
        <f ca="1">NOW()-'LOS TIEMPOS'!$K$2</f>
        <v>42368.075526157409</v>
      </c>
    </row>
    <row r="936" spans="1:8" x14ac:dyDescent="0.2">
      <c r="A936" s="13" t="str">
        <f>IF(ROW()-5&lt;=COUNTA(TablaEquipos[Compite]),ROW()-7,"")</f>
        <v/>
      </c>
      <c r="B936" s="10" t="str">
        <f>IF(Tabla96[[#This Row],[Id]]="","",VLOOKUP(Tabla96[[#This Row],[Id]]+1,TablaEquipos[],3,FALSE))</f>
        <v/>
      </c>
      <c r="C936" s="45" t="str">
        <f>IF(Tabla96[[#This Row],[Id]]="","",VLOOKUP(Tabla96[[#This Row],[Id]]+1,TablaEquipos[],4,FALSE))</f>
        <v/>
      </c>
      <c r="D936" s="13" t="str">
        <f>IF(Tabla96[[#This Row],[Id]]="","",COUNTIF(TablaTiempos[Club],Tabla96[[#This Row],[Pos]]))</f>
        <v/>
      </c>
      <c r="E936" s="47" t="str">
        <f>IF(Tabla96[[#This Row],[Id]]="","",Tabla96[[#This Row],[Total Llegados a Meta]]/Tabla96[[#This Row],[Total Inscritos]])</f>
        <v/>
      </c>
      <c r="F93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36" s="43">
        <f ca="1">NOW()-'LOS TIEMPOS'!$K$2</f>
        <v>42368.075526157409</v>
      </c>
    </row>
    <row r="937" spans="1:8" x14ac:dyDescent="0.2">
      <c r="A937" s="13" t="str">
        <f>IF(ROW()-5&lt;=COUNTA(TablaEquipos[Compite]),ROW()-7,"")</f>
        <v/>
      </c>
      <c r="B937" s="10" t="str">
        <f>IF(Tabla96[[#This Row],[Id]]="","",VLOOKUP(Tabla96[[#This Row],[Id]]+1,TablaEquipos[],3,FALSE))</f>
        <v/>
      </c>
      <c r="C937" s="45" t="str">
        <f>IF(Tabla96[[#This Row],[Id]]="","",VLOOKUP(Tabla96[[#This Row],[Id]]+1,TablaEquipos[],4,FALSE))</f>
        <v/>
      </c>
      <c r="D937" s="13" t="str">
        <f>IF(Tabla96[[#This Row],[Id]]="","",COUNTIF(TablaTiempos[Club],Tabla96[[#This Row],[Pos]]))</f>
        <v/>
      </c>
      <c r="E937" s="47" t="str">
        <f>IF(Tabla96[[#This Row],[Id]]="","",Tabla96[[#This Row],[Total Llegados a Meta]]/Tabla96[[#This Row],[Total Inscritos]])</f>
        <v/>
      </c>
      <c r="F93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37" s="43">
        <f ca="1">NOW()-'LOS TIEMPOS'!$K$2</f>
        <v>42368.075526157409</v>
      </c>
    </row>
    <row r="938" spans="1:8" x14ac:dyDescent="0.2">
      <c r="A938" s="13" t="str">
        <f>IF(ROW()-5&lt;=COUNTA(TablaEquipos[Compite]),ROW()-7,"")</f>
        <v/>
      </c>
      <c r="B938" s="10" t="str">
        <f>IF(Tabla96[[#This Row],[Id]]="","",VLOOKUP(Tabla96[[#This Row],[Id]]+1,TablaEquipos[],3,FALSE))</f>
        <v/>
      </c>
      <c r="C938" s="45" t="str">
        <f>IF(Tabla96[[#This Row],[Id]]="","",VLOOKUP(Tabla96[[#This Row],[Id]]+1,TablaEquipos[],4,FALSE))</f>
        <v/>
      </c>
      <c r="D938" s="13" t="str">
        <f>IF(Tabla96[[#This Row],[Id]]="","",COUNTIF(TablaTiempos[Club],Tabla96[[#This Row],[Pos]]))</f>
        <v/>
      </c>
      <c r="E938" s="47" t="str">
        <f>IF(Tabla96[[#This Row],[Id]]="","",Tabla96[[#This Row],[Total Llegados a Meta]]/Tabla96[[#This Row],[Total Inscritos]])</f>
        <v/>
      </c>
      <c r="F93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38" s="43">
        <f ca="1">NOW()-'LOS TIEMPOS'!$K$2</f>
        <v>42368.075526157409</v>
      </c>
    </row>
    <row r="939" spans="1:8" x14ac:dyDescent="0.2">
      <c r="A939" s="13" t="str">
        <f>IF(ROW()-5&lt;=COUNTA(TablaEquipos[Compite]),ROW()-7,"")</f>
        <v/>
      </c>
      <c r="B939" s="10" t="str">
        <f>IF(Tabla96[[#This Row],[Id]]="","",VLOOKUP(Tabla96[[#This Row],[Id]]+1,TablaEquipos[],3,FALSE))</f>
        <v/>
      </c>
      <c r="C939" s="45" t="str">
        <f>IF(Tabla96[[#This Row],[Id]]="","",VLOOKUP(Tabla96[[#This Row],[Id]]+1,TablaEquipos[],4,FALSE))</f>
        <v/>
      </c>
      <c r="D939" s="13" t="str">
        <f>IF(Tabla96[[#This Row],[Id]]="","",COUNTIF(TablaTiempos[Club],Tabla96[[#This Row],[Pos]]))</f>
        <v/>
      </c>
      <c r="E939" s="47" t="str">
        <f>IF(Tabla96[[#This Row],[Id]]="","",Tabla96[[#This Row],[Total Llegados a Meta]]/Tabla96[[#This Row],[Total Inscritos]])</f>
        <v/>
      </c>
      <c r="F93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39" s="43">
        <f ca="1">NOW()-'LOS TIEMPOS'!$K$2</f>
        <v>42368.075526157409</v>
      </c>
    </row>
    <row r="940" spans="1:8" x14ac:dyDescent="0.2">
      <c r="A940" s="13" t="str">
        <f>IF(ROW()-5&lt;=COUNTA(TablaEquipos[Compite]),ROW()-7,"")</f>
        <v/>
      </c>
      <c r="B940" s="10" t="str">
        <f>IF(Tabla96[[#This Row],[Id]]="","",VLOOKUP(Tabla96[[#This Row],[Id]]+1,TablaEquipos[],3,FALSE))</f>
        <v/>
      </c>
      <c r="C940" s="45" t="str">
        <f>IF(Tabla96[[#This Row],[Id]]="","",VLOOKUP(Tabla96[[#This Row],[Id]]+1,TablaEquipos[],4,FALSE))</f>
        <v/>
      </c>
      <c r="D940" s="13" t="str">
        <f>IF(Tabla96[[#This Row],[Id]]="","",COUNTIF(TablaTiempos[Club],Tabla96[[#This Row],[Pos]]))</f>
        <v/>
      </c>
      <c r="E940" s="47" t="str">
        <f>IF(Tabla96[[#This Row],[Id]]="","",Tabla96[[#This Row],[Total Llegados a Meta]]/Tabla96[[#This Row],[Total Inscritos]])</f>
        <v/>
      </c>
      <c r="F94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40" s="43">
        <f ca="1">NOW()-'LOS TIEMPOS'!$K$2</f>
        <v>42368.075526157409</v>
      </c>
    </row>
    <row r="941" spans="1:8" x14ac:dyDescent="0.2">
      <c r="A941" s="13" t="str">
        <f>IF(ROW()-5&lt;=COUNTA(TablaEquipos[Compite]),ROW()-7,"")</f>
        <v/>
      </c>
      <c r="B941" s="10" t="str">
        <f>IF(Tabla96[[#This Row],[Id]]="","",VLOOKUP(Tabla96[[#This Row],[Id]]+1,TablaEquipos[],3,FALSE))</f>
        <v/>
      </c>
      <c r="C941" s="45" t="str">
        <f>IF(Tabla96[[#This Row],[Id]]="","",VLOOKUP(Tabla96[[#This Row],[Id]]+1,TablaEquipos[],4,FALSE))</f>
        <v/>
      </c>
      <c r="D941" s="13" t="str">
        <f>IF(Tabla96[[#This Row],[Id]]="","",COUNTIF(TablaTiempos[Club],Tabla96[[#This Row],[Pos]]))</f>
        <v/>
      </c>
      <c r="E941" s="47" t="str">
        <f>IF(Tabla96[[#This Row],[Id]]="","",Tabla96[[#This Row],[Total Llegados a Meta]]/Tabla96[[#This Row],[Total Inscritos]])</f>
        <v/>
      </c>
      <c r="F94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41" s="43">
        <f ca="1">NOW()-'LOS TIEMPOS'!$K$2</f>
        <v>42368.075526157409</v>
      </c>
    </row>
    <row r="942" spans="1:8" x14ac:dyDescent="0.2">
      <c r="A942" s="13" t="str">
        <f>IF(ROW()-5&lt;=COUNTA(TablaEquipos[Compite]),ROW()-7,"")</f>
        <v/>
      </c>
      <c r="B942" s="10" t="str">
        <f>IF(Tabla96[[#This Row],[Id]]="","",VLOOKUP(Tabla96[[#This Row],[Id]]+1,TablaEquipos[],3,FALSE))</f>
        <v/>
      </c>
      <c r="C942" s="45" t="str">
        <f>IF(Tabla96[[#This Row],[Id]]="","",VLOOKUP(Tabla96[[#This Row],[Id]]+1,TablaEquipos[],4,FALSE))</f>
        <v/>
      </c>
      <c r="D942" s="13" t="str">
        <f>IF(Tabla96[[#This Row],[Id]]="","",COUNTIF(TablaTiempos[Club],Tabla96[[#This Row],[Pos]]))</f>
        <v/>
      </c>
      <c r="E942" s="47" t="str">
        <f>IF(Tabla96[[#This Row],[Id]]="","",Tabla96[[#This Row],[Total Llegados a Meta]]/Tabla96[[#This Row],[Total Inscritos]])</f>
        <v/>
      </c>
      <c r="F94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42" s="43">
        <f ca="1">NOW()-'LOS TIEMPOS'!$K$2</f>
        <v>42368.075526157409</v>
      </c>
    </row>
    <row r="943" spans="1:8" x14ac:dyDescent="0.2">
      <c r="A943" s="13" t="str">
        <f>IF(ROW()-5&lt;=COUNTA(TablaEquipos[Compite]),ROW()-7,"")</f>
        <v/>
      </c>
      <c r="B943" s="10" t="str">
        <f>IF(Tabla96[[#This Row],[Id]]="","",VLOOKUP(Tabla96[[#This Row],[Id]]+1,TablaEquipos[],3,FALSE))</f>
        <v/>
      </c>
      <c r="C943" s="45" t="str">
        <f>IF(Tabla96[[#This Row],[Id]]="","",VLOOKUP(Tabla96[[#This Row],[Id]]+1,TablaEquipos[],4,FALSE))</f>
        <v/>
      </c>
      <c r="D943" s="13" t="str">
        <f>IF(Tabla96[[#This Row],[Id]]="","",COUNTIF(TablaTiempos[Club],Tabla96[[#This Row],[Pos]]))</f>
        <v/>
      </c>
      <c r="E943" s="47" t="str">
        <f>IF(Tabla96[[#This Row],[Id]]="","",Tabla96[[#This Row],[Total Llegados a Meta]]/Tabla96[[#This Row],[Total Inscritos]])</f>
        <v/>
      </c>
      <c r="F94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43" s="43">
        <f ca="1">NOW()-'LOS TIEMPOS'!$K$2</f>
        <v>42368.075526157409</v>
      </c>
    </row>
    <row r="944" spans="1:8" x14ac:dyDescent="0.2">
      <c r="A944" s="13" t="str">
        <f>IF(ROW()-5&lt;=COUNTA(TablaEquipos[Compite]),ROW()-7,"")</f>
        <v/>
      </c>
      <c r="B944" s="10" t="str">
        <f>IF(Tabla96[[#This Row],[Id]]="","",VLOOKUP(Tabla96[[#This Row],[Id]]+1,TablaEquipos[],3,FALSE))</f>
        <v/>
      </c>
      <c r="C944" s="45" t="str">
        <f>IF(Tabla96[[#This Row],[Id]]="","",VLOOKUP(Tabla96[[#This Row],[Id]]+1,TablaEquipos[],4,FALSE))</f>
        <v/>
      </c>
      <c r="D944" s="13" t="str">
        <f>IF(Tabla96[[#This Row],[Id]]="","",COUNTIF(TablaTiempos[Club],Tabla96[[#This Row],[Pos]]))</f>
        <v/>
      </c>
      <c r="E944" s="47" t="str">
        <f>IF(Tabla96[[#This Row],[Id]]="","",Tabla96[[#This Row],[Total Llegados a Meta]]/Tabla96[[#This Row],[Total Inscritos]])</f>
        <v/>
      </c>
      <c r="F94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44" s="43">
        <f ca="1">NOW()-'LOS TIEMPOS'!$K$2</f>
        <v>42368.075526157409</v>
      </c>
    </row>
    <row r="945" spans="1:8" x14ac:dyDescent="0.2">
      <c r="A945" s="13" t="str">
        <f>IF(ROW()-5&lt;=COUNTA(TablaEquipos[Compite]),ROW()-7,"")</f>
        <v/>
      </c>
      <c r="B945" s="10" t="str">
        <f>IF(Tabla96[[#This Row],[Id]]="","",VLOOKUP(Tabla96[[#This Row],[Id]]+1,TablaEquipos[],3,FALSE))</f>
        <v/>
      </c>
      <c r="C945" s="45" t="str">
        <f>IF(Tabla96[[#This Row],[Id]]="","",VLOOKUP(Tabla96[[#This Row],[Id]]+1,TablaEquipos[],4,FALSE))</f>
        <v/>
      </c>
      <c r="D945" s="13" t="str">
        <f>IF(Tabla96[[#This Row],[Id]]="","",COUNTIF(TablaTiempos[Club],Tabla96[[#This Row],[Pos]]))</f>
        <v/>
      </c>
      <c r="E945" s="47" t="str">
        <f>IF(Tabla96[[#This Row],[Id]]="","",Tabla96[[#This Row],[Total Llegados a Meta]]/Tabla96[[#This Row],[Total Inscritos]])</f>
        <v/>
      </c>
      <c r="F94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45" s="43">
        <f ca="1">NOW()-'LOS TIEMPOS'!$K$2</f>
        <v>42368.075526157409</v>
      </c>
    </row>
    <row r="946" spans="1:8" x14ac:dyDescent="0.2">
      <c r="A946" s="13" t="str">
        <f>IF(ROW()-5&lt;=COUNTA(TablaEquipos[Compite]),ROW()-7,"")</f>
        <v/>
      </c>
      <c r="B946" s="10" t="str">
        <f>IF(Tabla96[[#This Row],[Id]]="","",VLOOKUP(Tabla96[[#This Row],[Id]]+1,TablaEquipos[],3,FALSE))</f>
        <v/>
      </c>
      <c r="C946" s="45" t="str">
        <f>IF(Tabla96[[#This Row],[Id]]="","",VLOOKUP(Tabla96[[#This Row],[Id]]+1,TablaEquipos[],4,FALSE))</f>
        <v/>
      </c>
      <c r="D946" s="13" t="str">
        <f>IF(Tabla96[[#This Row],[Id]]="","",COUNTIF(TablaTiempos[Club],Tabla96[[#This Row],[Pos]]))</f>
        <v/>
      </c>
      <c r="E946" s="47" t="str">
        <f>IF(Tabla96[[#This Row],[Id]]="","",Tabla96[[#This Row],[Total Llegados a Meta]]/Tabla96[[#This Row],[Total Inscritos]])</f>
        <v/>
      </c>
      <c r="F94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46" s="43">
        <f ca="1">NOW()-'LOS TIEMPOS'!$K$2</f>
        <v>42368.075526157409</v>
      </c>
    </row>
    <row r="947" spans="1:8" x14ac:dyDescent="0.2">
      <c r="A947" s="13" t="str">
        <f>IF(ROW()-5&lt;=COUNTA(TablaEquipos[Compite]),ROW()-7,"")</f>
        <v/>
      </c>
      <c r="B947" s="10" t="str">
        <f>IF(Tabla96[[#This Row],[Id]]="","",VLOOKUP(Tabla96[[#This Row],[Id]]+1,TablaEquipos[],3,FALSE))</f>
        <v/>
      </c>
      <c r="C947" s="45" t="str">
        <f>IF(Tabla96[[#This Row],[Id]]="","",VLOOKUP(Tabla96[[#This Row],[Id]]+1,TablaEquipos[],4,FALSE))</f>
        <v/>
      </c>
      <c r="D947" s="13" t="str">
        <f>IF(Tabla96[[#This Row],[Id]]="","",COUNTIF(TablaTiempos[Club],Tabla96[[#This Row],[Pos]]))</f>
        <v/>
      </c>
      <c r="E947" s="47" t="str">
        <f>IF(Tabla96[[#This Row],[Id]]="","",Tabla96[[#This Row],[Total Llegados a Meta]]/Tabla96[[#This Row],[Total Inscritos]])</f>
        <v/>
      </c>
      <c r="F94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47" s="43">
        <f ca="1">NOW()-'LOS TIEMPOS'!$K$2</f>
        <v>42368.075526157409</v>
      </c>
    </row>
    <row r="948" spans="1:8" x14ac:dyDescent="0.2">
      <c r="A948" s="13" t="str">
        <f>IF(ROW()-5&lt;=COUNTA(TablaEquipos[Compite]),ROW()-7,"")</f>
        <v/>
      </c>
      <c r="B948" s="10" t="str">
        <f>IF(Tabla96[[#This Row],[Id]]="","",VLOOKUP(Tabla96[[#This Row],[Id]]+1,TablaEquipos[],3,FALSE))</f>
        <v/>
      </c>
      <c r="C948" s="45" t="str">
        <f>IF(Tabla96[[#This Row],[Id]]="","",VLOOKUP(Tabla96[[#This Row],[Id]]+1,TablaEquipos[],4,FALSE))</f>
        <v/>
      </c>
      <c r="D948" s="13" t="str">
        <f>IF(Tabla96[[#This Row],[Id]]="","",COUNTIF(TablaTiempos[Club],Tabla96[[#This Row],[Pos]]))</f>
        <v/>
      </c>
      <c r="E948" s="47" t="str">
        <f>IF(Tabla96[[#This Row],[Id]]="","",Tabla96[[#This Row],[Total Llegados a Meta]]/Tabla96[[#This Row],[Total Inscritos]])</f>
        <v/>
      </c>
      <c r="F94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48" s="43">
        <f ca="1">NOW()-'LOS TIEMPOS'!$K$2</f>
        <v>42368.075526157409</v>
      </c>
    </row>
    <row r="949" spans="1:8" x14ac:dyDescent="0.2">
      <c r="A949" s="13" t="str">
        <f>IF(ROW()-5&lt;=COUNTA(TablaEquipos[Compite]),ROW()-7,"")</f>
        <v/>
      </c>
      <c r="B949" s="10" t="str">
        <f>IF(Tabla96[[#This Row],[Id]]="","",VLOOKUP(Tabla96[[#This Row],[Id]]+1,TablaEquipos[],3,FALSE))</f>
        <v/>
      </c>
      <c r="C949" s="45" t="str">
        <f>IF(Tabla96[[#This Row],[Id]]="","",VLOOKUP(Tabla96[[#This Row],[Id]]+1,TablaEquipos[],4,FALSE))</f>
        <v/>
      </c>
      <c r="D949" s="13" t="str">
        <f>IF(Tabla96[[#This Row],[Id]]="","",COUNTIF(TablaTiempos[Club],Tabla96[[#This Row],[Pos]]))</f>
        <v/>
      </c>
      <c r="E949" s="47" t="str">
        <f>IF(Tabla96[[#This Row],[Id]]="","",Tabla96[[#This Row],[Total Llegados a Meta]]/Tabla96[[#This Row],[Total Inscritos]])</f>
        <v/>
      </c>
      <c r="F94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49" s="43">
        <f ca="1">NOW()-'LOS TIEMPOS'!$K$2</f>
        <v>42368.075526157409</v>
      </c>
    </row>
    <row r="950" spans="1:8" x14ac:dyDescent="0.2">
      <c r="A950" s="13" t="str">
        <f>IF(ROW()-5&lt;=COUNTA(TablaEquipos[Compite]),ROW()-7,"")</f>
        <v/>
      </c>
      <c r="B950" s="10" t="str">
        <f>IF(Tabla96[[#This Row],[Id]]="","",VLOOKUP(Tabla96[[#This Row],[Id]]+1,TablaEquipos[],3,FALSE))</f>
        <v/>
      </c>
      <c r="C950" s="45" t="str">
        <f>IF(Tabla96[[#This Row],[Id]]="","",VLOOKUP(Tabla96[[#This Row],[Id]]+1,TablaEquipos[],4,FALSE))</f>
        <v/>
      </c>
      <c r="D950" s="13" t="str">
        <f>IF(Tabla96[[#This Row],[Id]]="","",COUNTIF(TablaTiempos[Club],Tabla96[[#This Row],[Pos]]))</f>
        <v/>
      </c>
      <c r="E950" s="47" t="str">
        <f>IF(Tabla96[[#This Row],[Id]]="","",Tabla96[[#This Row],[Total Llegados a Meta]]/Tabla96[[#This Row],[Total Inscritos]])</f>
        <v/>
      </c>
      <c r="F95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50" s="43">
        <f ca="1">NOW()-'LOS TIEMPOS'!$K$2</f>
        <v>42368.075526157409</v>
      </c>
    </row>
    <row r="951" spans="1:8" x14ac:dyDescent="0.2">
      <c r="A951" s="13" t="str">
        <f>IF(ROW()-5&lt;=COUNTA(TablaEquipos[Compite]),ROW()-7,"")</f>
        <v/>
      </c>
      <c r="B951" s="10" t="str">
        <f>IF(Tabla96[[#This Row],[Id]]="","",VLOOKUP(Tabla96[[#This Row],[Id]]+1,TablaEquipos[],3,FALSE))</f>
        <v/>
      </c>
      <c r="C951" s="45" t="str">
        <f>IF(Tabla96[[#This Row],[Id]]="","",VLOOKUP(Tabla96[[#This Row],[Id]]+1,TablaEquipos[],4,FALSE))</f>
        <v/>
      </c>
      <c r="D951" s="13" t="str">
        <f>IF(Tabla96[[#This Row],[Id]]="","",COUNTIF(TablaTiempos[Club],Tabla96[[#This Row],[Pos]]))</f>
        <v/>
      </c>
      <c r="E951" s="47" t="str">
        <f>IF(Tabla96[[#This Row],[Id]]="","",Tabla96[[#This Row],[Total Llegados a Meta]]/Tabla96[[#This Row],[Total Inscritos]])</f>
        <v/>
      </c>
      <c r="F95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51" s="43">
        <f ca="1">NOW()-'LOS TIEMPOS'!$K$2</f>
        <v>42368.075526157409</v>
      </c>
    </row>
    <row r="952" spans="1:8" x14ac:dyDescent="0.2">
      <c r="A952" s="13" t="str">
        <f>IF(ROW()-5&lt;=COUNTA(TablaEquipos[Compite]),ROW()-7,"")</f>
        <v/>
      </c>
      <c r="B952" s="10" t="str">
        <f>IF(Tabla96[[#This Row],[Id]]="","",VLOOKUP(Tabla96[[#This Row],[Id]]+1,TablaEquipos[],3,FALSE))</f>
        <v/>
      </c>
      <c r="C952" s="45" t="str">
        <f>IF(Tabla96[[#This Row],[Id]]="","",VLOOKUP(Tabla96[[#This Row],[Id]]+1,TablaEquipos[],4,FALSE))</f>
        <v/>
      </c>
      <c r="D952" s="13" t="str">
        <f>IF(Tabla96[[#This Row],[Id]]="","",COUNTIF(TablaTiempos[Club],Tabla96[[#This Row],[Pos]]))</f>
        <v/>
      </c>
      <c r="E952" s="47" t="str">
        <f>IF(Tabla96[[#This Row],[Id]]="","",Tabla96[[#This Row],[Total Llegados a Meta]]/Tabla96[[#This Row],[Total Inscritos]])</f>
        <v/>
      </c>
      <c r="F95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52" s="43">
        <f ca="1">NOW()-'LOS TIEMPOS'!$K$2</f>
        <v>42368.075526157409</v>
      </c>
    </row>
    <row r="953" spans="1:8" x14ac:dyDescent="0.2">
      <c r="A953" s="13" t="str">
        <f>IF(ROW()-5&lt;=COUNTA(TablaEquipos[Compite]),ROW()-7,"")</f>
        <v/>
      </c>
      <c r="B953" s="10" t="str">
        <f>IF(Tabla96[[#This Row],[Id]]="","",VLOOKUP(Tabla96[[#This Row],[Id]]+1,TablaEquipos[],3,FALSE))</f>
        <v/>
      </c>
      <c r="C953" s="45" t="str">
        <f>IF(Tabla96[[#This Row],[Id]]="","",VLOOKUP(Tabla96[[#This Row],[Id]]+1,TablaEquipos[],4,FALSE))</f>
        <v/>
      </c>
      <c r="D953" s="13" t="str">
        <f>IF(Tabla96[[#This Row],[Id]]="","",COUNTIF(TablaTiempos[Club],Tabla96[[#This Row],[Pos]]))</f>
        <v/>
      </c>
      <c r="E953" s="47" t="str">
        <f>IF(Tabla96[[#This Row],[Id]]="","",Tabla96[[#This Row],[Total Llegados a Meta]]/Tabla96[[#This Row],[Total Inscritos]])</f>
        <v/>
      </c>
      <c r="F95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53" s="43">
        <f ca="1">NOW()-'LOS TIEMPOS'!$K$2</f>
        <v>42368.075526157409</v>
      </c>
    </row>
    <row r="954" spans="1:8" x14ac:dyDescent="0.2">
      <c r="A954" s="13" t="str">
        <f>IF(ROW()-5&lt;=COUNTA(TablaEquipos[Compite]),ROW()-7,"")</f>
        <v/>
      </c>
      <c r="B954" s="10" t="str">
        <f>IF(Tabla96[[#This Row],[Id]]="","",VLOOKUP(Tabla96[[#This Row],[Id]]+1,TablaEquipos[],3,FALSE))</f>
        <v/>
      </c>
      <c r="C954" s="45" t="str">
        <f>IF(Tabla96[[#This Row],[Id]]="","",VLOOKUP(Tabla96[[#This Row],[Id]]+1,TablaEquipos[],4,FALSE))</f>
        <v/>
      </c>
      <c r="D954" s="13" t="str">
        <f>IF(Tabla96[[#This Row],[Id]]="","",COUNTIF(TablaTiempos[Club],Tabla96[[#This Row],[Pos]]))</f>
        <v/>
      </c>
      <c r="E954" s="47" t="str">
        <f>IF(Tabla96[[#This Row],[Id]]="","",Tabla96[[#This Row],[Total Llegados a Meta]]/Tabla96[[#This Row],[Total Inscritos]])</f>
        <v/>
      </c>
      <c r="F95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54" s="43">
        <f ca="1">NOW()-'LOS TIEMPOS'!$K$2</f>
        <v>42368.075526157409</v>
      </c>
    </row>
    <row r="955" spans="1:8" x14ac:dyDescent="0.2">
      <c r="A955" s="13" t="str">
        <f>IF(ROW()-5&lt;=COUNTA(TablaEquipos[Compite]),ROW()-7,"")</f>
        <v/>
      </c>
      <c r="B955" s="10" t="str">
        <f>IF(Tabla96[[#This Row],[Id]]="","",VLOOKUP(Tabla96[[#This Row],[Id]]+1,TablaEquipos[],3,FALSE))</f>
        <v/>
      </c>
      <c r="C955" s="45" t="str">
        <f>IF(Tabla96[[#This Row],[Id]]="","",VLOOKUP(Tabla96[[#This Row],[Id]]+1,TablaEquipos[],4,FALSE))</f>
        <v/>
      </c>
      <c r="D955" s="13" t="str">
        <f>IF(Tabla96[[#This Row],[Id]]="","",COUNTIF(TablaTiempos[Club],Tabla96[[#This Row],[Pos]]))</f>
        <v/>
      </c>
      <c r="E955" s="47" t="str">
        <f>IF(Tabla96[[#This Row],[Id]]="","",Tabla96[[#This Row],[Total Llegados a Meta]]/Tabla96[[#This Row],[Total Inscritos]])</f>
        <v/>
      </c>
      <c r="F95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55" s="43">
        <f ca="1">NOW()-'LOS TIEMPOS'!$K$2</f>
        <v>42368.075526157409</v>
      </c>
    </row>
    <row r="956" spans="1:8" x14ac:dyDescent="0.2">
      <c r="A956" s="13" t="str">
        <f>IF(ROW()-5&lt;=COUNTA(TablaEquipos[Compite]),ROW()-7,"")</f>
        <v/>
      </c>
      <c r="B956" s="10" t="str">
        <f>IF(Tabla96[[#This Row],[Id]]="","",VLOOKUP(Tabla96[[#This Row],[Id]]+1,TablaEquipos[],3,FALSE))</f>
        <v/>
      </c>
      <c r="C956" s="45" t="str">
        <f>IF(Tabla96[[#This Row],[Id]]="","",VLOOKUP(Tabla96[[#This Row],[Id]]+1,TablaEquipos[],4,FALSE))</f>
        <v/>
      </c>
      <c r="D956" s="13" t="str">
        <f>IF(Tabla96[[#This Row],[Id]]="","",COUNTIF(TablaTiempos[Club],Tabla96[[#This Row],[Pos]]))</f>
        <v/>
      </c>
      <c r="E956" s="47" t="str">
        <f>IF(Tabla96[[#This Row],[Id]]="","",Tabla96[[#This Row],[Total Llegados a Meta]]/Tabla96[[#This Row],[Total Inscritos]])</f>
        <v/>
      </c>
      <c r="F95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56" s="43">
        <f ca="1">NOW()-'LOS TIEMPOS'!$K$2</f>
        <v>42368.075526157409</v>
      </c>
    </row>
    <row r="957" spans="1:8" x14ac:dyDescent="0.2">
      <c r="A957" s="13" t="str">
        <f>IF(ROW()-5&lt;=COUNTA(TablaEquipos[Compite]),ROW()-7,"")</f>
        <v/>
      </c>
      <c r="B957" s="10" t="str">
        <f>IF(Tabla96[[#This Row],[Id]]="","",VLOOKUP(Tabla96[[#This Row],[Id]]+1,TablaEquipos[],3,FALSE))</f>
        <v/>
      </c>
      <c r="C957" s="45" t="str">
        <f>IF(Tabla96[[#This Row],[Id]]="","",VLOOKUP(Tabla96[[#This Row],[Id]]+1,TablaEquipos[],4,FALSE))</f>
        <v/>
      </c>
      <c r="D957" s="13" t="str">
        <f>IF(Tabla96[[#This Row],[Id]]="","",COUNTIF(TablaTiempos[Club],Tabla96[[#This Row],[Pos]]))</f>
        <v/>
      </c>
      <c r="E957" s="47" t="str">
        <f>IF(Tabla96[[#This Row],[Id]]="","",Tabla96[[#This Row],[Total Llegados a Meta]]/Tabla96[[#This Row],[Total Inscritos]])</f>
        <v/>
      </c>
      <c r="F95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57" s="43">
        <f ca="1">NOW()-'LOS TIEMPOS'!$K$2</f>
        <v>42368.075526157409</v>
      </c>
    </row>
    <row r="958" spans="1:8" x14ac:dyDescent="0.2">
      <c r="A958" s="13" t="str">
        <f>IF(ROW()-5&lt;=COUNTA(TablaEquipos[Compite]),ROW()-7,"")</f>
        <v/>
      </c>
      <c r="B958" s="10" t="str">
        <f>IF(Tabla96[[#This Row],[Id]]="","",VLOOKUP(Tabla96[[#This Row],[Id]]+1,TablaEquipos[],3,FALSE))</f>
        <v/>
      </c>
      <c r="C958" s="45" t="str">
        <f>IF(Tabla96[[#This Row],[Id]]="","",VLOOKUP(Tabla96[[#This Row],[Id]]+1,TablaEquipos[],4,FALSE))</f>
        <v/>
      </c>
      <c r="D958" s="13" t="str">
        <f>IF(Tabla96[[#This Row],[Id]]="","",COUNTIF(TablaTiempos[Club],Tabla96[[#This Row],[Pos]]))</f>
        <v/>
      </c>
      <c r="E958" s="47" t="str">
        <f>IF(Tabla96[[#This Row],[Id]]="","",Tabla96[[#This Row],[Total Llegados a Meta]]/Tabla96[[#This Row],[Total Inscritos]])</f>
        <v/>
      </c>
      <c r="F95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58" s="43">
        <f ca="1">NOW()-'LOS TIEMPOS'!$K$2</f>
        <v>42368.075526157409</v>
      </c>
    </row>
    <row r="959" spans="1:8" x14ac:dyDescent="0.2">
      <c r="A959" s="13" t="str">
        <f>IF(ROW()-5&lt;=COUNTA(TablaEquipos[Compite]),ROW()-7,"")</f>
        <v/>
      </c>
      <c r="B959" s="10" t="str">
        <f>IF(Tabla96[[#This Row],[Id]]="","",VLOOKUP(Tabla96[[#This Row],[Id]]+1,TablaEquipos[],3,FALSE))</f>
        <v/>
      </c>
      <c r="C959" s="45" t="str">
        <f>IF(Tabla96[[#This Row],[Id]]="","",VLOOKUP(Tabla96[[#This Row],[Id]]+1,TablaEquipos[],4,FALSE))</f>
        <v/>
      </c>
      <c r="D959" s="13" t="str">
        <f>IF(Tabla96[[#This Row],[Id]]="","",COUNTIF(TablaTiempos[Club],Tabla96[[#This Row],[Pos]]))</f>
        <v/>
      </c>
      <c r="E959" s="47" t="str">
        <f>IF(Tabla96[[#This Row],[Id]]="","",Tabla96[[#This Row],[Total Llegados a Meta]]/Tabla96[[#This Row],[Total Inscritos]])</f>
        <v/>
      </c>
      <c r="F95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59" s="43">
        <f ca="1">NOW()-'LOS TIEMPOS'!$K$2</f>
        <v>42368.075526157409</v>
      </c>
    </row>
    <row r="960" spans="1:8" x14ac:dyDescent="0.2">
      <c r="A960" s="13" t="str">
        <f>IF(ROW()-5&lt;=COUNTA(TablaEquipos[Compite]),ROW()-7,"")</f>
        <v/>
      </c>
      <c r="B960" s="10" t="str">
        <f>IF(Tabla96[[#This Row],[Id]]="","",VLOOKUP(Tabla96[[#This Row],[Id]]+1,TablaEquipos[],3,FALSE))</f>
        <v/>
      </c>
      <c r="C960" s="45" t="str">
        <f>IF(Tabla96[[#This Row],[Id]]="","",VLOOKUP(Tabla96[[#This Row],[Id]]+1,TablaEquipos[],4,FALSE))</f>
        <v/>
      </c>
      <c r="D960" s="13" t="str">
        <f>IF(Tabla96[[#This Row],[Id]]="","",COUNTIF(TablaTiempos[Club],Tabla96[[#This Row],[Pos]]))</f>
        <v/>
      </c>
      <c r="E960" s="47" t="str">
        <f>IF(Tabla96[[#This Row],[Id]]="","",Tabla96[[#This Row],[Total Llegados a Meta]]/Tabla96[[#This Row],[Total Inscritos]])</f>
        <v/>
      </c>
      <c r="F96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60" s="43">
        <f ca="1">NOW()-'LOS TIEMPOS'!$K$2</f>
        <v>42368.075526157409</v>
      </c>
    </row>
    <row r="961" spans="1:8" x14ac:dyDescent="0.2">
      <c r="A961" s="13" t="str">
        <f>IF(ROW()-5&lt;=COUNTA(TablaEquipos[Compite]),ROW()-7,"")</f>
        <v/>
      </c>
      <c r="B961" s="10" t="str">
        <f>IF(Tabla96[[#This Row],[Id]]="","",VLOOKUP(Tabla96[[#This Row],[Id]]+1,TablaEquipos[],3,FALSE))</f>
        <v/>
      </c>
      <c r="C961" s="45" t="str">
        <f>IF(Tabla96[[#This Row],[Id]]="","",VLOOKUP(Tabla96[[#This Row],[Id]]+1,TablaEquipos[],4,FALSE))</f>
        <v/>
      </c>
      <c r="D961" s="13" t="str">
        <f>IF(Tabla96[[#This Row],[Id]]="","",COUNTIF(TablaTiempos[Club],Tabla96[[#This Row],[Pos]]))</f>
        <v/>
      </c>
      <c r="E961" s="47" t="str">
        <f>IF(Tabla96[[#This Row],[Id]]="","",Tabla96[[#This Row],[Total Llegados a Meta]]/Tabla96[[#This Row],[Total Inscritos]])</f>
        <v/>
      </c>
      <c r="F96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61" s="43">
        <f ca="1">NOW()-'LOS TIEMPOS'!$K$2</f>
        <v>42368.075526157409</v>
      </c>
    </row>
    <row r="962" spans="1:8" x14ac:dyDescent="0.2">
      <c r="A962" s="13" t="str">
        <f>IF(ROW()-5&lt;=COUNTA(TablaEquipos[Compite]),ROW()-7,"")</f>
        <v/>
      </c>
      <c r="B962" s="10" t="str">
        <f>IF(Tabla96[[#This Row],[Id]]="","",VLOOKUP(Tabla96[[#This Row],[Id]]+1,TablaEquipos[],3,FALSE))</f>
        <v/>
      </c>
      <c r="C962" s="45" t="str">
        <f>IF(Tabla96[[#This Row],[Id]]="","",VLOOKUP(Tabla96[[#This Row],[Id]]+1,TablaEquipos[],4,FALSE))</f>
        <v/>
      </c>
      <c r="D962" s="13" t="str">
        <f>IF(Tabla96[[#This Row],[Id]]="","",COUNTIF(TablaTiempos[Club],Tabla96[[#This Row],[Pos]]))</f>
        <v/>
      </c>
      <c r="E962" s="47" t="str">
        <f>IF(Tabla96[[#This Row],[Id]]="","",Tabla96[[#This Row],[Total Llegados a Meta]]/Tabla96[[#This Row],[Total Inscritos]])</f>
        <v/>
      </c>
      <c r="F96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62" s="43">
        <f ca="1">NOW()-'LOS TIEMPOS'!$K$2</f>
        <v>42368.075526157409</v>
      </c>
    </row>
    <row r="963" spans="1:8" x14ac:dyDescent="0.2">
      <c r="A963" s="13" t="str">
        <f>IF(ROW()-5&lt;=COUNTA(TablaEquipos[Compite]),ROW()-7,"")</f>
        <v/>
      </c>
      <c r="B963" s="10" t="str">
        <f>IF(Tabla96[[#This Row],[Id]]="","",VLOOKUP(Tabla96[[#This Row],[Id]]+1,TablaEquipos[],3,FALSE))</f>
        <v/>
      </c>
      <c r="C963" s="45" t="str">
        <f>IF(Tabla96[[#This Row],[Id]]="","",VLOOKUP(Tabla96[[#This Row],[Id]]+1,TablaEquipos[],4,FALSE))</f>
        <v/>
      </c>
      <c r="D963" s="13" t="str">
        <f>IF(Tabla96[[#This Row],[Id]]="","",COUNTIF(TablaTiempos[Club],Tabla96[[#This Row],[Pos]]))</f>
        <v/>
      </c>
      <c r="E963" s="47" t="str">
        <f>IF(Tabla96[[#This Row],[Id]]="","",Tabla96[[#This Row],[Total Llegados a Meta]]/Tabla96[[#This Row],[Total Inscritos]])</f>
        <v/>
      </c>
      <c r="F96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63" s="43">
        <f ca="1">NOW()-'LOS TIEMPOS'!$K$2</f>
        <v>42368.075526157409</v>
      </c>
    </row>
    <row r="964" spans="1:8" x14ac:dyDescent="0.2">
      <c r="A964" s="13" t="str">
        <f>IF(ROW()-5&lt;=COUNTA(TablaEquipos[Compite]),ROW()-7,"")</f>
        <v/>
      </c>
      <c r="B964" s="10" t="str">
        <f>IF(Tabla96[[#This Row],[Id]]="","",VLOOKUP(Tabla96[[#This Row],[Id]]+1,TablaEquipos[],3,FALSE))</f>
        <v/>
      </c>
      <c r="C964" s="45" t="str">
        <f>IF(Tabla96[[#This Row],[Id]]="","",VLOOKUP(Tabla96[[#This Row],[Id]]+1,TablaEquipos[],4,FALSE))</f>
        <v/>
      </c>
      <c r="D964" s="13" t="str">
        <f>IF(Tabla96[[#This Row],[Id]]="","",COUNTIF(TablaTiempos[Club],Tabla96[[#This Row],[Pos]]))</f>
        <v/>
      </c>
      <c r="E964" s="47" t="str">
        <f>IF(Tabla96[[#This Row],[Id]]="","",Tabla96[[#This Row],[Total Llegados a Meta]]/Tabla96[[#This Row],[Total Inscritos]])</f>
        <v/>
      </c>
      <c r="F96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64" s="43">
        <f ca="1">NOW()-'LOS TIEMPOS'!$K$2</f>
        <v>42368.075526157409</v>
      </c>
    </row>
    <row r="965" spans="1:8" x14ac:dyDescent="0.2">
      <c r="A965" s="13" t="str">
        <f>IF(ROW()-5&lt;=COUNTA(TablaEquipos[Compite]),ROW()-7,"")</f>
        <v/>
      </c>
      <c r="B965" s="10" t="str">
        <f>IF(Tabla96[[#This Row],[Id]]="","",VLOOKUP(Tabla96[[#This Row],[Id]]+1,TablaEquipos[],3,FALSE))</f>
        <v/>
      </c>
      <c r="C965" s="45" t="str">
        <f>IF(Tabla96[[#This Row],[Id]]="","",VLOOKUP(Tabla96[[#This Row],[Id]]+1,TablaEquipos[],4,FALSE))</f>
        <v/>
      </c>
      <c r="D965" s="13" t="str">
        <f>IF(Tabla96[[#This Row],[Id]]="","",COUNTIF(TablaTiempos[Club],Tabla96[[#This Row],[Pos]]))</f>
        <v/>
      </c>
      <c r="E965" s="47" t="str">
        <f>IF(Tabla96[[#This Row],[Id]]="","",Tabla96[[#This Row],[Total Llegados a Meta]]/Tabla96[[#This Row],[Total Inscritos]])</f>
        <v/>
      </c>
      <c r="F96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65" s="43">
        <f ca="1">NOW()-'LOS TIEMPOS'!$K$2</f>
        <v>42368.075526157409</v>
      </c>
    </row>
    <row r="966" spans="1:8" x14ac:dyDescent="0.2">
      <c r="A966" s="13" t="str">
        <f>IF(ROW()-5&lt;=COUNTA(TablaEquipos[Compite]),ROW()-7,"")</f>
        <v/>
      </c>
      <c r="B966" s="10" t="str">
        <f>IF(Tabla96[[#This Row],[Id]]="","",VLOOKUP(Tabla96[[#This Row],[Id]]+1,TablaEquipos[],3,FALSE))</f>
        <v/>
      </c>
      <c r="C966" s="45" t="str">
        <f>IF(Tabla96[[#This Row],[Id]]="","",VLOOKUP(Tabla96[[#This Row],[Id]]+1,TablaEquipos[],4,FALSE))</f>
        <v/>
      </c>
      <c r="D966" s="13" t="str">
        <f>IF(Tabla96[[#This Row],[Id]]="","",COUNTIF(TablaTiempos[Club],Tabla96[[#This Row],[Pos]]))</f>
        <v/>
      </c>
      <c r="E966" s="47" t="str">
        <f>IF(Tabla96[[#This Row],[Id]]="","",Tabla96[[#This Row],[Total Llegados a Meta]]/Tabla96[[#This Row],[Total Inscritos]])</f>
        <v/>
      </c>
      <c r="F96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66" s="43">
        <f ca="1">NOW()-'LOS TIEMPOS'!$K$2</f>
        <v>42368.075526157409</v>
      </c>
    </row>
    <row r="967" spans="1:8" x14ac:dyDescent="0.2">
      <c r="A967" s="13" t="str">
        <f>IF(ROW()-5&lt;=COUNTA(TablaEquipos[Compite]),ROW()-7,"")</f>
        <v/>
      </c>
      <c r="B967" s="10" t="str">
        <f>IF(Tabla96[[#This Row],[Id]]="","",VLOOKUP(Tabla96[[#This Row],[Id]]+1,TablaEquipos[],3,FALSE))</f>
        <v/>
      </c>
      <c r="C967" s="45" t="str">
        <f>IF(Tabla96[[#This Row],[Id]]="","",VLOOKUP(Tabla96[[#This Row],[Id]]+1,TablaEquipos[],4,FALSE))</f>
        <v/>
      </c>
      <c r="D967" s="13" t="str">
        <f>IF(Tabla96[[#This Row],[Id]]="","",COUNTIF(TablaTiempos[Club],Tabla96[[#This Row],[Pos]]))</f>
        <v/>
      </c>
      <c r="E967" s="47" t="str">
        <f>IF(Tabla96[[#This Row],[Id]]="","",Tabla96[[#This Row],[Total Llegados a Meta]]/Tabla96[[#This Row],[Total Inscritos]])</f>
        <v/>
      </c>
      <c r="F96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67" s="43">
        <f ca="1">NOW()-'LOS TIEMPOS'!$K$2</f>
        <v>42368.075526157409</v>
      </c>
    </row>
    <row r="968" spans="1:8" x14ac:dyDescent="0.2">
      <c r="A968" s="13" t="str">
        <f>IF(ROW()-5&lt;=COUNTA(TablaEquipos[Compite]),ROW()-7,"")</f>
        <v/>
      </c>
      <c r="B968" s="10" t="str">
        <f>IF(Tabla96[[#This Row],[Id]]="","",VLOOKUP(Tabla96[[#This Row],[Id]]+1,TablaEquipos[],3,FALSE))</f>
        <v/>
      </c>
      <c r="C968" s="45" t="str">
        <f>IF(Tabla96[[#This Row],[Id]]="","",VLOOKUP(Tabla96[[#This Row],[Id]]+1,TablaEquipos[],4,FALSE))</f>
        <v/>
      </c>
      <c r="D968" s="13" t="str">
        <f>IF(Tabla96[[#This Row],[Id]]="","",COUNTIF(TablaTiempos[Club],Tabla96[[#This Row],[Pos]]))</f>
        <v/>
      </c>
      <c r="E968" s="47" t="str">
        <f>IF(Tabla96[[#This Row],[Id]]="","",Tabla96[[#This Row],[Total Llegados a Meta]]/Tabla96[[#This Row],[Total Inscritos]])</f>
        <v/>
      </c>
      <c r="F96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68" s="43">
        <f ca="1">NOW()-'LOS TIEMPOS'!$K$2</f>
        <v>42368.075526157409</v>
      </c>
    </row>
    <row r="969" spans="1:8" x14ac:dyDescent="0.2">
      <c r="A969" s="13" t="str">
        <f>IF(ROW()-5&lt;=COUNTA(TablaEquipos[Compite]),ROW()-7,"")</f>
        <v/>
      </c>
      <c r="B969" s="10" t="str">
        <f>IF(Tabla96[[#This Row],[Id]]="","",VLOOKUP(Tabla96[[#This Row],[Id]]+1,TablaEquipos[],3,FALSE))</f>
        <v/>
      </c>
      <c r="C969" s="45" t="str">
        <f>IF(Tabla96[[#This Row],[Id]]="","",VLOOKUP(Tabla96[[#This Row],[Id]]+1,TablaEquipos[],4,FALSE))</f>
        <v/>
      </c>
      <c r="D969" s="13" t="str">
        <f>IF(Tabla96[[#This Row],[Id]]="","",COUNTIF(TablaTiempos[Club],Tabla96[[#This Row],[Pos]]))</f>
        <v/>
      </c>
      <c r="E969" s="47" t="str">
        <f>IF(Tabla96[[#This Row],[Id]]="","",Tabla96[[#This Row],[Total Llegados a Meta]]/Tabla96[[#This Row],[Total Inscritos]])</f>
        <v/>
      </c>
      <c r="F96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69" s="43">
        <f ca="1">NOW()-'LOS TIEMPOS'!$K$2</f>
        <v>42368.075526157409</v>
      </c>
    </row>
    <row r="970" spans="1:8" x14ac:dyDescent="0.2">
      <c r="A970" s="13" t="str">
        <f>IF(ROW()-5&lt;=COUNTA(TablaEquipos[Compite]),ROW()-7,"")</f>
        <v/>
      </c>
      <c r="B970" s="10" t="str">
        <f>IF(Tabla96[[#This Row],[Id]]="","",VLOOKUP(Tabla96[[#This Row],[Id]]+1,TablaEquipos[],3,FALSE))</f>
        <v/>
      </c>
      <c r="C970" s="45" t="str">
        <f>IF(Tabla96[[#This Row],[Id]]="","",VLOOKUP(Tabla96[[#This Row],[Id]]+1,TablaEquipos[],4,FALSE))</f>
        <v/>
      </c>
      <c r="D970" s="13" t="str">
        <f>IF(Tabla96[[#This Row],[Id]]="","",COUNTIF(TablaTiempos[Club],Tabla96[[#This Row],[Pos]]))</f>
        <v/>
      </c>
      <c r="E970" s="47" t="str">
        <f>IF(Tabla96[[#This Row],[Id]]="","",Tabla96[[#This Row],[Total Llegados a Meta]]/Tabla96[[#This Row],[Total Inscritos]])</f>
        <v/>
      </c>
      <c r="F97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70" s="43">
        <f ca="1">NOW()-'LOS TIEMPOS'!$K$2</f>
        <v>42368.075526157409</v>
      </c>
    </row>
    <row r="971" spans="1:8" x14ac:dyDescent="0.2">
      <c r="A971" s="13" t="str">
        <f>IF(ROW()-5&lt;=COUNTA(TablaEquipos[Compite]),ROW()-7,"")</f>
        <v/>
      </c>
      <c r="B971" s="10" t="str">
        <f>IF(Tabla96[[#This Row],[Id]]="","",VLOOKUP(Tabla96[[#This Row],[Id]]+1,TablaEquipos[],3,FALSE))</f>
        <v/>
      </c>
      <c r="C971" s="45" t="str">
        <f>IF(Tabla96[[#This Row],[Id]]="","",VLOOKUP(Tabla96[[#This Row],[Id]]+1,TablaEquipos[],4,FALSE))</f>
        <v/>
      </c>
      <c r="D971" s="13" t="str">
        <f>IF(Tabla96[[#This Row],[Id]]="","",COUNTIF(TablaTiempos[Club],Tabla96[[#This Row],[Pos]]))</f>
        <v/>
      </c>
      <c r="E971" s="47" t="str">
        <f>IF(Tabla96[[#This Row],[Id]]="","",Tabla96[[#This Row],[Total Llegados a Meta]]/Tabla96[[#This Row],[Total Inscritos]])</f>
        <v/>
      </c>
      <c r="F97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71" s="43">
        <f ca="1">NOW()-'LOS TIEMPOS'!$K$2</f>
        <v>42368.075526157409</v>
      </c>
    </row>
    <row r="972" spans="1:8" x14ac:dyDescent="0.2">
      <c r="A972" s="13" t="str">
        <f>IF(ROW()-5&lt;=COUNTA(TablaEquipos[Compite]),ROW()-7,"")</f>
        <v/>
      </c>
      <c r="B972" s="10" t="str">
        <f>IF(Tabla96[[#This Row],[Id]]="","",VLOOKUP(Tabla96[[#This Row],[Id]]+1,TablaEquipos[],3,FALSE))</f>
        <v/>
      </c>
      <c r="C972" s="45" t="str">
        <f>IF(Tabla96[[#This Row],[Id]]="","",VLOOKUP(Tabla96[[#This Row],[Id]]+1,TablaEquipos[],4,FALSE))</f>
        <v/>
      </c>
      <c r="D972" s="13" t="str">
        <f>IF(Tabla96[[#This Row],[Id]]="","",COUNTIF(TablaTiempos[Club],Tabla96[[#This Row],[Pos]]))</f>
        <v/>
      </c>
      <c r="E972" s="47" t="str">
        <f>IF(Tabla96[[#This Row],[Id]]="","",Tabla96[[#This Row],[Total Llegados a Meta]]/Tabla96[[#This Row],[Total Inscritos]])</f>
        <v/>
      </c>
      <c r="F97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72" s="43">
        <f ca="1">NOW()-'LOS TIEMPOS'!$K$2</f>
        <v>42368.075526157409</v>
      </c>
    </row>
    <row r="973" spans="1:8" x14ac:dyDescent="0.2">
      <c r="A973" s="13" t="str">
        <f>IF(ROW()-5&lt;=COUNTA(TablaEquipos[Compite]),ROW()-7,"")</f>
        <v/>
      </c>
      <c r="B973" s="10" t="str">
        <f>IF(Tabla96[[#This Row],[Id]]="","",VLOOKUP(Tabla96[[#This Row],[Id]]+1,TablaEquipos[],3,FALSE))</f>
        <v/>
      </c>
      <c r="C973" s="45" t="str">
        <f>IF(Tabla96[[#This Row],[Id]]="","",VLOOKUP(Tabla96[[#This Row],[Id]]+1,TablaEquipos[],4,FALSE))</f>
        <v/>
      </c>
      <c r="D973" s="13" t="str">
        <f>IF(Tabla96[[#This Row],[Id]]="","",COUNTIF(TablaTiempos[Club],Tabla96[[#This Row],[Pos]]))</f>
        <v/>
      </c>
      <c r="E973" s="47" t="str">
        <f>IF(Tabla96[[#This Row],[Id]]="","",Tabla96[[#This Row],[Total Llegados a Meta]]/Tabla96[[#This Row],[Total Inscritos]])</f>
        <v/>
      </c>
      <c r="F97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73" s="43">
        <f ca="1">NOW()-'LOS TIEMPOS'!$K$2</f>
        <v>42368.075526157409</v>
      </c>
    </row>
    <row r="974" spans="1:8" x14ac:dyDescent="0.2">
      <c r="A974" s="13" t="str">
        <f>IF(ROW()-5&lt;=COUNTA(TablaEquipos[Compite]),ROW()-7,"")</f>
        <v/>
      </c>
      <c r="B974" s="10" t="str">
        <f>IF(Tabla96[[#This Row],[Id]]="","",VLOOKUP(Tabla96[[#This Row],[Id]]+1,TablaEquipos[],3,FALSE))</f>
        <v/>
      </c>
      <c r="C974" s="45" t="str">
        <f>IF(Tabla96[[#This Row],[Id]]="","",VLOOKUP(Tabla96[[#This Row],[Id]]+1,TablaEquipos[],4,FALSE))</f>
        <v/>
      </c>
      <c r="D974" s="13" t="str">
        <f>IF(Tabla96[[#This Row],[Id]]="","",COUNTIF(TablaTiempos[Club],Tabla96[[#This Row],[Pos]]))</f>
        <v/>
      </c>
      <c r="E974" s="47" t="str">
        <f>IF(Tabla96[[#This Row],[Id]]="","",Tabla96[[#This Row],[Total Llegados a Meta]]/Tabla96[[#This Row],[Total Inscritos]])</f>
        <v/>
      </c>
      <c r="F97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74" s="43">
        <f ca="1">NOW()-'LOS TIEMPOS'!$K$2</f>
        <v>42368.075526157409</v>
      </c>
    </row>
    <row r="975" spans="1:8" x14ac:dyDescent="0.2">
      <c r="A975" s="13" t="str">
        <f>IF(ROW()-5&lt;=COUNTA(TablaEquipos[Compite]),ROW()-7,"")</f>
        <v/>
      </c>
      <c r="B975" s="10" t="str">
        <f>IF(Tabla96[[#This Row],[Id]]="","",VLOOKUP(Tabla96[[#This Row],[Id]]+1,TablaEquipos[],3,FALSE))</f>
        <v/>
      </c>
      <c r="C975" s="45" t="str">
        <f>IF(Tabla96[[#This Row],[Id]]="","",VLOOKUP(Tabla96[[#This Row],[Id]]+1,TablaEquipos[],4,FALSE))</f>
        <v/>
      </c>
      <c r="D975" s="13" t="str">
        <f>IF(Tabla96[[#This Row],[Id]]="","",COUNTIF(TablaTiempos[Club],Tabla96[[#This Row],[Pos]]))</f>
        <v/>
      </c>
      <c r="E975" s="47" t="str">
        <f>IF(Tabla96[[#This Row],[Id]]="","",Tabla96[[#This Row],[Total Llegados a Meta]]/Tabla96[[#This Row],[Total Inscritos]])</f>
        <v/>
      </c>
      <c r="F97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75" s="43">
        <f ca="1">NOW()-'LOS TIEMPOS'!$K$2</f>
        <v>42368.075526157409</v>
      </c>
    </row>
    <row r="976" spans="1:8" x14ac:dyDescent="0.2">
      <c r="A976" s="13" t="str">
        <f>IF(ROW()-5&lt;=COUNTA(TablaEquipos[Compite]),ROW()-7,"")</f>
        <v/>
      </c>
      <c r="B976" s="10" t="str">
        <f>IF(Tabla96[[#This Row],[Id]]="","",VLOOKUP(Tabla96[[#This Row],[Id]]+1,TablaEquipos[],3,FALSE))</f>
        <v/>
      </c>
      <c r="C976" s="45" t="str">
        <f>IF(Tabla96[[#This Row],[Id]]="","",VLOOKUP(Tabla96[[#This Row],[Id]]+1,TablaEquipos[],4,FALSE))</f>
        <v/>
      </c>
      <c r="D976" s="13" t="str">
        <f>IF(Tabla96[[#This Row],[Id]]="","",COUNTIF(TablaTiempos[Club],Tabla96[[#This Row],[Pos]]))</f>
        <v/>
      </c>
      <c r="E976" s="47" t="str">
        <f>IF(Tabla96[[#This Row],[Id]]="","",Tabla96[[#This Row],[Total Llegados a Meta]]/Tabla96[[#This Row],[Total Inscritos]])</f>
        <v/>
      </c>
      <c r="F97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76" s="43">
        <f ca="1">NOW()-'LOS TIEMPOS'!$K$2</f>
        <v>42368.075526157409</v>
      </c>
    </row>
    <row r="977" spans="1:8" x14ac:dyDescent="0.2">
      <c r="A977" s="13" t="str">
        <f>IF(ROW()-5&lt;=COUNTA(TablaEquipos[Compite]),ROW()-7,"")</f>
        <v/>
      </c>
      <c r="B977" s="10" t="str">
        <f>IF(Tabla96[[#This Row],[Id]]="","",VLOOKUP(Tabla96[[#This Row],[Id]]+1,TablaEquipos[],3,FALSE))</f>
        <v/>
      </c>
      <c r="C977" s="45" t="str">
        <f>IF(Tabla96[[#This Row],[Id]]="","",VLOOKUP(Tabla96[[#This Row],[Id]]+1,TablaEquipos[],4,FALSE))</f>
        <v/>
      </c>
      <c r="D977" s="13" t="str">
        <f>IF(Tabla96[[#This Row],[Id]]="","",COUNTIF(TablaTiempos[Club],Tabla96[[#This Row],[Pos]]))</f>
        <v/>
      </c>
      <c r="E977" s="47" t="str">
        <f>IF(Tabla96[[#This Row],[Id]]="","",Tabla96[[#This Row],[Total Llegados a Meta]]/Tabla96[[#This Row],[Total Inscritos]])</f>
        <v/>
      </c>
      <c r="F97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77" s="43">
        <f ca="1">NOW()-'LOS TIEMPOS'!$K$2</f>
        <v>42368.075526157409</v>
      </c>
    </row>
    <row r="978" spans="1:8" x14ac:dyDescent="0.2">
      <c r="A978" s="13" t="str">
        <f>IF(ROW()-5&lt;=COUNTA(TablaEquipos[Compite]),ROW()-7,"")</f>
        <v/>
      </c>
      <c r="B978" s="10" t="str">
        <f>IF(Tabla96[[#This Row],[Id]]="","",VLOOKUP(Tabla96[[#This Row],[Id]]+1,TablaEquipos[],3,FALSE))</f>
        <v/>
      </c>
      <c r="C978" s="45" t="str">
        <f>IF(Tabla96[[#This Row],[Id]]="","",VLOOKUP(Tabla96[[#This Row],[Id]]+1,TablaEquipos[],4,FALSE))</f>
        <v/>
      </c>
      <c r="D978" s="13" t="str">
        <f>IF(Tabla96[[#This Row],[Id]]="","",COUNTIF(TablaTiempos[Club],Tabla96[[#This Row],[Pos]]))</f>
        <v/>
      </c>
      <c r="E978" s="47" t="str">
        <f>IF(Tabla96[[#This Row],[Id]]="","",Tabla96[[#This Row],[Total Llegados a Meta]]/Tabla96[[#This Row],[Total Inscritos]])</f>
        <v/>
      </c>
      <c r="F97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78" s="43">
        <f ca="1">NOW()-'LOS TIEMPOS'!$K$2</f>
        <v>42368.075526157409</v>
      </c>
    </row>
    <row r="979" spans="1:8" x14ac:dyDescent="0.2">
      <c r="A979" s="13" t="str">
        <f>IF(ROW()-5&lt;=COUNTA(TablaEquipos[Compite]),ROW()-7,"")</f>
        <v/>
      </c>
      <c r="B979" s="10" t="str">
        <f>IF(Tabla96[[#This Row],[Id]]="","",VLOOKUP(Tabla96[[#This Row],[Id]]+1,TablaEquipos[],3,FALSE))</f>
        <v/>
      </c>
      <c r="C979" s="45" t="str">
        <f>IF(Tabla96[[#This Row],[Id]]="","",VLOOKUP(Tabla96[[#This Row],[Id]]+1,TablaEquipos[],4,FALSE))</f>
        <v/>
      </c>
      <c r="D979" s="13" t="str">
        <f>IF(Tabla96[[#This Row],[Id]]="","",COUNTIF(TablaTiempos[Club],Tabla96[[#This Row],[Pos]]))</f>
        <v/>
      </c>
      <c r="E979" s="47" t="str">
        <f>IF(Tabla96[[#This Row],[Id]]="","",Tabla96[[#This Row],[Total Llegados a Meta]]/Tabla96[[#This Row],[Total Inscritos]])</f>
        <v/>
      </c>
      <c r="F97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79" s="43">
        <f ca="1">NOW()-'LOS TIEMPOS'!$K$2</f>
        <v>42368.075526157409</v>
      </c>
    </row>
    <row r="980" spans="1:8" x14ac:dyDescent="0.2">
      <c r="A980" s="13" t="str">
        <f>IF(ROW()-5&lt;=COUNTA(TablaEquipos[Compite]),ROW()-7,"")</f>
        <v/>
      </c>
      <c r="B980" s="10" t="str">
        <f>IF(Tabla96[[#This Row],[Id]]="","",VLOOKUP(Tabla96[[#This Row],[Id]]+1,TablaEquipos[],3,FALSE))</f>
        <v/>
      </c>
      <c r="C980" s="45" t="str">
        <f>IF(Tabla96[[#This Row],[Id]]="","",VLOOKUP(Tabla96[[#This Row],[Id]]+1,TablaEquipos[],4,FALSE))</f>
        <v/>
      </c>
      <c r="D980" s="13" t="str">
        <f>IF(Tabla96[[#This Row],[Id]]="","",COUNTIF(TablaTiempos[Club],Tabla96[[#This Row],[Pos]]))</f>
        <v/>
      </c>
      <c r="E980" s="47" t="str">
        <f>IF(Tabla96[[#This Row],[Id]]="","",Tabla96[[#This Row],[Total Llegados a Meta]]/Tabla96[[#This Row],[Total Inscritos]])</f>
        <v/>
      </c>
      <c r="F98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80" s="43">
        <f ca="1">NOW()-'LOS TIEMPOS'!$K$2</f>
        <v>42368.075526157409</v>
      </c>
    </row>
    <row r="981" spans="1:8" x14ac:dyDescent="0.2">
      <c r="A981" s="13" t="str">
        <f>IF(ROW()-5&lt;=COUNTA(TablaEquipos[Compite]),ROW()-7,"")</f>
        <v/>
      </c>
      <c r="B981" s="10" t="str">
        <f>IF(Tabla96[[#This Row],[Id]]="","",VLOOKUP(Tabla96[[#This Row],[Id]]+1,TablaEquipos[],3,FALSE))</f>
        <v/>
      </c>
      <c r="C981" s="45" t="str">
        <f>IF(Tabla96[[#This Row],[Id]]="","",VLOOKUP(Tabla96[[#This Row],[Id]]+1,TablaEquipos[],4,FALSE))</f>
        <v/>
      </c>
      <c r="D981" s="13" t="str">
        <f>IF(Tabla96[[#This Row],[Id]]="","",COUNTIF(TablaTiempos[Club],Tabla96[[#This Row],[Pos]]))</f>
        <v/>
      </c>
      <c r="E981" s="47" t="str">
        <f>IF(Tabla96[[#This Row],[Id]]="","",Tabla96[[#This Row],[Total Llegados a Meta]]/Tabla96[[#This Row],[Total Inscritos]])</f>
        <v/>
      </c>
      <c r="F98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81" s="43">
        <f ca="1">NOW()-'LOS TIEMPOS'!$K$2</f>
        <v>42368.075526157409</v>
      </c>
    </row>
    <row r="982" spans="1:8" x14ac:dyDescent="0.2">
      <c r="A982" s="13" t="str">
        <f>IF(ROW()-5&lt;=COUNTA(TablaEquipos[Compite]),ROW()-7,"")</f>
        <v/>
      </c>
      <c r="B982" s="10" t="str">
        <f>IF(Tabla96[[#This Row],[Id]]="","",VLOOKUP(Tabla96[[#This Row],[Id]]+1,TablaEquipos[],3,FALSE))</f>
        <v/>
      </c>
      <c r="C982" s="45" t="str">
        <f>IF(Tabla96[[#This Row],[Id]]="","",VLOOKUP(Tabla96[[#This Row],[Id]]+1,TablaEquipos[],4,FALSE))</f>
        <v/>
      </c>
      <c r="D982" s="13" t="str">
        <f>IF(Tabla96[[#This Row],[Id]]="","",COUNTIF(TablaTiempos[Club],Tabla96[[#This Row],[Pos]]))</f>
        <v/>
      </c>
      <c r="E982" s="47" t="str">
        <f>IF(Tabla96[[#This Row],[Id]]="","",Tabla96[[#This Row],[Total Llegados a Meta]]/Tabla96[[#This Row],[Total Inscritos]])</f>
        <v/>
      </c>
      <c r="F98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82" s="43">
        <f ca="1">NOW()-'LOS TIEMPOS'!$K$2</f>
        <v>42368.075526157409</v>
      </c>
    </row>
    <row r="983" spans="1:8" x14ac:dyDescent="0.2">
      <c r="A983" s="13" t="str">
        <f>IF(ROW()-5&lt;=COUNTA(TablaEquipos[Compite]),ROW()-7,"")</f>
        <v/>
      </c>
      <c r="B983" s="10" t="str">
        <f>IF(Tabla96[[#This Row],[Id]]="","",VLOOKUP(Tabla96[[#This Row],[Id]]+1,TablaEquipos[],3,FALSE))</f>
        <v/>
      </c>
      <c r="C983" s="45" t="str">
        <f>IF(Tabla96[[#This Row],[Id]]="","",VLOOKUP(Tabla96[[#This Row],[Id]]+1,TablaEquipos[],4,FALSE))</f>
        <v/>
      </c>
      <c r="D983" s="13" t="str">
        <f>IF(Tabla96[[#This Row],[Id]]="","",COUNTIF(TablaTiempos[Club],Tabla96[[#This Row],[Pos]]))</f>
        <v/>
      </c>
      <c r="E983" s="47" t="str">
        <f>IF(Tabla96[[#This Row],[Id]]="","",Tabla96[[#This Row],[Total Llegados a Meta]]/Tabla96[[#This Row],[Total Inscritos]])</f>
        <v/>
      </c>
      <c r="F98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83" s="43">
        <f ca="1">NOW()-'LOS TIEMPOS'!$K$2</f>
        <v>42368.075526157409</v>
      </c>
    </row>
    <row r="984" spans="1:8" x14ac:dyDescent="0.2">
      <c r="A984" s="13" t="str">
        <f>IF(ROW()-5&lt;=COUNTA(TablaEquipos[Compite]),ROW()-7,"")</f>
        <v/>
      </c>
      <c r="B984" s="10" t="str">
        <f>IF(Tabla96[[#This Row],[Id]]="","",VLOOKUP(Tabla96[[#This Row],[Id]]+1,TablaEquipos[],3,FALSE))</f>
        <v/>
      </c>
      <c r="C984" s="45" t="str">
        <f>IF(Tabla96[[#This Row],[Id]]="","",VLOOKUP(Tabla96[[#This Row],[Id]]+1,TablaEquipos[],4,FALSE))</f>
        <v/>
      </c>
      <c r="D984" s="13" t="str">
        <f>IF(Tabla96[[#This Row],[Id]]="","",COUNTIF(TablaTiempos[Club],Tabla96[[#This Row],[Pos]]))</f>
        <v/>
      </c>
      <c r="E984" s="47" t="str">
        <f>IF(Tabla96[[#This Row],[Id]]="","",Tabla96[[#This Row],[Total Llegados a Meta]]/Tabla96[[#This Row],[Total Inscritos]])</f>
        <v/>
      </c>
      <c r="F98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84" s="43">
        <f ca="1">NOW()-'LOS TIEMPOS'!$K$2</f>
        <v>42368.075526157409</v>
      </c>
    </row>
    <row r="985" spans="1:8" x14ac:dyDescent="0.2">
      <c r="A985" s="13" t="str">
        <f>IF(ROW()-5&lt;=COUNTA(TablaEquipos[Compite]),ROW()-7,"")</f>
        <v/>
      </c>
      <c r="B985" s="10" t="str">
        <f>IF(Tabla96[[#This Row],[Id]]="","",VLOOKUP(Tabla96[[#This Row],[Id]]+1,TablaEquipos[],3,FALSE))</f>
        <v/>
      </c>
      <c r="C985" s="45" t="str">
        <f>IF(Tabla96[[#This Row],[Id]]="","",VLOOKUP(Tabla96[[#This Row],[Id]]+1,TablaEquipos[],4,FALSE))</f>
        <v/>
      </c>
      <c r="D985" s="13" t="str">
        <f>IF(Tabla96[[#This Row],[Id]]="","",COUNTIF(TablaTiempos[Club],Tabla96[[#This Row],[Pos]]))</f>
        <v/>
      </c>
      <c r="E985" s="47" t="str">
        <f>IF(Tabla96[[#This Row],[Id]]="","",Tabla96[[#This Row],[Total Llegados a Meta]]/Tabla96[[#This Row],[Total Inscritos]])</f>
        <v/>
      </c>
      <c r="F98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85" s="43">
        <f ca="1">NOW()-'LOS TIEMPOS'!$K$2</f>
        <v>42368.075526157409</v>
      </c>
    </row>
    <row r="986" spans="1:8" x14ac:dyDescent="0.2">
      <c r="A986" s="13" t="str">
        <f>IF(ROW()-5&lt;=COUNTA(TablaEquipos[Compite]),ROW()-7,"")</f>
        <v/>
      </c>
      <c r="B986" s="10" t="str">
        <f>IF(Tabla96[[#This Row],[Id]]="","",VLOOKUP(Tabla96[[#This Row],[Id]]+1,TablaEquipos[],3,FALSE))</f>
        <v/>
      </c>
      <c r="C986" s="45" t="str">
        <f>IF(Tabla96[[#This Row],[Id]]="","",VLOOKUP(Tabla96[[#This Row],[Id]]+1,TablaEquipos[],4,FALSE))</f>
        <v/>
      </c>
      <c r="D986" s="13" t="str">
        <f>IF(Tabla96[[#This Row],[Id]]="","",COUNTIF(TablaTiempos[Club],Tabla96[[#This Row],[Pos]]))</f>
        <v/>
      </c>
      <c r="E986" s="47" t="str">
        <f>IF(Tabla96[[#This Row],[Id]]="","",Tabla96[[#This Row],[Total Llegados a Meta]]/Tabla96[[#This Row],[Total Inscritos]])</f>
        <v/>
      </c>
      <c r="F98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86" s="43">
        <f ca="1">NOW()-'LOS TIEMPOS'!$K$2</f>
        <v>42368.075526157409</v>
      </c>
    </row>
    <row r="987" spans="1:8" x14ac:dyDescent="0.2">
      <c r="A987" s="13" t="str">
        <f>IF(ROW()-5&lt;=COUNTA(TablaEquipos[Compite]),ROW()-7,"")</f>
        <v/>
      </c>
      <c r="B987" s="10" t="str">
        <f>IF(Tabla96[[#This Row],[Id]]="","",VLOOKUP(Tabla96[[#This Row],[Id]]+1,TablaEquipos[],3,FALSE))</f>
        <v/>
      </c>
      <c r="C987" s="45" t="str">
        <f>IF(Tabla96[[#This Row],[Id]]="","",VLOOKUP(Tabla96[[#This Row],[Id]]+1,TablaEquipos[],4,FALSE))</f>
        <v/>
      </c>
      <c r="D987" s="13" t="str">
        <f>IF(Tabla96[[#This Row],[Id]]="","",COUNTIF(TablaTiempos[Club],Tabla96[[#This Row],[Pos]]))</f>
        <v/>
      </c>
      <c r="E987" s="47" t="str">
        <f>IF(Tabla96[[#This Row],[Id]]="","",Tabla96[[#This Row],[Total Llegados a Meta]]/Tabla96[[#This Row],[Total Inscritos]])</f>
        <v/>
      </c>
      <c r="F98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87" s="43">
        <f ca="1">NOW()-'LOS TIEMPOS'!$K$2</f>
        <v>42368.075526157409</v>
      </c>
    </row>
    <row r="988" spans="1:8" x14ac:dyDescent="0.2">
      <c r="A988" s="13" t="str">
        <f>IF(ROW()-5&lt;=COUNTA(TablaEquipos[Compite]),ROW()-7,"")</f>
        <v/>
      </c>
      <c r="B988" s="10" t="str">
        <f>IF(Tabla96[[#This Row],[Id]]="","",VLOOKUP(Tabla96[[#This Row],[Id]]+1,TablaEquipos[],3,FALSE))</f>
        <v/>
      </c>
      <c r="C988" s="45" t="str">
        <f>IF(Tabla96[[#This Row],[Id]]="","",VLOOKUP(Tabla96[[#This Row],[Id]]+1,TablaEquipos[],4,FALSE))</f>
        <v/>
      </c>
      <c r="D988" s="13" t="str">
        <f>IF(Tabla96[[#This Row],[Id]]="","",COUNTIF(TablaTiempos[Club],Tabla96[[#This Row],[Pos]]))</f>
        <v/>
      </c>
      <c r="E988" s="47" t="str">
        <f>IF(Tabla96[[#This Row],[Id]]="","",Tabla96[[#This Row],[Total Llegados a Meta]]/Tabla96[[#This Row],[Total Inscritos]])</f>
        <v/>
      </c>
      <c r="F98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88" s="43">
        <f ca="1">NOW()-'LOS TIEMPOS'!$K$2</f>
        <v>42368.075526157409</v>
      </c>
    </row>
    <row r="989" spans="1:8" x14ac:dyDescent="0.2">
      <c r="A989" s="13" t="str">
        <f>IF(ROW()-5&lt;=COUNTA(TablaEquipos[Compite]),ROW()-7,"")</f>
        <v/>
      </c>
      <c r="B989" s="10" t="str">
        <f>IF(Tabla96[[#This Row],[Id]]="","",VLOOKUP(Tabla96[[#This Row],[Id]]+1,TablaEquipos[],3,FALSE))</f>
        <v/>
      </c>
      <c r="C989" s="45" t="str">
        <f>IF(Tabla96[[#This Row],[Id]]="","",VLOOKUP(Tabla96[[#This Row],[Id]]+1,TablaEquipos[],4,FALSE))</f>
        <v/>
      </c>
      <c r="D989" s="13" t="str">
        <f>IF(Tabla96[[#This Row],[Id]]="","",COUNTIF(TablaTiempos[Club],Tabla96[[#This Row],[Pos]]))</f>
        <v/>
      </c>
      <c r="E989" s="47" t="str">
        <f>IF(Tabla96[[#This Row],[Id]]="","",Tabla96[[#This Row],[Total Llegados a Meta]]/Tabla96[[#This Row],[Total Inscritos]])</f>
        <v/>
      </c>
      <c r="F98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89" s="43">
        <f ca="1">NOW()-'LOS TIEMPOS'!$K$2</f>
        <v>42368.075526157409</v>
      </c>
    </row>
    <row r="990" spans="1:8" x14ac:dyDescent="0.2">
      <c r="A990" s="13" t="str">
        <f>IF(ROW()-5&lt;=COUNTA(TablaEquipos[Compite]),ROW()-7,"")</f>
        <v/>
      </c>
      <c r="B990" s="10" t="str">
        <f>IF(Tabla96[[#This Row],[Id]]="","",VLOOKUP(Tabla96[[#This Row],[Id]]+1,TablaEquipos[],3,FALSE))</f>
        <v/>
      </c>
      <c r="C990" s="45" t="str">
        <f>IF(Tabla96[[#This Row],[Id]]="","",VLOOKUP(Tabla96[[#This Row],[Id]]+1,TablaEquipos[],4,FALSE))</f>
        <v/>
      </c>
      <c r="D990" s="13" t="str">
        <f>IF(Tabla96[[#This Row],[Id]]="","",COUNTIF(TablaTiempos[Club],Tabla96[[#This Row],[Pos]]))</f>
        <v/>
      </c>
      <c r="E990" s="47" t="str">
        <f>IF(Tabla96[[#This Row],[Id]]="","",Tabla96[[#This Row],[Total Llegados a Meta]]/Tabla96[[#This Row],[Total Inscritos]])</f>
        <v/>
      </c>
      <c r="F99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90" s="43">
        <f ca="1">NOW()-'LOS TIEMPOS'!$K$2</f>
        <v>42368.075526157409</v>
      </c>
    </row>
    <row r="991" spans="1:8" x14ac:dyDescent="0.2">
      <c r="A991" s="13" t="str">
        <f>IF(ROW()-5&lt;=COUNTA(TablaEquipos[Compite]),ROW()-7,"")</f>
        <v/>
      </c>
      <c r="B991" s="10" t="str">
        <f>IF(Tabla96[[#This Row],[Id]]="","",VLOOKUP(Tabla96[[#This Row],[Id]]+1,TablaEquipos[],3,FALSE))</f>
        <v/>
      </c>
      <c r="C991" s="45" t="str">
        <f>IF(Tabla96[[#This Row],[Id]]="","",VLOOKUP(Tabla96[[#This Row],[Id]]+1,TablaEquipos[],4,FALSE))</f>
        <v/>
      </c>
      <c r="D991" s="13" t="str">
        <f>IF(Tabla96[[#This Row],[Id]]="","",COUNTIF(TablaTiempos[Club],Tabla96[[#This Row],[Pos]]))</f>
        <v/>
      </c>
      <c r="E991" s="47" t="str">
        <f>IF(Tabla96[[#This Row],[Id]]="","",Tabla96[[#This Row],[Total Llegados a Meta]]/Tabla96[[#This Row],[Total Inscritos]])</f>
        <v/>
      </c>
      <c r="F99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91" s="43">
        <f ca="1">NOW()-'LOS TIEMPOS'!$K$2</f>
        <v>42368.075526157409</v>
      </c>
    </row>
    <row r="992" spans="1:8" x14ac:dyDescent="0.2">
      <c r="A992" s="13" t="str">
        <f>IF(ROW()-5&lt;=COUNTA(TablaEquipos[Compite]),ROW()-7,"")</f>
        <v/>
      </c>
      <c r="B992" s="10" t="str">
        <f>IF(Tabla96[[#This Row],[Id]]="","",VLOOKUP(Tabla96[[#This Row],[Id]]+1,TablaEquipos[],3,FALSE))</f>
        <v/>
      </c>
      <c r="C992" s="45" t="str">
        <f>IF(Tabla96[[#This Row],[Id]]="","",VLOOKUP(Tabla96[[#This Row],[Id]]+1,TablaEquipos[],4,FALSE))</f>
        <v/>
      </c>
      <c r="D992" s="13" t="str">
        <f>IF(Tabla96[[#This Row],[Id]]="","",COUNTIF(TablaTiempos[Club],Tabla96[[#This Row],[Pos]]))</f>
        <v/>
      </c>
      <c r="E992" s="47" t="str">
        <f>IF(Tabla96[[#This Row],[Id]]="","",Tabla96[[#This Row],[Total Llegados a Meta]]/Tabla96[[#This Row],[Total Inscritos]])</f>
        <v/>
      </c>
      <c r="F99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92" s="43">
        <f ca="1">NOW()-'LOS TIEMPOS'!$K$2</f>
        <v>42368.075526157409</v>
      </c>
    </row>
    <row r="993" spans="1:8" x14ac:dyDescent="0.2">
      <c r="A993" s="13" t="str">
        <f>IF(ROW()-5&lt;=COUNTA(TablaEquipos[Compite]),ROW()-7,"")</f>
        <v/>
      </c>
      <c r="B993" s="10" t="str">
        <f>IF(Tabla96[[#This Row],[Id]]="","",VLOOKUP(Tabla96[[#This Row],[Id]]+1,TablaEquipos[],3,FALSE))</f>
        <v/>
      </c>
      <c r="C993" s="45" t="str">
        <f>IF(Tabla96[[#This Row],[Id]]="","",VLOOKUP(Tabla96[[#This Row],[Id]]+1,TablaEquipos[],4,FALSE))</f>
        <v/>
      </c>
      <c r="D993" s="13" t="str">
        <f>IF(Tabla96[[#This Row],[Id]]="","",COUNTIF(TablaTiempos[Club],Tabla96[[#This Row],[Pos]]))</f>
        <v/>
      </c>
      <c r="E993" s="47" t="str">
        <f>IF(Tabla96[[#This Row],[Id]]="","",Tabla96[[#This Row],[Total Llegados a Meta]]/Tabla96[[#This Row],[Total Inscritos]])</f>
        <v/>
      </c>
      <c r="F99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93" s="43">
        <f ca="1">NOW()-'LOS TIEMPOS'!$K$2</f>
        <v>42368.075526157409</v>
      </c>
    </row>
    <row r="994" spans="1:8" x14ac:dyDescent="0.2">
      <c r="A994" s="13" t="str">
        <f>IF(ROW()-5&lt;=COUNTA(TablaEquipos[Compite]),ROW()-7,"")</f>
        <v/>
      </c>
      <c r="B994" s="10" t="str">
        <f>IF(Tabla96[[#This Row],[Id]]="","",VLOOKUP(Tabla96[[#This Row],[Id]]+1,TablaEquipos[],3,FALSE))</f>
        <v/>
      </c>
      <c r="C994" s="45" t="str">
        <f>IF(Tabla96[[#This Row],[Id]]="","",VLOOKUP(Tabla96[[#This Row],[Id]]+1,TablaEquipos[],4,FALSE))</f>
        <v/>
      </c>
      <c r="D994" s="13" t="str">
        <f>IF(Tabla96[[#This Row],[Id]]="","",COUNTIF(TablaTiempos[Club],Tabla96[[#This Row],[Pos]]))</f>
        <v/>
      </c>
      <c r="E994" s="47" t="str">
        <f>IF(Tabla96[[#This Row],[Id]]="","",Tabla96[[#This Row],[Total Llegados a Meta]]/Tabla96[[#This Row],[Total Inscritos]])</f>
        <v/>
      </c>
      <c r="F99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94" s="43">
        <f ca="1">NOW()-'LOS TIEMPOS'!$K$2</f>
        <v>42368.075526157409</v>
      </c>
    </row>
    <row r="995" spans="1:8" x14ac:dyDescent="0.2">
      <c r="A995" s="13" t="str">
        <f>IF(ROW()-5&lt;=COUNTA(TablaEquipos[Compite]),ROW()-7,"")</f>
        <v/>
      </c>
      <c r="B995" s="10" t="str">
        <f>IF(Tabla96[[#This Row],[Id]]="","",VLOOKUP(Tabla96[[#This Row],[Id]]+1,TablaEquipos[],3,FALSE))</f>
        <v/>
      </c>
      <c r="C995" s="45" t="str">
        <f>IF(Tabla96[[#This Row],[Id]]="","",VLOOKUP(Tabla96[[#This Row],[Id]]+1,TablaEquipos[],4,FALSE))</f>
        <v/>
      </c>
      <c r="D995" s="13" t="str">
        <f>IF(Tabla96[[#This Row],[Id]]="","",COUNTIF(TablaTiempos[Club],Tabla96[[#This Row],[Pos]]))</f>
        <v/>
      </c>
      <c r="E995" s="47" t="str">
        <f>IF(Tabla96[[#This Row],[Id]]="","",Tabla96[[#This Row],[Total Llegados a Meta]]/Tabla96[[#This Row],[Total Inscritos]])</f>
        <v/>
      </c>
      <c r="F99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95" s="43">
        <f ca="1">NOW()-'LOS TIEMPOS'!$K$2</f>
        <v>42368.075526157409</v>
      </c>
    </row>
    <row r="996" spans="1:8" x14ac:dyDescent="0.2">
      <c r="A996" s="13" t="str">
        <f>IF(ROW()-5&lt;=COUNTA(TablaEquipos[Compite]),ROW()-7,"")</f>
        <v/>
      </c>
      <c r="B996" s="10" t="str">
        <f>IF(Tabla96[[#This Row],[Id]]="","",VLOOKUP(Tabla96[[#This Row],[Id]]+1,TablaEquipos[],3,FALSE))</f>
        <v/>
      </c>
      <c r="C996" s="45" t="str">
        <f>IF(Tabla96[[#This Row],[Id]]="","",VLOOKUP(Tabla96[[#This Row],[Id]]+1,TablaEquipos[],4,FALSE))</f>
        <v/>
      </c>
      <c r="D996" s="13" t="str">
        <f>IF(Tabla96[[#This Row],[Id]]="","",COUNTIF(TablaTiempos[Club],Tabla96[[#This Row],[Pos]]))</f>
        <v/>
      </c>
      <c r="E996" s="47" t="str">
        <f>IF(Tabla96[[#This Row],[Id]]="","",Tabla96[[#This Row],[Total Llegados a Meta]]/Tabla96[[#This Row],[Total Inscritos]])</f>
        <v/>
      </c>
      <c r="F99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96" s="43">
        <f ca="1">NOW()-'LOS TIEMPOS'!$K$2</f>
        <v>42368.075526157409</v>
      </c>
    </row>
    <row r="997" spans="1:8" x14ac:dyDescent="0.2">
      <c r="A997" s="13" t="str">
        <f>IF(ROW()-5&lt;=COUNTA(TablaEquipos[Compite]),ROW()-7,"")</f>
        <v/>
      </c>
      <c r="B997" s="10" t="str">
        <f>IF(Tabla96[[#This Row],[Id]]="","",VLOOKUP(Tabla96[[#This Row],[Id]]+1,TablaEquipos[],3,FALSE))</f>
        <v/>
      </c>
      <c r="C997" s="45" t="str">
        <f>IF(Tabla96[[#This Row],[Id]]="","",VLOOKUP(Tabla96[[#This Row],[Id]]+1,TablaEquipos[],4,FALSE))</f>
        <v/>
      </c>
      <c r="D997" s="13" t="str">
        <f>IF(Tabla96[[#This Row],[Id]]="","",COUNTIF(TablaTiempos[Club],Tabla96[[#This Row],[Pos]]))</f>
        <v/>
      </c>
      <c r="E997" s="47" t="str">
        <f>IF(Tabla96[[#This Row],[Id]]="","",Tabla96[[#This Row],[Total Llegados a Meta]]/Tabla96[[#This Row],[Total Inscritos]])</f>
        <v/>
      </c>
      <c r="F99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97" s="43">
        <f ca="1">NOW()-'LOS TIEMPOS'!$K$2</f>
        <v>42368.075526157409</v>
      </c>
    </row>
    <row r="998" spans="1:8" x14ac:dyDescent="0.2">
      <c r="A998" s="13" t="str">
        <f>IF(ROW()-5&lt;=COUNTA(TablaEquipos[Compite]),ROW()-7,"")</f>
        <v/>
      </c>
      <c r="B998" s="10" t="str">
        <f>IF(Tabla96[[#This Row],[Id]]="","",VLOOKUP(Tabla96[[#This Row],[Id]]+1,TablaEquipos[],3,FALSE))</f>
        <v/>
      </c>
      <c r="C998" s="45" t="str">
        <f>IF(Tabla96[[#This Row],[Id]]="","",VLOOKUP(Tabla96[[#This Row],[Id]]+1,TablaEquipos[],4,FALSE))</f>
        <v/>
      </c>
      <c r="D998" s="13" t="str">
        <f>IF(Tabla96[[#This Row],[Id]]="","",COUNTIF(TablaTiempos[Club],Tabla96[[#This Row],[Pos]]))</f>
        <v/>
      </c>
      <c r="E998" s="47" t="str">
        <f>IF(Tabla96[[#This Row],[Id]]="","",Tabla96[[#This Row],[Total Llegados a Meta]]/Tabla96[[#This Row],[Total Inscritos]])</f>
        <v/>
      </c>
      <c r="F998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98" s="43">
        <f ca="1">NOW()-'LOS TIEMPOS'!$K$2</f>
        <v>42368.075526157409</v>
      </c>
    </row>
    <row r="999" spans="1:8" x14ac:dyDescent="0.2">
      <c r="A999" s="13" t="str">
        <f>IF(ROW()-5&lt;=COUNTA(TablaEquipos[Compite]),ROW()-7,"")</f>
        <v/>
      </c>
      <c r="B999" s="10" t="str">
        <f>IF(Tabla96[[#This Row],[Id]]="","",VLOOKUP(Tabla96[[#This Row],[Id]]+1,TablaEquipos[],3,FALSE))</f>
        <v/>
      </c>
      <c r="C999" s="45" t="str">
        <f>IF(Tabla96[[#This Row],[Id]]="","",VLOOKUP(Tabla96[[#This Row],[Id]]+1,TablaEquipos[],4,FALSE))</f>
        <v/>
      </c>
      <c r="D999" s="13" t="str">
        <f>IF(Tabla96[[#This Row],[Id]]="","",COUNTIF(TablaTiempos[Club],Tabla96[[#This Row],[Pos]]))</f>
        <v/>
      </c>
      <c r="E999" s="47" t="str">
        <f>IF(Tabla96[[#This Row],[Id]]="","",Tabla96[[#This Row],[Total Llegados a Meta]]/Tabla96[[#This Row],[Total Inscritos]])</f>
        <v/>
      </c>
      <c r="F999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999" s="43">
        <f ca="1">NOW()-'LOS TIEMPOS'!$K$2</f>
        <v>42368.075526157409</v>
      </c>
    </row>
    <row r="1000" spans="1:8" x14ac:dyDescent="0.2">
      <c r="A1000" s="13" t="str">
        <f>IF(ROW()-5&lt;=COUNTA(TablaEquipos[Compite]),ROW()-7,"")</f>
        <v/>
      </c>
      <c r="B1000" s="10" t="str">
        <f>IF(Tabla96[[#This Row],[Id]]="","",VLOOKUP(Tabla96[[#This Row],[Id]]+1,TablaEquipos[],3,FALSE))</f>
        <v/>
      </c>
      <c r="C1000" s="45" t="str">
        <f>IF(Tabla96[[#This Row],[Id]]="","",VLOOKUP(Tabla96[[#This Row],[Id]]+1,TablaEquipos[],4,FALSE))</f>
        <v/>
      </c>
      <c r="D1000" s="13" t="str">
        <f>IF(Tabla96[[#This Row],[Id]]="","",COUNTIF(TablaTiempos[Club],Tabla96[[#This Row],[Pos]]))</f>
        <v/>
      </c>
      <c r="E1000" s="47" t="str">
        <f>IF(Tabla96[[#This Row],[Id]]="","",Tabla96[[#This Row],[Total Llegados a Meta]]/Tabla96[[#This Row],[Total Inscritos]])</f>
        <v/>
      </c>
      <c r="F1000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000" s="43">
        <f ca="1">NOW()-'LOS TIEMPOS'!$K$2</f>
        <v>42368.075526157409</v>
      </c>
    </row>
    <row r="1001" spans="1:8" x14ac:dyDescent="0.2">
      <c r="A1001" s="13" t="str">
        <f>IF(ROW()-5&lt;=COUNTA(TablaEquipos[Compite]),ROW()-7,"")</f>
        <v/>
      </c>
      <c r="B1001" s="10" t="str">
        <f>IF(Tabla96[[#This Row],[Id]]="","",VLOOKUP(Tabla96[[#This Row],[Id]]+1,TablaEquipos[],3,FALSE))</f>
        <v/>
      </c>
      <c r="C1001" s="45" t="str">
        <f>IF(Tabla96[[#This Row],[Id]]="","",VLOOKUP(Tabla96[[#This Row],[Id]]+1,TablaEquipos[],4,FALSE))</f>
        <v/>
      </c>
      <c r="D1001" s="13" t="str">
        <f>IF(Tabla96[[#This Row],[Id]]="","",COUNTIF(TablaTiempos[Club],Tabla96[[#This Row],[Pos]]))</f>
        <v/>
      </c>
      <c r="E1001" s="47" t="str">
        <f>IF(Tabla96[[#This Row],[Id]]="","",Tabla96[[#This Row],[Total Llegados a Meta]]/Tabla96[[#This Row],[Total Inscritos]])</f>
        <v/>
      </c>
      <c r="F1001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001" s="43">
        <f ca="1">NOW()-'LOS TIEMPOS'!$K$2</f>
        <v>42368.075526157409</v>
      </c>
    </row>
    <row r="1002" spans="1:8" x14ac:dyDescent="0.2">
      <c r="A1002" s="13" t="str">
        <f>IF(ROW()-5&lt;=COUNTA(TablaEquipos[Compite]),ROW()-7,"")</f>
        <v/>
      </c>
      <c r="B1002" s="10" t="str">
        <f>IF(Tabla96[[#This Row],[Id]]="","",VLOOKUP(Tabla96[[#This Row],[Id]]+1,TablaEquipos[],3,FALSE))</f>
        <v/>
      </c>
      <c r="C1002" s="45" t="str">
        <f>IF(Tabla96[[#This Row],[Id]]="","",VLOOKUP(Tabla96[[#This Row],[Id]]+1,TablaEquipos[],4,FALSE))</f>
        <v/>
      </c>
      <c r="D1002" s="13" t="str">
        <f>IF(Tabla96[[#This Row],[Id]]="","",COUNTIF(TablaTiempos[Club],Tabla96[[#This Row],[Pos]]))</f>
        <v/>
      </c>
      <c r="E1002" s="47" t="str">
        <f>IF(Tabla96[[#This Row],[Id]]="","",Tabla96[[#This Row],[Total Llegados a Meta]]/Tabla96[[#This Row],[Total Inscritos]])</f>
        <v/>
      </c>
      <c r="F1002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002" s="43">
        <f ca="1">NOW()-'LOS TIEMPOS'!$K$2</f>
        <v>42368.075526157409</v>
      </c>
    </row>
    <row r="1003" spans="1:8" x14ac:dyDescent="0.2">
      <c r="A1003" s="13" t="str">
        <f>IF(ROW()-5&lt;=COUNTA(TablaEquipos[Compite]),ROW()-7,"")</f>
        <v/>
      </c>
      <c r="B1003" s="10" t="str">
        <f>IF(Tabla96[[#This Row],[Id]]="","",VLOOKUP(Tabla96[[#This Row],[Id]]+1,TablaEquipos[],3,FALSE))</f>
        <v/>
      </c>
      <c r="C1003" s="45" t="str">
        <f>IF(Tabla96[[#This Row],[Id]]="","",VLOOKUP(Tabla96[[#This Row],[Id]]+1,TablaEquipos[],4,FALSE))</f>
        <v/>
      </c>
      <c r="D1003" s="13" t="str">
        <f>IF(Tabla96[[#This Row],[Id]]="","",COUNTIF(TablaTiempos[Club],Tabla96[[#This Row],[Pos]]))</f>
        <v/>
      </c>
      <c r="E1003" s="47" t="str">
        <f>IF(Tabla96[[#This Row],[Id]]="","",Tabla96[[#This Row],[Total Llegados a Meta]]/Tabla96[[#This Row],[Total Inscritos]])</f>
        <v/>
      </c>
      <c r="F1003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003" s="43">
        <f ca="1">NOW()-'LOS TIEMPOS'!$K$2</f>
        <v>42368.075526157409</v>
      </c>
    </row>
    <row r="1004" spans="1:8" x14ac:dyDescent="0.2">
      <c r="A1004" s="13" t="str">
        <f>IF(ROW()-5&lt;=COUNTA(TablaEquipos[Compite]),ROW()-7,"")</f>
        <v/>
      </c>
      <c r="B1004" s="10" t="str">
        <f>IF(Tabla96[[#This Row],[Id]]="","",VLOOKUP(Tabla96[[#This Row],[Id]]+1,TablaEquipos[],3,FALSE))</f>
        <v/>
      </c>
      <c r="C1004" s="45" t="str">
        <f>IF(Tabla96[[#This Row],[Id]]="","",VLOOKUP(Tabla96[[#This Row],[Id]]+1,TablaEquipos[],4,FALSE))</f>
        <v/>
      </c>
      <c r="D1004" s="13" t="str">
        <f>IF(Tabla96[[#This Row],[Id]]="","",COUNTIF(TablaTiempos[Club],Tabla96[[#This Row],[Pos]]))</f>
        <v/>
      </c>
      <c r="E1004" s="47" t="str">
        <f>IF(Tabla96[[#This Row],[Id]]="","",Tabla96[[#This Row],[Total Llegados a Meta]]/Tabla96[[#This Row],[Total Inscritos]])</f>
        <v/>
      </c>
      <c r="F1004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004" s="43">
        <f ca="1">NOW()-'LOS TIEMPOS'!$K$2</f>
        <v>42368.075526157409</v>
      </c>
    </row>
    <row r="1005" spans="1:8" x14ac:dyDescent="0.2">
      <c r="A1005" s="13" t="str">
        <f>IF(ROW()-5&lt;=COUNTA(TablaEquipos[Compite]),ROW()-7,"")</f>
        <v/>
      </c>
      <c r="B1005" s="10" t="str">
        <f>IF(Tabla96[[#This Row],[Id]]="","",VLOOKUP(Tabla96[[#This Row],[Id]]+1,TablaEquipos[],3,FALSE))</f>
        <v/>
      </c>
      <c r="C1005" s="45" t="str">
        <f>IF(Tabla96[[#This Row],[Id]]="","",VLOOKUP(Tabla96[[#This Row],[Id]]+1,TablaEquipos[],4,FALSE))</f>
        <v/>
      </c>
      <c r="D1005" s="13" t="str">
        <f>IF(Tabla96[[#This Row],[Id]]="","",COUNTIF(TablaTiempos[Club],Tabla96[[#This Row],[Pos]]))</f>
        <v/>
      </c>
      <c r="E1005" s="47" t="str">
        <f>IF(Tabla96[[#This Row],[Id]]="","",Tabla96[[#This Row],[Total Llegados a Meta]]/Tabla96[[#This Row],[Total Inscritos]])</f>
        <v/>
      </c>
      <c r="F1005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005" s="43">
        <f ca="1">NOW()-'LOS TIEMPOS'!$K$2</f>
        <v>42368.075526157409</v>
      </c>
    </row>
    <row r="1006" spans="1:8" x14ac:dyDescent="0.2">
      <c r="A1006" s="13" t="str">
        <f>IF(ROW()-5&lt;=COUNTA(TablaEquipos[Compite]),ROW()-7,"")</f>
        <v/>
      </c>
      <c r="B1006" s="10" t="str">
        <f>IF(Tabla96[[#This Row],[Id]]="","",VLOOKUP(Tabla96[[#This Row],[Id]]+1,TablaEquipos[],3,FALSE))</f>
        <v/>
      </c>
      <c r="C1006" s="45" t="str">
        <f>IF(Tabla96[[#This Row],[Id]]="","",VLOOKUP(Tabla96[[#This Row],[Id]]+1,TablaEquipos[],4,FALSE))</f>
        <v/>
      </c>
      <c r="D1006" s="13" t="str">
        <f>IF(Tabla96[[#This Row],[Id]]="","",COUNTIF(TablaTiempos[Club],Tabla96[[#This Row],[Pos]]))</f>
        <v/>
      </c>
      <c r="E1006" s="47" t="str">
        <f>IF(Tabla96[[#This Row],[Id]]="","",Tabla96[[#This Row],[Total Llegados a Meta]]/Tabla96[[#This Row],[Total Inscritos]])</f>
        <v/>
      </c>
      <c r="F1006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006" s="43">
        <f ca="1">NOW()-'LOS TIEMPOS'!$K$2</f>
        <v>42368.075526157409</v>
      </c>
    </row>
    <row r="1007" spans="1:8" x14ac:dyDescent="0.2">
      <c r="A1007" s="13" t="str">
        <f>IF(ROW()-5&lt;=COUNTA(TablaEquipos[Compite]),ROW()-7,"")</f>
        <v/>
      </c>
      <c r="B1007" s="10" t="str">
        <f>IF(Tabla96[[#This Row],[Id]]="","",VLOOKUP(Tabla96[[#This Row],[Id]]+1,TablaEquipos[],3,FALSE))</f>
        <v/>
      </c>
      <c r="C1007" s="45" t="str">
        <f>IF(Tabla96[[#This Row],[Id]]="","",VLOOKUP(Tabla96[[#This Row],[Id]]+1,TablaEquipos[],4,FALSE))</f>
        <v/>
      </c>
      <c r="D1007" s="13" t="str">
        <f>IF(Tabla96[[#This Row],[Id]]="","",COUNTIF(TablaTiempos[Club],Tabla96[[#This Row],[Pos]]))</f>
        <v/>
      </c>
      <c r="E1007" s="47" t="str">
        <f>IF(Tabla96[[#This Row],[Id]]="","",Tabla96[[#This Row],[Total Llegados a Meta]]/Tabla96[[#This Row],[Total Inscritos]])</f>
        <v/>
      </c>
      <c r="F1007" s="13" t="str">
        <f>IF(Tabla96[[#This Row],[Pos]]="","",IF(LaCategoria="",VLOOKUP(CONCATENATE(Tabla96[[#This Row],[Pos]],"_",LaCarrera),TablaTiempos[[Dato 1]:[Club]],14,FALSE),VLOOKUP(CONCATENATE(Tabla96[[#This Row],[Pos]],"_",LaCarrera,"_",LaCategoria),TablaTiempos[[Dato 2]:[Club]],11,FALSE)))</f>
        <v/>
      </c>
      <c r="H1007" s="43">
        <f ca="1">NOW()-'LOS TIEMPOS'!$K$2</f>
        <v>42368.075526157409</v>
      </c>
    </row>
  </sheetData>
  <mergeCells count="3">
    <mergeCell ref="C2:D2"/>
    <mergeCell ref="C3:D3"/>
    <mergeCell ref="A5:H5"/>
  </mergeCells>
  <conditionalFormatting sqref="E8:E100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{215E6063-082D-49D6-978F-D4B423948BB1}</x14:id>
        </ext>
      </extLst>
    </cfRule>
  </conditionalFormatting>
  <pageMargins left="0.7" right="0.7" top="0.75" bottom="0.75" header="0.3" footer="0.3"/>
  <pageSetup paperSize="9" orientation="portrait" horizontalDpi="4294967293" verticalDpi="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15E6063-082D-49D6-978F-D4B423948BB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E8:E1007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OFFSET('LAS CARRERAS'!$D$4:$D$4,0,0,COUNTA('LAS CARRERAS'!D:D)-2)</xm:f>
          </x14:formula1>
          <xm:sqref>C2</xm:sqref>
        </x14:dataValidation>
        <x14:dataValidation type="list" allowBlank="1" showInputMessage="1" showErrorMessage="1">
          <x14:formula1>
            <xm:f>OFFSET('LAS CATEGORIAS'!$F$4:$F$4,0,0,COUNTA('LAS CATEGORIAS'!F:F)-2)</xm:f>
          </x14:formula1>
          <xm:sqref>C3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5" tint="-0.249977111117893"/>
  </sheetPr>
  <dimension ref="A1:L281"/>
  <sheetViews>
    <sheetView workbookViewId="0">
      <selection activeCell="H35" sqref="H35"/>
    </sheetView>
  </sheetViews>
  <sheetFormatPr baseColWidth="10" defaultRowHeight="15" x14ac:dyDescent="0.25"/>
  <cols>
    <col min="1" max="1" width="28.28515625" style="4" bestFit="1" customWidth="1"/>
    <col min="2" max="3" width="7.28515625" style="4" customWidth="1"/>
    <col min="4" max="5" width="12.85546875" customWidth="1"/>
    <col min="6" max="6" width="7.140625" style="24" customWidth="1"/>
    <col min="7" max="8" width="12.85546875" customWidth="1"/>
    <col min="9" max="9" width="7.140625" customWidth="1"/>
    <col min="10" max="10" width="12.85546875" customWidth="1"/>
    <col min="12" max="12" width="7.140625" customWidth="1"/>
  </cols>
  <sheetData>
    <row r="1" spans="1:12" ht="32.25" customHeight="1" thickBot="1" x14ac:dyDescent="0.3">
      <c r="A1" s="130" t="s">
        <v>58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</row>
    <row r="2" spans="1:12" ht="27.75" thickTop="1" thickBot="1" x14ac:dyDescent="0.3">
      <c r="A2" s="20" t="str">
        <f>CONCATENATE("Registrados: ",COUNTA(Tabla25[Club]))</f>
        <v>Registrados: 42</v>
      </c>
      <c r="B2" s="25"/>
      <c r="C2" s="25"/>
      <c r="D2" s="132" t="s">
        <v>59</v>
      </c>
      <c r="E2" s="133"/>
      <c r="F2" s="134"/>
      <c r="G2" s="132" t="s">
        <v>60</v>
      </c>
      <c r="H2" s="133"/>
      <c r="I2" s="134"/>
      <c r="J2" s="132" t="s">
        <v>61</v>
      </c>
      <c r="K2" s="133"/>
      <c r="L2" s="133"/>
    </row>
    <row r="3" spans="1:12" s="14" customFormat="1" ht="32.25" customHeight="1" thickTop="1" thickBot="1" x14ac:dyDescent="0.3">
      <c r="A3" s="16" t="s">
        <v>26</v>
      </c>
      <c r="B3" s="16" t="s">
        <v>27</v>
      </c>
      <c r="C3" s="16" t="s">
        <v>48</v>
      </c>
      <c r="D3" s="17" t="s">
        <v>50</v>
      </c>
      <c r="E3" s="18" t="s">
        <v>49</v>
      </c>
      <c r="F3" s="22" t="s">
        <v>55</v>
      </c>
      <c r="G3" s="17" t="s">
        <v>51</v>
      </c>
      <c r="H3" s="18" t="s">
        <v>52</v>
      </c>
      <c r="I3" s="19" t="s">
        <v>56</v>
      </c>
      <c r="J3" s="17" t="s">
        <v>53</v>
      </c>
      <c r="K3" s="18" t="s">
        <v>54</v>
      </c>
      <c r="L3" s="19" t="s">
        <v>57</v>
      </c>
    </row>
    <row r="4" spans="1:12" ht="15.75" thickTop="1" x14ac:dyDescent="0.25">
      <c r="A4" s="26" t="s">
        <v>74</v>
      </c>
      <c r="B4" s="8">
        <f>TablaEquipos[[#This Row],[Participantes]]</f>
        <v>1</v>
      </c>
      <c r="C4" s="8" t="e">
        <f>COUNTIF(#REF!,Tabla25[[#This Row],[Club]])</f>
        <v>#REF!</v>
      </c>
      <c r="D4" s="15" t="e">
        <f>COUNTIF(#REF!,Tabla25[[#This Row],[Club]])</f>
        <v>#REF!</v>
      </c>
      <c r="E4" s="21" t="e">
        <f>IF(Tabla25[[#This Row],[Num Meta Masculino]]&gt;=4,SUMIF(#REF!,Tabla25[[#This Row],[Club]],TablaTiempos[Tiempo Llegada]),"")</f>
        <v>#REF!</v>
      </c>
      <c r="F4" s="23" t="e">
        <f>IF(Tabla25[[#This Row],[Num Meta Masculino]]&gt;=4,_xlfn.RANK.AVG(Tabla25[[#This Row],[Tiempo Meta Masculino]],Tabla25[Tiempo Meta Masculino],1),"")</f>
        <v>#REF!</v>
      </c>
      <c r="G4" s="15" t="e">
        <f>COUNTIF(#REF!,Tabla25[[#This Row],[Club]])</f>
        <v>#REF!</v>
      </c>
      <c r="H4" s="21" t="e">
        <f>IF(Tabla25[[#This Row],[Num Meta Femenino]]&gt;=4,SUMIF(#REF!,Tabla25[[#This Row],[Club]],TablaTiempos[Tiempo Llegada]),"")</f>
        <v>#REF!</v>
      </c>
      <c r="I4" s="23" t="e">
        <f>IF(Tabla25[[#This Row],[Num Meta Femenino]]&gt;=4,_xlfn.RANK.AVG(Tabla25[[#This Row],[Tiempo Meta Femenino]],Tabla25[Tiempo Meta Femenino],1),"")</f>
        <v>#REF!</v>
      </c>
      <c r="J4" s="15" t="e">
        <f>COUNTIF(#REF!,Tabla25[[#This Row],[Club]])</f>
        <v>#REF!</v>
      </c>
      <c r="K4" s="21" t="e">
        <f>IF(Tabla25[[#This Row],[Num Meta Mixto]]&gt;=4,SUMIF(#REF!,Tabla25[[#This Row],[Club]],TablaTiempos[Tiempo Llegada]),"")</f>
        <v>#REF!</v>
      </c>
      <c r="L4" s="23" t="e">
        <f>IF(Tabla25[[#This Row],[Num Meta Mixto]]&gt;=4,_xlfn.RANK.AVG(Tabla25[[#This Row],[Tiempo Meta Mixto]],Tabla25[Tiempo Meta Mixto],1),"")</f>
        <v>#REF!</v>
      </c>
    </row>
    <row r="5" spans="1:12" x14ac:dyDescent="0.25">
      <c r="A5" s="26" t="s">
        <v>2</v>
      </c>
      <c r="B5" s="8">
        <f>TablaEquipos[[#This Row],[Participantes]]</f>
        <v>14</v>
      </c>
      <c r="C5" s="8" t="e">
        <f>COUNTIF(#REF!,Tabla25[[#This Row],[Club]])</f>
        <v>#REF!</v>
      </c>
      <c r="D5" s="15" t="e">
        <f>COUNTIF(#REF!,Tabla25[[#This Row],[Club]])</f>
        <v>#REF!</v>
      </c>
      <c r="E5" s="21" t="e">
        <f>IF(Tabla25[[#This Row],[Num Meta Masculino]]&gt;=4,SUMIF(#REF!,Tabla25[[#This Row],[Club]],TablaTiempos[Tiempo Llegada]),"")</f>
        <v>#REF!</v>
      </c>
      <c r="F5" s="23" t="e">
        <f>IF(Tabla25[[#This Row],[Num Meta Masculino]]&gt;=4,_xlfn.RANK.AVG(Tabla25[[#This Row],[Tiempo Meta Masculino]],Tabla25[Tiempo Meta Masculino],1),"")</f>
        <v>#REF!</v>
      </c>
      <c r="G5" s="15" t="e">
        <f>COUNTIF(#REF!,Tabla25[[#This Row],[Club]])</f>
        <v>#REF!</v>
      </c>
      <c r="H5" s="21" t="e">
        <f>IF(Tabla25[[#This Row],[Num Meta Femenino]]&gt;=4,SUMIF(#REF!,Tabla25[[#This Row],[Club]],TablaTiempos[Tiempo Llegada]),"")</f>
        <v>#REF!</v>
      </c>
      <c r="I5" s="23" t="e">
        <f>IF(Tabla25[[#This Row],[Num Meta Femenino]]&gt;=4,_xlfn.RANK.AVG(Tabla25[[#This Row],[Tiempo Meta Femenino]],Tabla25[Tiempo Meta Femenino],1),"")</f>
        <v>#REF!</v>
      </c>
      <c r="J5" s="15" t="e">
        <f>COUNTIF(#REF!,Tabla25[[#This Row],[Club]])</f>
        <v>#REF!</v>
      </c>
      <c r="K5" s="21" t="e">
        <f>IF(Tabla25[[#This Row],[Num Meta Mixto]]&gt;=4,SUMIF(#REF!,Tabla25[[#This Row],[Club]],TablaTiempos[Tiempo Llegada]),"")</f>
        <v>#REF!</v>
      </c>
      <c r="L5" s="23" t="e">
        <f>IF(Tabla25[[#This Row],[Num Meta Mixto]]&gt;=4,_xlfn.RANK.AVG(Tabla25[[#This Row],[Tiempo Meta Mixto]],Tabla25[Tiempo Meta Mixto],1),"")</f>
        <v>#REF!</v>
      </c>
    </row>
    <row r="6" spans="1:12" x14ac:dyDescent="0.25">
      <c r="A6" s="26" t="s">
        <v>30</v>
      </c>
      <c r="B6" s="8">
        <f>TablaEquipos[[#This Row],[Participantes]]</f>
        <v>1</v>
      </c>
      <c r="C6" s="8" t="e">
        <f>COUNTIF(#REF!,Tabla25[[#This Row],[Club]])</f>
        <v>#REF!</v>
      </c>
      <c r="D6" s="15" t="e">
        <f>COUNTIF(#REF!,Tabla25[[#This Row],[Club]])</f>
        <v>#REF!</v>
      </c>
      <c r="E6" s="21" t="e">
        <f>IF(Tabla25[[#This Row],[Num Meta Masculino]]&gt;=4,SUMIF(#REF!,Tabla25[[#This Row],[Club]],TablaTiempos[Tiempo Llegada]),"")</f>
        <v>#REF!</v>
      </c>
      <c r="F6" s="23" t="e">
        <f>IF(Tabla25[[#This Row],[Num Meta Masculino]]&gt;=4,_xlfn.RANK.AVG(Tabla25[[#This Row],[Tiempo Meta Masculino]],Tabla25[Tiempo Meta Masculino],1),"")</f>
        <v>#REF!</v>
      </c>
      <c r="G6" s="15" t="e">
        <f>COUNTIF(#REF!,Tabla25[[#This Row],[Club]])</f>
        <v>#REF!</v>
      </c>
      <c r="H6" s="21" t="e">
        <f>IF(Tabla25[[#This Row],[Num Meta Femenino]]&gt;=4,SUMIF(#REF!,Tabla25[[#This Row],[Club]],TablaTiempos[Tiempo Llegada]),"")</f>
        <v>#REF!</v>
      </c>
      <c r="I6" s="23" t="e">
        <f>IF(Tabla25[[#This Row],[Num Meta Femenino]]&gt;=4,_xlfn.RANK.AVG(Tabla25[[#This Row],[Tiempo Meta Femenino]],Tabla25[Tiempo Meta Femenino],1),"")</f>
        <v>#REF!</v>
      </c>
      <c r="J6" s="15" t="e">
        <f>COUNTIF(#REF!,Tabla25[[#This Row],[Club]])</f>
        <v>#REF!</v>
      </c>
      <c r="K6" s="21" t="e">
        <f>IF(Tabla25[[#This Row],[Num Meta Mixto]]&gt;=4,SUMIF(#REF!,Tabla25[[#This Row],[Club]],TablaTiempos[Tiempo Llegada]),"")</f>
        <v>#REF!</v>
      </c>
      <c r="L6" s="23" t="e">
        <f>IF(Tabla25[[#This Row],[Num Meta Mixto]]&gt;=4,_xlfn.RANK.AVG(Tabla25[[#This Row],[Tiempo Meta Mixto]],Tabla25[Tiempo Meta Mixto],1),"")</f>
        <v>#REF!</v>
      </c>
    </row>
    <row r="7" spans="1:12" x14ac:dyDescent="0.25">
      <c r="A7" s="26" t="s">
        <v>29</v>
      </c>
      <c r="B7" s="8">
        <f>TablaEquipos[[#This Row],[Participantes]]</f>
        <v>1</v>
      </c>
      <c r="C7" s="8" t="e">
        <f>COUNTIF(#REF!,Tabla25[[#This Row],[Club]])</f>
        <v>#REF!</v>
      </c>
      <c r="D7" s="15" t="e">
        <f>COUNTIF(#REF!,Tabla25[[#This Row],[Club]])</f>
        <v>#REF!</v>
      </c>
      <c r="E7" s="21" t="e">
        <f>IF(Tabla25[[#This Row],[Num Meta Masculino]]&gt;=4,SUMIF(#REF!,Tabla25[[#This Row],[Club]],TablaTiempos[Tiempo Llegada]),"")</f>
        <v>#REF!</v>
      </c>
      <c r="F7" s="23" t="e">
        <f>IF(Tabla25[[#This Row],[Num Meta Masculino]]&gt;=4,_xlfn.RANK.AVG(Tabla25[[#This Row],[Tiempo Meta Masculino]],Tabla25[Tiempo Meta Masculino],1),"")</f>
        <v>#REF!</v>
      </c>
      <c r="G7" s="15" t="e">
        <f>COUNTIF(#REF!,Tabla25[[#This Row],[Club]])</f>
        <v>#REF!</v>
      </c>
      <c r="H7" s="21" t="e">
        <f>IF(Tabla25[[#This Row],[Num Meta Femenino]]&gt;=4,SUMIF(#REF!,Tabla25[[#This Row],[Club]],TablaTiempos[Tiempo Llegada]),"")</f>
        <v>#REF!</v>
      </c>
      <c r="I7" s="23" t="e">
        <f>IF(Tabla25[[#This Row],[Num Meta Femenino]]&gt;=4,_xlfn.RANK.AVG(Tabla25[[#This Row],[Tiempo Meta Femenino]],Tabla25[Tiempo Meta Femenino],1),"")</f>
        <v>#REF!</v>
      </c>
      <c r="J7" s="15" t="e">
        <f>COUNTIF(#REF!,Tabla25[[#This Row],[Club]])</f>
        <v>#REF!</v>
      </c>
      <c r="K7" s="21" t="e">
        <f>IF(Tabla25[[#This Row],[Num Meta Mixto]]&gt;=4,SUMIF(#REF!,Tabla25[[#This Row],[Club]],TablaTiempos[Tiempo Llegada]),"")</f>
        <v>#REF!</v>
      </c>
      <c r="L7" s="23" t="e">
        <f>IF(Tabla25[[#This Row],[Num Meta Mixto]]&gt;=4,_xlfn.RANK.AVG(Tabla25[[#This Row],[Tiempo Meta Mixto]],Tabla25[Tiempo Meta Mixto],1),"")</f>
        <v>#REF!</v>
      </c>
    </row>
    <row r="8" spans="1:12" x14ac:dyDescent="0.25">
      <c r="A8" s="26" t="s">
        <v>3</v>
      </c>
      <c r="B8" s="8">
        <f>TablaEquipos[[#This Row],[Participantes]]</f>
        <v>2</v>
      </c>
      <c r="C8" s="8" t="e">
        <f>COUNTIF(#REF!,Tabla25[[#This Row],[Club]])</f>
        <v>#REF!</v>
      </c>
      <c r="D8" s="15" t="e">
        <f>COUNTIF(#REF!,Tabla25[[#This Row],[Club]])</f>
        <v>#REF!</v>
      </c>
      <c r="E8" s="21" t="e">
        <f>IF(Tabla25[[#This Row],[Num Meta Masculino]]&gt;=4,SUMIF(#REF!,Tabla25[[#This Row],[Club]],TablaTiempos[Tiempo Llegada]),"")</f>
        <v>#REF!</v>
      </c>
      <c r="F8" s="23" t="e">
        <f>IF(Tabla25[[#This Row],[Num Meta Masculino]]&gt;=4,_xlfn.RANK.AVG(Tabla25[[#This Row],[Tiempo Meta Masculino]],Tabla25[Tiempo Meta Masculino],1),"")</f>
        <v>#REF!</v>
      </c>
      <c r="G8" s="15" t="e">
        <f>COUNTIF(#REF!,Tabla25[[#This Row],[Club]])</f>
        <v>#REF!</v>
      </c>
      <c r="H8" s="21" t="e">
        <f>IF(Tabla25[[#This Row],[Num Meta Femenino]]&gt;=4,SUMIF(#REF!,Tabla25[[#This Row],[Club]],TablaTiempos[Tiempo Llegada]),"")</f>
        <v>#REF!</v>
      </c>
      <c r="I8" s="23" t="e">
        <f>IF(Tabla25[[#This Row],[Num Meta Femenino]]&gt;=4,_xlfn.RANK.AVG(Tabla25[[#This Row],[Tiempo Meta Femenino]],Tabla25[Tiempo Meta Femenino],1),"")</f>
        <v>#REF!</v>
      </c>
      <c r="J8" s="15" t="e">
        <f>COUNTIF(#REF!,Tabla25[[#This Row],[Club]])</f>
        <v>#REF!</v>
      </c>
      <c r="K8" s="21" t="e">
        <f>IF(Tabla25[[#This Row],[Num Meta Mixto]]&gt;=4,SUMIF(#REF!,Tabla25[[#This Row],[Club]],TablaTiempos[Tiempo Llegada]),"")</f>
        <v>#REF!</v>
      </c>
      <c r="L8" s="23" t="e">
        <f>IF(Tabla25[[#This Row],[Num Meta Mixto]]&gt;=4,_xlfn.RANK.AVG(Tabla25[[#This Row],[Tiempo Meta Mixto]],Tabla25[Tiempo Meta Mixto],1),"")</f>
        <v>#REF!</v>
      </c>
    </row>
    <row r="9" spans="1:12" x14ac:dyDescent="0.25">
      <c r="A9" s="26" t="s">
        <v>13</v>
      </c>
      <c r="B9" s="8">
        <f>TablaEquipos[[#This Row],[Participantes]]</f>
        <v>0</v>
      </c>
      <c r="C9" s="8" t="e">
        <f>COUNTIF(#REF!,Tabla25[[#This Row],[Club]])</f>
        <v>#REF!</v>
      </c>
      <c r="D9" s="15" t="e">
        <f>COUNTIF(#REF!,Tabla25[[#This Row],[Club]])</f>
        <v>#REF!</v>
      </c>
      <c r="E9" s="21" t="e">
        <f>IF(Tabla25[[#This Row],[Num Meta Masculino]]&gt;=4,SUMIF(#REF!,Tabla25[[#This Row],[Club]],TablaTiempos[Tiempo Llegada]),"")</f>
        <v>#REF!</v>
      </c>
      <c r="F9" s="23" t="e">
        <f>IF(Tabla25[[#This Row],[Num Meta Masculino]]&gt;=4,_xlfn.RANK.AVG(Tabla25[[#This Row],[Tiempo Meta Masculino]],Tabla25[Tiempo Meta Masculino],1),"")</f>
        <v>#REF!</v>
      </c>
      <c r="G9" s="15" t="e">
        <f>COUNTIF(#REF!,Tabla25[[#This Row],[Club]])</f>
        <v>#REF!</v>
      </c>
      <c r="H9" s="21" t="e">
        <f>IF(Tabla25[[#This Row],[Num Meta Femenino]]&gt;=4,SUMIF(#REF!,Tabla25[[#This Row],[Club]],TablaTiempos[Tiempo Llegada]),"")</f>
        <v>#REF!</v>
      </c>
      <c r="I9" s="23" t="e">
        <f>IF(Tabla25[[#This Row],[Num Meta Femenino]]&gt;=4,_xlfn.RANK.AVG(Tabla25[[#This Row],[Tiempo Meta Femenino]],Tabla25[Tiempo Meta Femenino],1),"")</f>
        <v>#REF!</v>
      </c>
      <c r="J9" s="15" t="e">
        <f>COUNTIF(#REF!,Tabla25[[#This Row],[Club]])</f>
        <v>#REF!</v>
      </c>
      <c r="K9" s="21" t="e">
        <f>IF(Tabla25[[#This Row],[Num Meta Mixto]]&gt;=4,SUMIF(#REF!,Tabla25[[#This Row],[Club]],TablaTiempos[Tiempo Llegada]),"")</f>
        <v>#REF!</v>
      </c>
      <c r="L9" s="23" t="e">
        <f>IF(Tabla25[[#This Row],[Num Meta Mixto]]&gt;=4,_xlfn.RANK.AVG(Tabla25[[#This Row],[Tiempo Meta Mixto]],Tabla25[Tiempo Meta Mixto],1),"")</f>
        <v>#REF!</v>
      </c>
    </row>
    <row r="10" spans="1:12" x14ac:dyDescent="0.25">
      <c r="A10" s="26" t="s">
        <v>21</v>
      </c>
      <c r="B10" s="8">
        <f>TablaEquipos[[#This Row],[Participantes]]</f>
        <v>1</v>
      </c>
      <c r="C10" s="8" t="e">
        <f>COUNTIF(#REF!,Tabla25[[#This Row],[Club]])</f>
        <v>#REF!</v>
      </c>
      <c r="D10" s="15" t="e">
        <f>COUNTIF(#REF!,Tabla25[[#This Row],[Club]])</f>
        <v>#REF!</v>
      </c>
      <c r="E10" s="21" t="e">
        <f>IF(Tabla25[[#This Row],[Num Meta Masculino]]&gt;=4,SUMIF(#REF!,Tabla25[[#This Row],[Club]],TablaTiempos[Tiempo Llegada]),"")</f>
        <v>#REF!</v>
      </c>
      <c r="F10" s="23" t="e">
        <f>IF(Tabla25[[#This Row],[Num Meta Masculino]]&gt;=4,_xlfn.RANK.AVG(Tabla25[[#This Row],[Tiempo Meta Masculino]],Tabla25[Tiempo Meta Masculino],1),"")</f>
        <v>#REF!</v>
      </c>
      <c r="G10" s="15" t="e">
        <f>COUNTIF(#REF!,Tabla25[[#This Row],[Club]])</f>
        <v>#REF!</v>
      </c>
      <c r="H10" s="21" t="e">
        <f>IF(Tabla25[[#This Row],[Num Meta Femenino]]&gt;=4,SUMIF(#REF!,Tabla25[[#This Row],[Club]],TablaTiempos[Tiempo Llegada]),"")</f>
        <v>#REF!</v>
      </c>
      <c r="I10" s="23" t="e">
        <f>IF(Tabla25[[#This Row],[Num Meta Femenino]]&gt;=4,_xlfn.RANK.AVG(Tabla25[[#This Row],[Tiempo Meta Femenino]],Tabla25[Tiempo Meta Femenino],1),"")</f>
        <v>#REF!</v>
      </c>
      <c r="J10" s="15" t="e">
        <f>COUNTIF(#REF!,Tabla25[[#This Row],[Club]])</f>
        <v>#REF!</v>
      </c>
      <c r="K10" s="21" t="e">
        <f>IF(Tabla25[[#This Row],[Num Meta Mixto]]&gt;=4,SUMIF(#REF!,Tabla25[[#This Row],[Club]],TablaTiempos[Tiempo Llegada]),"")</f>
        <v>#REF!</v>
      </c>
      <c r="L10" s="23" t="e">
        <f>IF(Tabla25[[#This Row],[Num Meta Mixto]]&gt;=4,_xlfn.RANK.AVG(Tabla25[[#This Row],[Tiempo Meta Mixto]],Tabla25[Tiempo Meta Mixto],1),"")</f>
        <v>#REF!</v>
      </c>
    </row>
    <row r="11" spans="1:12" x14ac:dyDescent="0.25">
      <c r="A11" s="26" t="s">
        <v>15</v>
      </c>
      <c r="B11" s="8">
        <f>TablaEquipos[[#This Row],[Participantes]]</f>
        <v>1</v>
      </c>
      <c r="C11" s="8" t="e">
        <f>COUNTIF(#REF!,Tabla25[[#This Row],[Club]])</f>
        <v>#REF!</v>
      </c>
      <c r="D11" s="15" t="e">
        <f>COUNTIF(#REF!,Tabla25[[#This Row],[Club]])</f>
        <v>#REF!</v>
      </c>
      <c r="E11" s="21" t="e">
        <f>IF(Tabla25[[#This Row],[Num Meta Masculino]]&gt;=4,SUMIF(#REF!,Tabla25[[#This Row],[Club]],TablaTiempos[Tiempo Llegada]),"")</f>
        <v>#REF!</v>
      </c>
      <c r="F11" s="23" t="e">
        <f>IF(Tabla25[[#This Row],[Num Meta Masculino]]&gt;=4,_xlfn.RANK.AVG(Tabla25[[#This Row],[Tiempo Meta Masculino]],Tabla25[Tiempo Meta Masculino],1),"")</f>
        <v>#REF!</v>
      </c>
      <c r="G11" s="15" t="e">
        <f>COUNTIF(#REF!,Tabla25[[#This Row],[Club]])</f>
        <v>#REF!</v>
      </c>
      <c r="H11" s="21" t="e">
        <f>IF(Tabla25[[#This Row],[Num Meta Femenino]]&gt;=4,SUMIF(#REF!,Tabla25[[#This Row],[Club]],TablaTiempos[Tiempo Llegada]),"")</f>
        <v>#REF!</v>
      </c>
      <c r="I11" s="23" t="e">
        <f>IF(Tabla25[[#This Row],[Num Meta Femenino]]&gt;=4,_xlfn.RANK.AVG(Tabla25[[#This Row],[Tiempo Meta Femenino]],Tabla25[Tiempo Meta Femenino],1),"")</f>
        <v>#REF!</v>
      </c>
      <c r="J11" s="15" t="e">
        <f>COUNTIF(#REF!,Tabla25[[#This Row],[Club]])</f>
        <v>#REF!</v>
      </c>
      <c r="K11" s="21" t="e">
        <f>IF(Tabla25[[#This Row],[Num Meta Mixto]]&gt;=4,SUMIF(#REF!,Tabla25[[#This Row],[Club]],TablaTiempos[Tiempo Llegada]),"")</f>
        <v>#REF!</v>
      </c>
      <c r="L11" s="23" t="e">
        <f>IF(Tabla25[[#This Row],[Num Meta Mixto]]&gt;=4,_xlfn.RANK.AVG(Tabla25[[#This Row],[Tiempo Meta Mixto]],Tabla25[Tiempo Meta Mixto],1),"")</f>
        <v>#REF!</v>
      </c>
    </row>
    <row r="12" spans="1:12" x14ac:dyDescent="0.25">
      <c r="A12" s="26" t="s">
        <v>11</v>
      </c>
      <c r="B12" s="8">
        <f>TablaEquipos[[#This Row],[Participantes]]</f>
        <v>0</v>
      </c>
      <c r="C12" s="8" t="e">
        <f>COUNTIF(#REF!,Tabla25[[#This Row],[Club]])</f>
        <v>#REF!</v>
      </c>
      <c r="D12" s="15" t="e">
        <f>COUNTIF(#REF!,Tabla25[[#This Row],[Club]])</f>
        <v>#REF!</v>
      </c>
      <c r="E12" s="21" t="e">
        <f>IF(Tabla25[[#This Row],[Num Meta Masculino]]&gt;=4,SUMIF(#REF!,Tabla25[[#This Row],[Club]],TablaTiempos[Tiempo Llegada]),"")</f>
        <v>#REF!</v>
      </c>
      <c r="F12" s="23" t="e">
        <f>IF(Tabla25[[#This Row],[Num Meta Masculino]]&gt;=4,_xlfn.RANK.AVG(Tabla25[[#This Row],[Tiempo Meta Masculino]],Tabla25[Tiempo Meta Masculino],1),"")</f>
        <v>#REF!</v>
      </c>
      <c r="G12" s="15" t="e">
        <f>COUNTIF(#REF!,Tabla25[[#This Row],[Club]])</f>
        <v>#REF!</v>
      </c>
      <c r="H12" s="21" t="e">
        <f>IF(Tabla25[[#This Row],[Num Meta Femenino]]&gt;=4,SUMIF(#REF!,Tabla25[[#This Row],[Club]],TablaTiempos[Tiempo Llegada]),"")</f>
        <v>#REF!</v>
      </c>
      <c r="I12" s="23" t="e">
        <f>IF(Tabla25[[#This Row],[Num Meta Femenino]]&gt;=4,_xlfn.RANK.AVG(Tabla25[[#This Row],[Tiempo Meta Femenino]],Tabla25[Tiempo Meta Femenino],1),"")</f>
        <v>#REF!</v>
      </c>
      <c r="J12" s="15" t="e">
        <f>COUNTIF(#REF!,Tabla25[[#This Row],[Club]])</f>
        <v>#REF!</v>
      </c>
      <c r="K12" s="21" t="e">
        <f>IF(Tabla25[[#This Row],[Num Meta Mixto]]&gt;=4,SUMIF(#REF!,Tabla25[[#This Row],[Club]],TablaTiempos[Tiempo Llegada]),"")</f>
        <v>#REF!</v>
      </c>
      <c r="L12" s="23" t="e">
        <f>IF(Tabla25[[#This Row],[Num Meta Mixto]]&gt;=4,_xlfn.RANK.AVG(Tabla25[[#This Row],[Tiempo Meta Mixto]],Tabla25[Tiempo Meta Mixto],1),"")</f>
        <v>#REF!</v>
      </c>
    </row>
    <row r="13" spans="1:12" x14ac:dyDescent="0.25">
      <c r="A13" s="26" t="s">
        <v>4</v>
      </c>
      <c r="B13" s="8">
        <f>TablaEquipos[[#This Row],[Participantes]]</f>
        <v>0</v>
      </c>
      <c r="C13" s="8" t="e">
        <f>COUNTIF(#REF!,Tabla25[[#This Row],[Club]])</f>
        <v>#REF!</v>
      </c>
      <c r="D13" s="15" t="e">
        <f>COUNTIF(#REF!,Tabla25[[#This Row],[Club]])</f>
        <v>#REF!</v>
      </c>
      <c r="E13" s="21" t="e">
        <f>IF(Tabla25[[#This Row],[Num Meta Masculino]]&gt;=4,SUMIF(#REF!,Tabla25[[#This Row],[Club]],TablaTiempos[Tiempo Llegada]),"")</f>
        <v>#REF!</v>
      </c>
      <c r="F13" s="23" t="e">
        <f>IF(Tabla25[[#This Row],[Num Meta Masculino]]&gt;=4,_xlfn.RANK.AVG(Tabla25[[#This Row],[Tiempo Meta Masculino]],Tabla25[Tiempo Meta Masculino],1),"")</f>
        <v>#REF!</v>
      </c>
      <c r="G13" s="15" t="e">
        <f>COUNTIF(#REF!,Tabla25[[#This Row],[Club]])</f>
        <v>#REF!</v>
      </c>
      <c r="H13" s="21" t="e">
        <f>IF(Tabla25[[#This Row],[Num Meta Femenino]]&gt;=4,SUMIF(#REF!,Tabla25[[#This Row],[Club]],TablaTiempos[Tiempo Llegada]),"")</f>
        <v>#REF!</v>
      </c>
      <c r="I13" s="23" t="e">
        <f>IF(Tabla25[[#This Row],[Num Meta Femenino]]&gt;=4,_xlfn.RANK.AVG(Tabla25[[#This Row],[Tiempo Meta Femenino]],Tabla25[Tiempo Meta Femenino],1),"")</f>
        <v>#REF!</v>
      </c>
      <c r="J13" s="15" t="e">
        <f>COUNTIF(#REF!,Tabla25[[#This Row],[Club]])</f>
        <v>#REF!</v>
      </c>
      <c r="K13" s="21" t="e">
        <f>IF(Tabla25[[#This Row],[Num Meta Mixto]]&gt;=4,SUMIF(#REF!,Tabla25[[#This Row],[Club]],TablaTiempos[Tiempo Llegada]),"")</f>
        <v>#REF!</v>
      </c>
      <c r="L13" s="23" t="e">
        <f>IF(Tabla25[[#This Row],[Num Meta Mixto]]&gt;=4,_xlfn.RANK.AVG(Tabla25[[#This Row],[Tiempo Meta Mixto]],Tabla25[Tiempo Meta Mixto],1),"")</f>
        <v>#REF!</v>
      </c>
    </row>
    <row r="14" spans="1:12" x14ac:dyDescent="0.25">
      <c r="A14" s="26" t="s">
        <v>20</v>
      </c>
      <c r="B14" s="8">
        <f>TablaEquipos[[#This Row],[Participantes]]</f>
        <v>0</v>
      </c>
      <c r="C14" s="8" t="e">
        <f>COUNTIF(#REF!,Tabla25[[#This Row],[Club]])</f>
        <v>#REF!</v>
      </c>
      <c r="D14" s="15" t="e">
        <f>COUNTIF(#REF!,Tabla25[[#This Row],[Club]])</f>
        <v>#REF!</v>
      </c>
      <c r="E14" s="21" t="e">
        <f>IF(Tabla25[[#This Row],[Num Meta Masculino]]&gt;=4,SUMIF(#REF!,Tabla25[[#This Row],[Club]],TablaTiempos[Tiempo Llegada]),"")</f>
        <v>#REF!</v>
      </c>
      <c r="F14" s="23" t="e">
        <f>IF(Tabla25[[#This Row],[Num Meta Masculino]]&gt;=4,_xlfn.RANK.AVG(Tabla25[[#This Row],[Tiempo Meta Masculino]],Tabla25[Tiempo Meta Masculino],1),"")</f>
        <v>#REF!</v>
      </c>
      <c r="G14" s="15" t="e">
        <f>COUNTIF(#REF!,Tabla25[[#This Row],[Club]])</f>
        <v>#REF!</v>
      </c>
      <c r="H14" s="21" t="e">
        <f>IF(Tabla25[[#This Row],[Num Meta Femenino]]&gt;=4,SUMIF(#REF!,Tabla25[[#This Row],[Club]],TablaTiempos[Tiempo Llegada]),"")</f>
        <v>#REF!</v>
      </c>
      <c r="I14" s="23" t="e">
        <f>IF(Tabla25[[#This Row],[Num Meta Femenino]]&gt;=4,_xlfn.RANK.AVG(Tabla25[[#This Row],[Tiempo Meta Femenino]],Tabla25[Tiempo Meta Femenino],1),"")</f>
        <v>#REF!</v>
      </c>
      <c r="J14" s="15" t="e">
        <f>COUNTIF(#REF!,Tabla25[[#This Row],[Club]])</f>
        <v>#REF!</v>
      </c>
      <c r="K14" s="21" t="e">
        <f>IF(Tabla25[[#This Row],[Num Meta Mixto]]&gt;=4,SUMIF(#REF!,Tabla25[[#This Row],[Club]],TablaTiempos[Tiempo Llegada]),"")</f>
        <v>#REF!</v>
      </c>
      <c r="L14" s="23" t="e">
        <f>IF(Tabla25[[#This Row],[Num Meta Mixto]]&gt;=4,_xlfn.RANK.AVG(Tabla25[[#This Row],[Tiempo Meta Mixto]],Tabla25[Tiempo Meta Mixto],1),"")</f>
        <v>#REF!</v>
      </c>
    </row>
    <row r="15" spans="1:12" x14ac:dyDescent="0.25">
      <c r="A15" s="26" t="s">
        <v>5</v>
      </c>
      <c r="B15" s="8">
        <f>TablaEquipos[[#This Row],[Participantes]]</f>
        <v>0</v>
      </c>
      <c r="C15" s="8" t="e">
        <f>COUNTIF(#REF!,Tabla25[[#This Row],[Club]])</f>
        <v>#REF!</v>
      </c>
      <c r="D15" s="15" t="e">
        <f>COUNTIF(#REF!,Tabla25[[#This Row],[Club]])</f>
        <v>#REF!</v>
      </c>
      <c r="E15" s="21" t="e">
        <f>IF(Tabla25[[#This Row],[Num Meta Masculino]]&gt;=4,SUMIF(#REF!,Tabla25[[#This Row],[Club]],TablaTiempos[Tiempo Llegada]),"")</f>
        <v>#REF!</v>
      </c>
      <c r="F15" s="23" t="e">
        <f>IF(Tabla25[[#This Row],[Num Meta Masculino]]&gt;=4,_xlfn.RANK.AVG(Tabla25[[#This Row],[Tiempo Meta Masculino]],Tabla25[Tiempo Meta Masculino],1),"")</f>
        <v>#REF!</v>
      </c>
      <c r="G15" s="15" t="e">
        <f>COUNTIF(#REF!,Tabla25[[#This Row],[Club]])</f>
        <v>#REF!</v>
      </c>
      <c r="H15" s="21" t="e">
        <f>IF(Tabla25[[#This Row],[Num Meta Femenino]]&gt;=4,SUMIF(#REF!,Tabla25[[#This Row],[Club]],TablaTiempos[Tiempo Llegada]),"")</f>
        <v>#REF!</v>
      </c>
      <c r="I15" s="23" t="e">
        <f>IF(Tabla25[[#This Row],[Num Meta Femenino]]&gt;=4,_xlfn.RANK.AVG(Tabla25[[#This Row],[Tiempo Meta Femenino]],Tabla25[Tiempo Meta Femenino],1),"")</f>
        <v>#REF!</v>
      </c>
      <c r="J15" s="15" t="e">
        <f>COUNTIF(#REF!,Tabla25[[#This Row],[Club]])</f>
        <v>#REF!</v>
      </c>
      <c r="K15" s="21" t="e">
        <f>IF(Tabla25[[#This Row],[Num Meta Mixto]]&gt;=4,SUMIF(#REF!,Tabla25[[#This Row],[Club]],TablaTiempos[Tiempo Llegada]),"")</f>
        <v>#REF!</v>
      </c>
      <c r="L15" s="23" t="e">
        <f>IF(Tabla25[[#This Row],[Num Meta Mixto]]&gt;=4,_xlfn.RANK.AVG(Tabla25[[#This Row],[Tiempo Meta Mixto]],Tabla25[Tiempo Meta Mixto],1),"")</f>
        <v>#REF!</v>
      </c>
    </row>
    <row r="16" spans="1:12" x14ac:dyDescent="0.25">
      <c r="A16" s="26" t="s">
        <v>1</v>
      </c>
      <c r="B16" s="8">
        <f>TablaEquipos[[#This Row],[Participantes]]</f>
        <v>0</v>
      </c>
      <c r="C16" s="8" t="e">
        <f>COUNTIF(#REF!,Tabla25[[#This Row],[Club]])</f>
        <v>#REF!</v>
      </c>
      <c r="D16" s="15" t="e">
        <f>COUNTIF(#REF!,Tabla25[[#This Row],[Club]])</f>
        <v>#REF!</v>
      </c>
      <c r="E16" s="21" t="e">
        <f>IF(Tabla25[[#This Row],[Num Meta Masculino]]&gt;=4,SUMIF(#REF!,Tabla25[[#This Row],[Club]],TablaTiempos[Tiempo Llegada]),"")</f>
        <v>#REF!</v>
      </c>
      <c r="F16" s="23" t="e">
        <f>IF(Tabla25[[#This Row],[Num Meta Masculino]]&gt;=4,_xlfn.RANK.AVG(Tabla25[[#This Row],[Tiempo Meta Masculino]],Tabla25[Tiempo Meta Masculino],1),"")</f>
        <v>#REF!</v>
      </c>
      <c r="G16" s="15" t="e">
        <f>COUNTIF(#REF!,Tabla25[[#This Row],[Club]])</f>
        <v>#REF!</v>
      </c>
      <c r="H16" s="21" t="e">
        <f>IF(Tabla25[[#This Row],[Num Meta Femenino]]&gt;=4,SUMIF(#REF!,Tabla25[[#This Row],[Club]],TablaTiempos[Tiempo Llegada]),"")</f>
        <v>#REF!</v>
      </c>
      <c r="I16" s="23" t="e">
        <f>IF(Tabla25[[#This Row],[Num Meta Femenino]]&gt;=4,_xlfn.RANK.AVG(Tabla25[[#This Row],[Tiempo Meta Femenino]],Tabla25[Tiempo Meta Femenino],1),"")</f>
        <v>#REF!</v>
      </c>
      <c r="J16" s="15" t="e">
        <f>COUNTIF(#REF!,Tabla25[[#This Row],[Club]])</f>
        <v>#REF!</v>
      </c>
      <c r="K16" s="21" t="e">
        <f>IF(Tabla25[[#This Row],[Num Meta Mixto]]&gt;=4,SUMIF(#REF!,Tabla25[[#This Row],[Club]],TablaTiempos[Tiempo Llegada]),"")</f>
        <v>#REF!</v>
      </c>
      <c r="L16" s="23" t="e">
        <f>IF(Tabla25[[#This Row],[Num Meta Mixto]]&gt;=4,_xlfn.RANK.AVG(Tabla25[[#This Row],[Tiempo Meta Mixto]],Tabla25[Tiempo Meta Mixto],1),"")</f>
        <v>#REF!</v>
      </c>
    </row>
    <row r="17" spans="1:12" x14ac:dyDescent="0.25">
      <c r="A17" s="26" t="s">
        <v>28</v>
      </c>
      <c r="B17" s="8">
        <f>TablaEquipos[[#This Row],[Participantes]]</f>
        <v>0</v>
      </c>
      <c r="C17" s="8" t="e">
        <f>COUNTIF(#REF!,Tabla25[[#This Row],[Club]])</f>
        <v>#REF!</v>
      </c>
      <c r="D17" s="15" t="e">
        <f>COUNTIF(#REF!,Tabla25[[#This Row],[Club]])</f>
        <v>#REF!</v>
      </c>
      <c r="E17" s="21" t="e">
        <f>IF(Tabla25[[#This Row],[Num Meta Masculino]]&gt;=4,SUMIF(#REF!,Tabla25[[#This Row],[Club]],TablaTiempos[Tiempo Llegada]),"")</f>
        <v>#REF!</v>
      </c>
      <c r="F17" s="23" t="e">
        <f>IF(Tabla25[[#This Row],[Num Meta Masculino]]&gt;=4,_xlfn.RANK.AVG(Tabla25[[#This Row],[Tiempo Meta Masculino]],Tabla25[Tiempo Meta Masculino],1),"")</f>
        <v>#REF!</v>
      </c>
      <c r="G17" s="15" t="e">
        <f>COUNTIF(#REF!,Tabla25[[#This Row],[Club]])</f>
        <v>#REF!</v>
      </c>
      <c r="H17" s="21" t="e">
        <f>IF(Tabla25[[#This Row],[Num Meta Femenino]]&gt;=4,SUMIF(#REF!,Tabla25[[#This Row],[Club]],TablaTiempos[Tiempo Llegada]),"")</f>
        <v>#REF!</v>
      </c>
      <c r="I17" s="23" t="e">
        <f>IF(Tabla25[[#This Row],[Num Meta Femenino]]&gt;=4,_xlfn.RANK.AVG(Tabla25[[#This Row],[Tiempo Meta Femenino]],Tabla25[Tiempo Meta Femenino],1),"")</f>
        <v>#REF!</v>
      </c>
      <c r="J17" s="15" t="e">
        <f>COUNTIF(#REF!,Tabla25[[#This Row],[Club]])</f>
        <v>#REF!</v>
      </c>
      <c r="K17" s="21" t="e">
        <f>IF(Tabla25[[#This Row],[Num Meta Mixto]]&gt;=4,SUMIF(#REF!,Tabla25[[#This Row],[Club]],TablaTiempos[Tiempo Llegada]),"")</f>
        <v>#REF!</v>
      </c>
      <c r="L17" s="23" t="e">
        <f>IF(Tabla25[[#This Row],[Num Meta Mixto]]&gt;=4,_xlfn.RANK.AVG(Tabla25[[#This Row],[Tiempo Meta Mixto]],Tabla25[Tiempo Meta Mixto],1),"")</f>
        <v>#REF!</v>
      </c>
    </row>
    <row r="18" spans="1:12" x14ac:dyDescent="0.25">
      <c r="A18" s="26" t="s">
        <v>32</v>
      </c>
      <c r="B18" s="8">
        <f>TablaEquipos[[#This Row],[Participantes]]</f>
        <v>0</v>
      </c>
      <c r="C18" s="8" t="e">
        <f>COUNTIF(#REF!,Tabla25[[#This Row],[Club]])</f>
        <v>#REF!</v>
      </c>
      <c r="D18" s="15" t="e">
        <f>COUNTIF(#REF!,Tabla25[[#This Row],[Club]])</f>
        <v>#REF!</v>
      </c>
      <c r="E18" s="21" t="e">
        <f>IF(Tabla25[[#This Row],[Num Meta Masculino]]&gt;=4,SUMIF(#REF!,Tabla25[[#This Row],[Club]],TablaTiempos[Tiempo Llegada]),"")</f>
        <v>#REF!</v>
      </c>
      <c r="F18" s="23" t="e">
        <f>IF(Tabla25[[#This Row],[Num Meta Masculino]]&gt;=4,_xlfn.RANK.AVG(Tabla25[[#This Row],[Tiempo Meta Masculino]],Tabla25[Tiempo Meta Masculino],1),"")</f>
        <v>#REF!</v>
      </c>
      <c r="G18" s="15" t="e">
        <f>COUNTIF(#REF!,Tabla25[[#This Row],[Club]])</f>
        <v>#REF!</v>
      </c>
      <c r="H18" s="21" t="e">
        <f>IF(Tabla25[[#This Row],[Num Meta Femenino]]&gt;=4,SUMIF(#REF!,Tabla25[[#This Row],[Club]],TablaTiempos[Tiempo Llegada]),"")</f>
        <v>#REF!</v>
      </c>
      <c r="I18" s="23" t="e">
        <f>IF(Tabla25[[#This Row],[Num Meta Femenino]]&gt;=4,_xlfn.RANK.AVG(Tabla25[[#This Row],[Tiempo Meta Femenino]],Tabla25[Tiempo Meta Femenino],1),"")</f>
        <v>#REF!</v>
      </c>
      <c r="J18" s="15" t="e">
        <f>COUNTIF(#REF!,Tabla25[[#This Row],[Club]])</f>
        <v>#REF!</v>
      </c>
      <c r="K18" s="21" t="e">
        <f>IF(Tabla25[[#This Row],[Num Meta Mixto]]&gt;=4,SUMIF(#REF!,Tabla25[[#This Row],[Club]],TablaTiempos[Tiempo Llegada]),"")</f>
        <v>#REF!</v>
      </c>
      <c r="L18" s="23" t="e">
        <f>IF(Tabla25[[#This Row],[Num Meta Mixto]]&gt;=4,_xlfn.RANK.AVG(Tabla25[[#This Row],[Tiempo Meta Mixto]],Tabla25[Tiempo Meta Mixto],1),"")</f>
        <v>#REF!</v>
      </c>
    </row>
    <row r="19" spans="1:12" x14ac:dyDescent="0.25">
      <c r="A19" s="26" t="s">
        <v>9</v>
      </c>
      <c r="B19" s="8">
        <f>TablaEquipos[[#This Row],[Participantes]]</f>
        <v>0</v>
      </c>
      <c r="C19" s="8" t="e">
        <f>COUNTIF(#REF!,Tabla25[[#This Row],[Club]])</f>
        <v>#REF!</v>
      </c>
      <c r="D19" s="15" t="e">
        <f>COUNTIF(#REF!,Tabla25[[#This Row],[Club]])</f>
        <v>#REF!</v>
      </c>
      <c r="E19" s="21" t="e">
        <f>IF(Tabla25[[#This Row],[Num Meta Masculino]]&gt;=4,SUMIF(#REF!,Tabla25[[#This Row],[Club]],TablaTiempos[Tiempo Llegada]),"")</f>
        <v>#REF!</v>
      </c>
      <c r="F19" s="23" t="e">
        <f>IF(Tabla25[[#This Row],[Num Meta Masculino]]&gt;=4,_xlfn.RANK.AVG(Tabla25[[#This Row],[Tiempo Meta Masculino]],Tabla25[Tiempo Meta Masculino],1),"")</f>
        <v>#REF!</v>
      </c>
      <c r="G19" s="15" t="e">
        <f>COUNTIF(#REF!,Tabla25[[#This Row],[Club]])</f>
        <v>#REF!</v>
      </c>
      <c r="H19" s="21" t="e">
        <f>IF(Tabla25[[#This Row],[Num Meta Femenino]]&gt;=4,SUMIF(#REF!,Tabla25[[#This Row],[Club]],TablaTiempos[Tiempo Llegada]),"")</f>
        <v>#REF!</v>
      </c>
      <c r="I19" s="23" t="e">
        <f>IF(Tabla25[[#This Row],[Num Meta Femenino]]&gt;=4,_xlfn.RANK.AVG(Tabla25[[#This Row],[Tiempo Meta Femenino]],Tabla25[Tiempo Meta Femenino],1),"")</f>
        <v>#REF!</v>
      </c>
      <c r="J19" s="15" t="e">
        <f>COUNTIF(#REF!,Tabla25[[#This Row],[Club]])</f>
        <v>#REF!</v>
      </c>
      <c r="K19" s="21" t="e">
        <f>IF(Tabla25[[#This Row],[Num Meta Mixto]]&gt;=4,SUMIF(#REF!,Tabla25[[#This Row],[Club]],TablaTiempos[Tiempo Llegada]),"")</f>
        <v>#REF!</v>
      </c>
      <c r="L19" s="23" t="e">
        <f>IF(Tabla25[[#This Row],[Num Meta Mixto]]&gt;=4,_xlfn.RANK.AVG(Tabla25[[#This Row],[Tiempo Meta Mixto]],Tabla25[Tiempo Meta Mixto],1),"")</f>
        <v>#REF!</v>
      </c>
    </row>
    <row r="20" spans="1:12" x14ac:dyDescent="0.25">
      <c r="A20" s="26" t="s">
        <v>62</v>
      </c>
      <c r="B20" s="8">
        <f>TablaEquipos[[#This Row],[Participantes]]</f>
        <v>0</v>
      </c>
      <c r="C20" s="8" t="e">
        <f>COUNTIF(#REF!,Tabla25[[#This Row],[Club]])</f>
        <v>#REF!</v>
      </c>
      <c r="D20" s="15" t="e">
        <f>COUNTIF(#REF!,Tabla25[[#This Row],[Club]])</f>
        <v>#REF!</v>
      </c>
      <c r="E20" s="21" t="e">
        <f>IF(Tabla25[[#This Row],[Num Meta Masculino]]&gt;=4,SUMIF(#REF!,Tabla25[[#This Row],[Club]],TablaTiempos[Tiempo Llegada]),"")</f>
        <v>#REF!</v>
      </c>
      <c r="F20" s="23" t="e">
        <f>IF(Tabla25[[#This Row],[Num Meta Masculino]]&gt;=4,_xlfn.RANK.AVG(Tabla25[[#This Row],[Tiempo Meta Masculino]],Tabla25[Tiempo Meta Masculino],1),"")</f>
        <v>#REF!</v>
      </c>
      <c r="G20" s="15" t="e">
        <f>COUNTIF(#REF!,Tabla25[[#This Row],[Club]])</f>
        <v>#REF!</v>
      </c>
      <c r="H20" s="21" t="e">
        <f>IF(Tabla25[[#This Row],[Num Meta Femenino]]&gt;=4,SUMIF(#REF!,Tabla25[[#This Row],[Club]],TablaTiempos[Tiempo Llegada]),"")</f>
        <v>#REF!</v>
      </c>
      <c r="I20" s="23" t="e">
        <f>IF(Tabla25[[#This Row],[Num Meta Femenino]]&gt;=4,_xlfn.RANK.AVG(Tabla25[[#This Row],[Tiempo Meta Femenino]],Tabla25[Tiempo Meta Femenino],1),"")</f>
        <v>#REF!</v>
      </c>
      <c r="J20" s="15" t="e">
        <f>COUNTIF(#REF!,Tabla25[[#This Row],[Club]])</f>
        <v>#REF!</v>
      </c>
      <c r="K20" s="21" t="e">
        <f>IF(Tabla25[[#This Row],[Num Meta Mixto]]&gt;=4,SUMIF(#REF!,Tabla25[[#This Row],[Club]],TablaTiempos[Tiempo Llegada]),"")</f>
        <v>#REF!</v>
      </c>
      <c r="L20" s="23" t="e">
        <f>IF(Tabla25[[#This Row],[Num Meta Mixto]]&gt;=4,_xlfn.RANK.AVG(Tabla25[[#This Row],[Tiempo Meta Mixto]],Tabla25[Tiempo Meta Mixto],1),"")</f>
        <v>#REF!</v>
      </c>
    </row>
    <row r="21" spans="1:12" x14ac:dyDescent="0.25">
      <c r="A21" s="26" t="s">
        <v>6</v>
      </c>
      <c r="B21" s="8">
        <f>TablaEquipos[[#This Row],[Participantes]]</f>
        <v>0</v>
      </c>
      <c r="C21" s="8" t="e">
        <f>COUNTIF(#REF!,Tabla25[[#This Row],[Club]])</f>
        <v>#REF!</v>
      </c>
      <c r="D21" s="15" t="e">
        <f>COUNTIF(#REF!,Tabla25[[#This Row],[Club]])</f>
        <v>#REF!</v>
      </c>
      <c r="E21" s="21" t="e">
        <f>IF(Tabla25[[#This Row],[Num Meta Masculino]]&gt;=4,SUMIF(#REF!,Tabla25[[#This Row],[Club]],TablaTiempos[Tiempo Llegada]),"")</f>
        <v>#REF!</v>
      </c>
      <c r="F21" s="23" t="e">
        <f>IF(Tabla25[[#This Row],[Num Meta Masculino]]&gt;=4,_xlfn.RANK.AVG(Tabla25[[#This Row],[Tiempo Meta Masculino]],Tabla25[Tiempo Meta Masculino],1),"")</f>
        <v>#REF!</v>
      </c>
      <c r="G21" s="15" t="e">
        <f>COUNTIF(#REF!,Tabla25[[#This Row],[Club]])</f>
        <v>#REF!</v>
      </c>
      <c r="H21" s="21" t="e">
        <f>IF(Tabla25[[#This Row],[Num Meta Femenino]]&gt;=4,SUMIF(#REF!,Tabla25[[#This Row],[Club]],TablaTiempos[Tiempo Llegada]),"")</f>
        <v>#REF!</v>
      </c>
      <c r="I21" s="23" t="e">
        <f>IF(Tabla25[[#This Row],[Num Meta Femenino]]&gt;=4,_xlfn.RANK.AVG(Tabla25[[#This Row],[Tiempo Meta Femenino]],Tabla25[Tiempo Meta Femenino],1),"")</f>
        <v>#REF!</v>
      </c>
      <c r="J21" s="15" t="e">
        <f>COUNTIF(#REF!,Tabla25[[#This Row],[Club]])</f>
        <v>#REF!</v>
      </c>
      <c r="K21" s="21" t="e">
        <f>IF(Tabla25[[#This Row],[Num Meta Mixto]]&gt;=4,SUMIF(#REF!,Tabla25[[#This Row],[Club]],TablaTiempos[Tiempo Llegada]),"")</f>
        <v>#REF!</v>
      </c>
      <c r="L21" s="23" t="e">
        <f>IF(Tabla25[[#This Row],[Num Meta Mixto]]&gt;=4,_xlfn.RANK.AVG(Tabla25[[#This Row],[Tiempo Meta Mixto]],Tabla25[Tiempo Meta Mixto],1),"")</f>
        <v>#REF!</v>
      </c>
    </row>
    <row r="22" spans="1:12" x14ac:dyDescent="0.25">
      <c r="A22" s="26" t="s">
        <v>14</v>
      </c>
      <c r="B22" s="8">
        <f>TablaEquipos[[#This Row],[Participantes]]</f>
        <v>0</v>
      </c>
      <c r="C22" s="8" t="e">
        <f>COUNTIF(#REF!,Tabla25[[#This Row],[Club]])</f>
        <v>#REF!</v>
      </c>
      <c r="D22" s="15" t="e">
        <f>COUNTIF(#REF!,Tabla25[[#This Row],[Club]])</f>
        <v>#REF!</v>
      </c>
      <c r="E22" s="21" t="e">
        <f>IF(Tabla25[[#This Row],[Num Meta Masculino]]&gt;=4,SUMIF(#REF!,Tabla25[[#This Row],[Club]],TablaTiempos[Tiempo Llegada]),"")</f>
        <v>#REF!</v>
      </c>
      <c r="F22" s="23" t="e">
        <f>IF(Tabla25[[#This Row],[Num Meta Masculino]]&gt;=4,_xlfn.RANK.AVG(Tabla25[[#This Row],[Tiempo Meta Masculino]],Tabla25[Tiempo Meta Masculino],1),"")</f>
        <v>#REF!</v>
      </c>
      <c r="G22" s="15" t="e">
        <f>COUNTIF(#REF!,Tabla25[[#This Row],[Club]])</f>
        <v>#REF!</v>
      </c>
      <c r="H22" s="21" t="e">
        <f>IF(Tabla25[[#This Row],[Num Meta Femenino]]&gt;=4,SUMIF(#REF!,Tabla25[[#This Row],[Club]],TablaTiempos[Tiempo Llegada]),"")</f>
        <v>#REF!</v>
      </c>
      <c r="I22" s="23" t="e">
        <f>IF(Tabla25[[#This Row],[Num Meta Femenino]]&gt;=4,_xlfn.RANK.AVG(Tabla25[[#This Row],[Tiempo Meta Femenino]],Tabla25[Tiempo Meta Femenino],1),"")</f>
        <v>#REF!</v>
      </c>
      <c r="J22" s="15" t="e">
        <f>COUNTIF(#REF!,Tabla25[[#This Row],[Club]])</f>
        <v>#REF!</v>
      </c>
      <c r="K22" s="21" t="e">
        <f>IF(Tabla25[[#This Row],[Num Meta Mixto]]&gt;=4,SUMIF(#REF!,Tabla25[[#This Row],[Club]],TablaTiempos[Tiempo Llegada]),"")</f>
        <v>#REF!</v>
      </c>
      <c r="L22" s="23" t="e">
        <f>IF(Tabla25[[#This Row],[Num Meta Mixto]]&gt;=4,_xlfn.RANK.AVG(Tabla25[[#This Row],[Tiempo Meta Mixto]],Tabla25[Tiempo Meta Mixto],1),"")</f>
        <v>#REF!</v>
      </c>
    </row>
    <row r="23" spans="1:12" x14ac:dyDescent="0.25">
      <c r="A23" s="26" t="s">
        <v>10</v>
      </c>
      <c r="B23" s="8">
        <f>TablaEquipos[[#This Row],[Participantes]]</f>
        <v>0</v>
      </c>
      <c r="C23" s="8" t="e">
        <f>COUNTIF(#REF!,Tabla25[[#This Row],[Club]])</f>
        <v>#REF!</v>
      </c>
      <c r="D23" s="15" t="e">
        <f>COUNTIF(#REF!,Tabla25[[#This Row],[Club]])</f>
        <v>#REF!</v>
      </c>
      <c r="E23" s="21" t="e">
        <f>IF(Tabla25[[#This Row],[Num Meta Masculino]]&gt;=4,SUMIF(#REF!,Tabla25[[#This Row],[Club]],TablaTiempos[Tiempo Llegada]),"")</f>
        <v>#REF!</v>
      </c>
      <c r="F23" s="23" t="e">
        <f>IF(Tabla25[[#This Row],[Num Meta Masculino]]&gt;=4,_xlfn.RANK.AVG(Tabla25[[#This Row],[Tiempo Meta Masculino]],Tabla25[Tiempo Meta Masculino],1),"")</f>
        <v>#REF!</v>
      </c>
      <c r="G23" s="15" t="e">
        <f>COUNTIF(#REF!,Tabla25[[#This Row],[Club]])</f>
        <v>#REF!</v>
      </c>
      <c r="H23" s="21" t="e">
        <f>IF(Tabla25[[#This Row],[Num Meta Femenino]]&gt;=4,SUMIF(#REF!,Tabla25[[#This Row],[Club]],TablaTiempos[Tiempo Llegada]),"")</f>
        <v>#REF!</v>
      </c>
      <c r="I23" s="23" t="e">
        <f>IF(Tabla25[[#This Row],[Num Meta Femenino]]&gt;=4,_xlfn.RANK.AVG(Tabla25[[#This Row],[Tiempo Meta Femenino]],Tabla25[Tiempo Meta Femenino],1),"")</f>
        <v>#REF!</v>
      </c>
      <c r="J23" s="15" t="e">
        <f>COUNTIF(#REF!,Tabla25[[#This Row],[Club]])</f>
        <v>#REF!</v>
      </c>
      <c r="K23" s="21" t="e">
        <f>IF(Tabla25[[#This Row],[Num Meta Mixto]]&gt;=4,SUMIF(#REF!,Tabla25[[#This Row],[Club]],TablaTiempos[Tiempo Llegada]),"")</f>
        <v>#REF!</v>
      </c>
      <c r="L23" s="23" t="e">
        <f>IF(Tabla25[[#This Row],[Num Meta Mixto]]&gt;=4,_xlfn.RANK.AVG(Tabla25[[#This Row],[Tiempo Meta Mixto]],Tabla25[Tiempo Meta Mixto],1),"")</f>
        <v>#REF!</v>
      </c>
    </row>
    <row r="24" spans="1:12" x14ac:dyDescent="0.25">
      <c r="A24" s="26" t="s">
        <v>19</v>
      </c>
      <c r="B24" s="8">
        <f>TablaEquipos[[#This Row],[Participantes]]</f>
        <v>0</v>
      </c>
      <c r="C24" s="8" t="e">
        <f>COUNTIF(#REF!,Tabla25[[#This Row],[Club]])</f>
        <v>#REF!</v>
      </c>
      <c r="D24" s="15" t="e">
        <f>COUNTIF(#REF!,Tabla25[[#This Row],[Club]])</f>
        <v>#REF!</v>
      </c>
      <c r="E24" s="21" t="e">
        <f>IF(Tabla25[[#This Row],[Num Meta Masculino]]&gt;=4,SUMIF(#REF!,Tabla25[[#This Row],[Club]],TablaTiempos[Tiempo Llegada]),"")</f>
        <v>#REF!</v>
      </c>
      <c r="F24" s="23" t="e">
        <f>IF(Tabla25[[#This Row],[Num Meta Masculino]]&gt;=4,_xlfn.RANK.AVG(Tabla25[[#This Row],[Tiempo Meta Masculino]],Tabla25[Tiempo Meta Masculino],1),"")</f>
        <v>#REF!</v>
      </c>
      <c r="G24" s="15" t="e">
        <f>COUNTIF(#REF!,Tabla25[[#This Row],[Club]])</f>
        <v>#REF!</v>
      </c>
      <c r="H24" s="21" t="e">
        <f>IF(Tabla25[[#This Row],[Num Meta Femenino]]&gt;=4,SUMIF(#REF!,Tabla25[[#This Row],[Club]],TablaTiempos[Tiempo Llegada]),"")</f>
        <v>#REF!</v>
      </c>
      <c r="I24" s="23" t="e">
        <f>IF(Tabla25[[#This Row],[Num Meta Femenino]]&gt;=4,_xlfn.RANK.AVG(Tabla25[[#This Row],[Tiempo Meta Femenino]],Tabla25[Tiempo Meta Femenino],1),"")</f>
        <v>#REF!</v>
      </c>
      <c r="J24" s="15" t="e">
        <f>COUNTIF(#REF!,Tabla25[[#This Row],[Club]])</f>
        <v>#REF!</v>
      </c>
      <c r="K24" s="21" t="e">
        <f>IF(Tabla25[[#This Row],[Num Meta Mixto]]&gt;=4,SUMIF(#REF!,Tabla25[[#This Row],[Club]],TablaTiempos[Tiempo Llegada]),"")</f>
        <v>#REF!</v>
      </c>
      <c r="L24" s="23" t="e">
        <f>IF(Tabla25[[#This Row],[Num Meta Mixto]]&gt;=4,_xlfn.RANK.AVG(Tabla25[[#This Row],[Tiempo Meta Mixto]],Tabla25[Tiempo Meta Mixto],1),"")</f>
        <v>#REF!</v>
      </c>
    </row>
    <row r="25" spans="1:12" x14ac:dyDescent="0.25">
      <c r="A25" s="26" t="s">
        <v>22</v>
      </c>
      <c r="B25" s="8">
        <f>TablaEquipos[[#This Row],[Participantes]]</f>
        <v>0</v>
      </c>
      <c r="C25" s="8" t="e">
        <f>COUNTIF(#REF!,Tabla25[[#This Row],[Club]])</f>
        <v>#REF!</v>
      </c>
      <c r="D25" s="15" t="e">
        <f>COUNTIF(#REF!,Tabla25[[#This Row],[Club]])</f>
        <v>#REF!</v>
      </c>
      <c r="E25" s="21" t="e">
        <f>IF(Tabla25[[#This Row],[Num Meta Masculino]]&gt;=4,SUMIF(#REF!,Tabla25[[#This Row],[Club]],TablaTiempos[Tiempo Llegada]),"")</f>
        <v>#REF!</v>
      </c>
      <c r="F25" s="23" t="e">
        <f>IF(Tabla25[[#This Row],[Num Meta Masculino]]&gt;=4,_xlfn.RANK.AVG(Tabla25[[#This Row],[Tiempo Meta Masculino]],Tabla25[Tiempo Meta Masculino],1),"")</f>
        <v>#REF!</v>
      </c>
      <c r="G25" s="15" t="e">
        <f>COUNTIF(#REF!,Tabla25[[#This Row],[Club]])</f>
        <v>#REF!</v>
      </c>
      <c r="H25" s="21" t="e">
        <f>IF(Tabla25[[#This Row],[Num Meta Femenino]]&gt;=4,SUMIF(#REF!,Tabla25[[#This Row],[Club]],TablaTiempos[Tiempo Llegada]),"")</f>
        <v>#REF!</v>
      </c>
      <c r="I25" s="23" t="e">
        <f>IF(Tabla25[[#This Row],[Num Meta Femenino]]&gt;=4,_xlfn.RANK.AVG(Tabla25[[#This Row],[Tiempo Meta Femenino]],Tabla25[Tiempo Meta Femenino],1),"")</f>
        <v>#REF!</v>
      </c>
      <c r="J25" s="15" t="e">
        <f>COUNTIF(#REF!,Tabla25[[#This Row],[Club]])</f>
        <v>#REF!</v>
      </c>
      <c r="K25" s="21" t="e">
        <f>IF(Tabla25[[#This Row],[Num Meta Mixto]]&gt;=4,SUMIF(#REF!,Tabla25[[#This Row],[Club]],TablaTiempos[Tiempo Llegada]),"")</f>
        <v>#REF!</v>
      </c>
      <c r="L25" s="23" t="e">
        <f>IF(Tabla25[[#This Row],[Num Meta Mixto]]&gt;=4,_xlfn.RANK.AVG(Tabla25[[#This Row],[Tiempo Meta Mixto]],Tabla25[Tiempo Meta Mixto],1),"")</f>
        <v>#REF!</v>
      </c>
    </row>
    <row r="26" spans="1:12" x14ac:dyDescent="0.25">
      <c r="A26" s="26" t="s">
        <v>65</v>
      </c>
      <c r="B26" s="8">
        <f>TablaEquipos[[#This Row],[Participantes]]</f>
        <v>0</v>
      </c>
      <c r="C26" s="8" t="e">
        <f>COUNTIF(#REF!,Tabla25[[#This Row],[Club]])</f>
        <v>#REF!</v>
      </c>
      <c r="D26" s="15" t="e">
        <f>COUNTIF(#REF!,Tabla25[[#This Row],[Club]])</f>
        <v>#REF!</v>
      </c>
      <c r="E26" s="21" t="e">
        <f>IF(Tabla25[[#This Row],[Num Meta Masculino]]&gt;=4,SUMIF(#REF!,Tabla25[[#This Row],[Club]],TablaTiempos[Tiempo Llegada]),"")</f>
        <v>#REF!</v>
      </c>
      <c r="F26" s="23" t="e">
        <f>IF(Tabla25[[#This Row],[Num Meta Masculino]]&gt;=4,_xlfn.RANK.AVG(Tabla25[[#This Row],[Tiempo Meta Masculino]],Tabla25[Tiempo Meta Masculino],1),"")</f>
        <v>#REF!</v>
      </c>
      <c r="G26" s="15" t="e">
        <f>COUNTIF(#REF!,Tabla25[[#This Row],[Club]])</f>
        <v>#REF!</v>
      </c>
      <c r="H26" s="21" t="e">
        <f>IF(Tabla25[[#This Row],[Num Meta Femenino]]&gt;=4,SUMIF(#REF!,Tabla25[[#This Row],[Club]],TablaTiempos[Tiempo Llegada]),"")</f>
        <v>#REF!</v>
      </c>
      <c r="I26" s="23" t="e">
        <f>IF(Tabla25[[#This Row],[Num Meta Femenino]]&gt;=4,_xlfn.RANK.AVG(Tabla25[[#This Row],[Tiempo Meta Femenino]],Tabla25[Tiempo Meta Femenino],1),"")</f>
        <v>#REF!</v>
      </c>
      <c r="J26" s="15" t="e">
        <f>COUNTIF(#REF!,Tabla25[[#This Row],[Club]])</f>
        <v>#REF!</v>
      </c>
      <c r="K26" s="21" t="e">
        <f>IF(Tabla25[[#This Row],[Num Meta Mixto]]&gt;=4,SUMIF(#REF!,Tabla25[[#This Row],[Club]],TablaTiempos[Tiempo Llegada]),"")</f>
        <v>#REF!</v>
      </c>
      <c r="L26" s="23" t="e">
        <f>IF(Tabla25[[#This Row],[Num Meta Mixto]]&gt;=4,_xlfn.RANK.AVG(Tabla25[[#This Row],[Tiempo Meta Mixto]],Tabla25[Tiempo Meta Mixto],1),"")</f>
        <v>#REF!</v>
      </c>
    </row>
    <row r="27" spans="1:12" x14ac:dyDescent="0.25">
      <c r="A27" s="26" t="s">
        <v>33</v>
      </c>
      <c r="B27" s="8">
        <f>TablaEquipos[[#This Row],[Participantes]]</f>
        <v>0</v>
      </c>
      <c r="C27" s="8" t="e">
        <f>COUNTIF(#REF!,Tabla25[[#This Row],[Club]])</f>
        <v>#REF!</v>
      </c>
      <c r="D27" s="15" t="e">
        <f>COUNTIF(#REF!,Tabla25[[#This Row],[Club]])</f>
        <v>#REF!</v>
      </c>
      <c r="E27" s="21" t="e">
        <f>IF(Tabla25[[#This Row],[Num Meta Masculino]]&gt;=4,SUMIF(#REF!,Tabla25[[#This Row],[Club]],TablaTiempos[Tiempo Llegada]),"")</f>
        <v>#REF!</v>
      </c>
      <c r="F27" s="23" t="e">
        <f>IF(Tabla25[[#This Row],[Num Meta Masculino]]&gt;=4,_xlfn.RANK.AVG(Tabla25[[#This Row],[Tiempo Meta Masculino]],Tabla25[Tiempo Meta Masculino],1),"")</f>
        <v>#REF!</v>
      </c>
      <c r="G27" s="15" t="e">
        <f>COUNTIF(#REF!,Tabla25[[#This Row],[Club]])</f>
        <v>#REF!</v>
      </c>
      <c r="H27" s="21" t="e">
        <f>IF(Tabla25[[#This Row],[Num Meta Femenino]]&gt;=4,SUMIF(#REF!,Tabla25[[#This Row],[Club]],TablaTiempos[Tiempo Llegada]),"")</f>
        <v>#REF!</v>
      </c>
      <c r="I27" s="23" t="e">
        <f>IF(Tabla25[[#This Row],[Num Meta Femenino]]&gt;=4,_xlfn.RANK.AVG(Tabla25[[#This Row],[Tiempo Meta Femenino]],Tabla25[Tiempo Meta Femenino],1),"")</f>
        <v>#REF!</v>
      </c>
      <c r="J27" s="15" t="e">
        <f>COUNTIF(#REF!,Tabla25[[#This Row],[Club]])</f>
        <v>#REF!</v>
      </c>
      <c r="K27" s="21" t="e">
        <f>IF(Tabla25[[#This Row],[Num Meta Mixto]]&gt;=4,SUMIF(#REF!,Tabla25[[#This Row],[Club]],TablaTiempos[Tiempo Llegada]),"")</f>
        <v>#REF!</v>
      </c>
      <c r="L27" s="23" t="e">
        <f>IF(Tabla25[[#This Row],[Num Meta Mixto]]&gt;=4,_xlfn.RANK.AVG(Tabla25[[#This Row],[Tiempo Meta Mixto]],Tabla25[Tiempo Meta Mixto],1),"")</f>
        <v>#REF!</v>
      </c>
    </row>
    <row r="28" spans="1:12" x14ac:dyDescent="0.25">
      <c r="A28" s="26" t="s">
        <v>64</v>
      </c>
      <c r="B28" s="8">
        <f>TablaEquipos[[#This Row],[Participantes]]</f>
        <v>0</v>
      </c>
      <c r="C28" s="8" t="e">
        <f>COUNTIF(#REF!,Tabla25[[#This Row],[Club]])</f>
        <v>#REF!</v>
      </c>
      <c r="D28" s="15" t="e">
        <f>COUNTIF(#REF!,Tabla25[[#This Row],[Club]])</f>
        <v>#REF!</v>
      </c>
      <c r="E28" s="21" t="e">
        <f>IF(Tabla25[[#This Row],[Num Meta Masculino]]&gt;=4,SUMIF(#REF!,Tabla25[[#This Row],[Club]],TablaTiempos[Tiempo Llegada]),"")</f>
        <v>#REF!</v>
      </c>
      <c r="F28" s="23" t="e">
        <f>IF(Tabla25[[#This Row],[Num Meta Masculino]]&gt;=4,_xlfn.RANK.AVG(Tabla25[[#This Row],[Tiempo Meta Masculino]],Tabla25[Tiempo Meta Masculino],1),"")</f>
        <v>#REF!</v>
      </c>
      <c r="G28" s="15" t="e">
        <f>COUNTIF(#REF!,Tabla25[[#This Row],[Club]])</f>
        <v>#REF!</v>
      </c>
      <c r="H28" s="21" t="e">
        <f>IF(Tabla25[[#This Row],[Num Meta Femenino]]&gt;=4,SUMIF(#REF!,Tabla25[[#This Row],[Club]],TablaTiempos[Tiempo Llegada]),"")</f>
        <v>#REF!</v>
      </c>
      <c r="I28" s="23" t="e">
        <f>IF(Tabla25[[#This Row],[Num Meta Femenino]]&gt;=4,_xlfn.RANK.AVG(Tabla25[[#This Row],[Tiempo Meta Femenino]],Tabla25[Tiempo Meta Femenino],1),"")</f>
        <v>#REF!</v>
      </c>
      <c r="J28" s="15" t="e">
        <f>COUNTIF(#REF!,Tabla25[[#This Row],[Club]])</f>
        <v>#REF!</v>
      </c>
      <c r="K28" s="21" t="e">
        <f>IF(Tabla25[[#This Row],[Num Meta Mixto]]&gt;=4,SUMIF(#REF!,Tabla25[[#This Row],[Club]],TablaTiempos[Tiempo Llegada]),"")</f>
        <v>#REF!</v>
      </c>
      <c r="L28" s="23" t="e">
        <f>IF(Tabla25[[#This Row],[Num Meta Mixto]]&gt;=4,_xlfn.RANK.AVG(Tabla25[[#This Row],[Tiempo Meta Mixto]],Tabla25[Tiempo Meta Mixto],1),"")</f>
        <v>#REF!</v>
      </c>
    </row>
    <row r="29" spans="1:12" x14ac:dyDescent="0.25">
      <c r="A29" s="26" t="s">
        <v>63</v>
      </c>
      <c r="B29" s="8" t="e">
        <f>TablaEquipos[[#This Row],[Participantes]]</f>
        <v>#VALUE!</v>
      </c>
      <c r="C29" s="8" t="e">
        <f>COUNTIF(#REF!,Tabla25[[#This Row],[Club]])</f>
        <v>#REF!</v>
      </c>
      <c r="D29" s="15" t="e">
        <f>COUNTIF(#REF!,Tabla25[[#This Row],[Club]])</f>
        <v>#REF!</v>
      </c>
      <c r="E29" s="21" t="e">
        <f>IF(Tabla25[[#This Row],[Num Meta Masculino]]&gt;=4,SUMIF(#REF!,Tabla25[[#This Row],[Club]],TablaTiempos[Tiempo Llegada]),"")</f>
        <v>#REF!</v>
      </c>
      <c r="F29" s="23" t="e">
        <f>IF(Tabla25[[#This Row],[Num Meta Masculino]]&gt;=4,_xlfn.RANK.AVG(Tabla25[[#This Row],[Tiempo Meta Masculino]],Tabla25[Tiempo Meta Masculino],1),"")</f>
        <v>#REF!</v>
      </c>
      <c r="G29" s="15" t="e">
        <f>COUNTIF(#REF!,Tabla25[[#This Row],[Club]])</f>
        <v>#REF!</v>
      </c>
      <c r="H29" s="21" t="e">
        <f>IF(Tabla25[[#This Row],[Num Meta Femenino]]&gt;=4,SUMIF(#REF!,Tabla25[[#This Row],[Club]],TablaTiempos[Tiempo Llegada]),"")</f>
        <v>#REF!</v>
      </c>
      <c r="I29" s="23" t="e">
        <f>IF(Tabla25[[#This Row],[Num Meta Femenino]]&gt;=4,_xlfn.RANK.AVG(Tabla25[[#This Row],[Tiempo Meta Femenino]],Tabla25[Tiempo Meta Femenino],1),"")</f>
        <v>#REF!</v>
      </c>
      <c r="J29" s="15" t="e">
        <f>COUNTIF(#REF!,Tabla25[[#This Row],[Club]])</f>
        <v>#REF!</v>
      </c>
      <c r="K29" s="21" t="e">
        <f>IF(Tabla25[[#This Row],[Num Meta Mixto]]&gt;=4,SUMIF(#REF!,Tabla25[[#This Row],[Club]],TablaTiempos[Tiempo Llegada]),"")</f>
        <v>#REF!</v>
      </c>
      <c r="L29" s="23" t="e">
        <f>IF(Tabla25[[#This Row],[Num Meta Mixto]]&gt;=4,_xlfn.RANK.AVG(Tabla25[[#This Row],[Tiempo Meta Mixto]],Tabla25[Tiempo Meta Mixto],1),"")</f>
        <v>#REF!</v>
      </c>
    </row>
    <row r="30" spans="1:12" x14ac:dyDescent="0.25">
      <c r="A30" s="26" t="s">
        <v>23</v>
      </c>
      <c r="B30" s="8" t="e">
        <f>TablaEquipos[[#This Row],[Participantes]]</f>
        <v>#VALUE!</v>
      </c>
      <c r="C30" s="8" t="e">
        <f>COUNTIF(#REF!,Tabla25[[#This Row],[Club]])</f>
        <v>#REF!</v>
      </c>
      <c r="D30" s="15" t="e">
        <f>COUNTIF(#REF!,Tabla25[[#This Row],[Club]])</f>
        <v>#REF!</v>
      </c>
      <c r="E30" s="21" t="e">
        <f>IF(Tabla25[[#This Row],[Num Meta Masculino]]&gt;=4,SUMIF(#REF!,Tabla25[[#This Row],[Club]],TablaTiempos[Tiempo Llegada]),"")</f>
        <v>#REF!</v>
      </c>
      <c r="F30" s="23" t="e">
        <f>IF(Tabla25[[#This Row],[Num Meta Masculino]]&gt;=4,_xlfn.RANK.AVG(Tabla25[[#This Row],[Tiempo Meta Masculino]],Tabla25[Tiempo Meta Masculino],1),"")</f>
        <v>#REF!</v>
      </c>
      <c r="G30" s="15" t="e">
        <f>COUNTIF(#REF!,Tabla25[[#This Row],[Club]])</f>
        <v>#REF!</v>
      </c>
      <c r="H30" s="21" t="e">
        <f>IF(Tabla25[[#This Row],[Num Meta Femenino]]&gt;=4,SUMIF(#REF!,Tabla25[[#This Row],[Club]],TablaTiempos[Tiempo Llegada]),"")</f>
        <v>#REF!</v>
      </c>
      <c r="I30" s="23" t="e">
        <f>IF(Tabla25[[#This Row],[Num Meta Femenino]]&gt;=4,_xlfn.RANK.AVG(Tabla25[[#This Row],[Tiempo Meta Femenino]],Tabla25[Tiempo Meta Femenino],1),"")</f>
        <v>#REF!</v>
      </c>
      <c r="J30" s="15" t="e">
        <f>COUNTIF(#REF!,Tabla25[[#This Row],[Club]])</f>
        <v>#REF!</v>
      </c>
      <c r="K30" s="21" t="e">
        <f>IF(Tabla25[[#This Row],[Num Meta Mixto]]&gt;=4,SUMIF(#REF!,Tabla25[[#This Row],[Club]],TablaTiempos[Tiempo Llegada]),"")</f>
        <v>#REF!</v>
      </c>
      <c r="L30" s="23" t="e">
        <f>IF(Tabla25[[#This Row],[Num Meta Mixto]]&gt;=4,_xlfn.RANK.AVG(Tabla25[[#This Row],[Tiempo Meta Mixto]],Tabla25[Tiempo Meta Mixto],1),"")</f>
        <v>#REF!</v>
      </c>
    </row>
    <row r="31" spans="1:12" x14ac:dyDescent="0.25">
      <c r="A31" s="26" t="s">
        <v>73</v>
      </c>
      <c r="B31" s="8" t="e">
        <f>TablaEquipos[[#This Row],[Participantes]]</f>
        <v>#VALUE!</v>
      </c>
      <c r="C31" s="8" t="e">
        <f>COUNTIF(#REF!,Tabla25[[#This Row],[Club]])</f>
        <v>#REF!</v>
      </c>
      <c r="D31" s="15" t="e">
        <f>COUNTIF(#REF!,Tabla25[[#This Row],[Club]])</f>
        <v>#REF!</v>
      </c>
      <c r="E31" s="21" t="e">
        <f>IF(Tabla25[[#This Row],[Num Meta Masculino]]&gt;=4,SUMIF(#REF!,Tabla25[[#This Row],[Club]],TablaTiempos[Tiempo Llegada]),"")</f>
        <v>#REF!</v>
      </c>
      <c r="F31" s="23" t="e">
        <f>IF(Tabla25[[#This Row],[Num Meta Masculino]]&gt;=4,_xlfn.RANK.AVG(Tabla25[[#This Row],[Tiempo Meta Masculino]],Tabla25[Tiempo Meta Masculino],1),"")</f>
        <v>#REF!</v>
      </c>
      <c r="G31" s="15" t="e">
        <f>COUNTIF(#REF!,Tabla25[[#This Row],[Club]])</f>
        <v>#REF!</v>
      </c>
      <c r="H31" s="21" t="e">
        <f>IF(Tabla25[[#This Row],[Num Meta Femenino]]&gt;=4,SUMIF(#REF!,Tabla25[[#This Row],[Club]],TablaTiempos[Tiempo Llegada]),"")</f>
        <v>#REF!</v>
      </c>
      <c r="I31" s="23" t="e">
        <f>IF(Tabla25[[#This Row],[Num Meta Femenino]]&gt;=4,_xlfn.RANK.AVG(Tabla25[[#This Row],[Tiempo Meta Femenino]],Tabla25[Tiempo Meta Femenino],1),"")</f>
        <v>#REF!</v>
      </c>
      <c r="J31" s="15" t="e">
        <f>COUNTIF(#REF!,Tabla25[[#This Row],[Club]])</f>
        <v>#REF!</v>
      </c>
      <c r="K31" s="21" t="e">
        <f>IF(Tabla25[[#This Row],[Num Meta Mixto]]&gt;=4,SUMIF(#REF!,Tabla25[[#This Row],[Club]],TablaTiempos[Tiempo Llegada]),"")</f>
        <v>#REF!</v>
      </c>
      <c r="L31" s="23" t="e">
        <f>IF(Tabla25[[#This Row],[Num Meta Mixto]]&gt;=4,_xlfn.RANK.AVG(Tabla25[[#This Row],[Tiempo Meta Mixto]],Tabla25[Tiempo Meta Mixto],1),"")</f>
        <v>#REF!</v>
      </c>
    </row>
    <row r="32" spans="1:12" x14ac:dyDescent="0.25">
      <c r="A32" s="26" t="s">
        <v>18</v>
      </c>
      <c r="B32" s="8" t="e">
        <f>TablaEquipos[[#This Row],[Participantes]]</f>
        <v>#VALUE!</v>
      </c>
      <c r="C32" s="8" t="e">
        <f>COUNTIF(#REF!,Tabla25[[#This Row],[Club]])</f>
        <v>#REF!</v>
      </c>
      <c r="D32" s="15" t="e">
        <f>COUNTIF(#REF!,Tabla25[[#This Row],[Club]])</f>
        <v>#REF!</v>
      </c>
      <c r="E32" s="21" t="e">
        <f>IF(Tabla25[[#This Row],[Num Meta Masculino]]&gt;=4,SUMIF(#REF!,Tabla25[[#This Row],[Club]],TablaTiempos[Tiempo Llegada]),"")</f>
        <v>#REF!</v>
      </c>
      <c r="F32" s="23" t="e">
        <f>IF(Tabla25[[#This Row],[Num Meta Masculino]]&gt;=4,_xlfn.RANK.AVG(Tabla25[[#This Row],[Tiempo Meta Masculino]],Tabla25[Tiempo Meta Masculino],1),"")</f>
        <v>#REF!</v>
      </c>
      <c r="G32" s="15" t="e">
        <f>COUNTIF(#REF!,Tabla25[[#This Row],[Club]])</f>
        <v>#REF!</v>
      </c>
      <c r="H32" s="21" t="e">
        <f>IF(Tabla25[[#This Row],[Num Meta Femenino]]&gt;=4,SUMIF(#REF!,Tabla25[[#This Row],[Club]],TablaTiempos[Tiempo Llegada]),"")</f>
        <v>#REF!</v>
      </c>
      <c r="I32" s="23" t="e">
        <f>IF(Tabla25[[#This Row],[Num Meta Femenino]]&gt;=4,_xlfn.RANK.AVG(Tabla25[[#This Row],[Tiempo Meta Femenino]],Tabla25[Tiempo Meta Femenino],1),"")</f>
        <v>#REF!</v>
      </c>
      <c r="J32" s="15" t="e">
        <f>COUNTIF(#REF!,Tabla25[[#This Row],[Club]])</f>
        <v>#REF!</v>
      </c>
      <c r="K32" s="21" t="e">
        <f>IF(Tabla25[[#This Row],[Num Meta Mixto]]&gt;=4,SUMIF(#REF!,Tabla25[[#This Row],[Club]],TablaTiempos[Tiempo Llegada]),"")</f>
        <v>#REF!</v>
      </c>
      <c r="L32" s="23" t="e">
        <f>IF(Tabla25[[#This Row],[Num Meta Mixto]]&gt;=4,_xlfn.RANK.AVG(Tabla25[[#This Row],[Tiempo Meta Mixto]],Tabla25[Tiempo Meta Mixto],1),"")</f>
        <v>#REF!</v>
      </c>
    </row>
    <row r="33" spans="1:12" x14ac:dyDescent="0.25">
      <c r="A33" s="26" t="s">
        <v>17</v>
      </c>
      <c r="B33" s="8" t="e">
        <f>TablaEquipos[[#This Row],[Participantes]]</f>
        <v>#VALUE!</v>
      </c>
      <c r="C33" s="8" t="e">
        <f>COUNTIF(#REF!,Tabla25[[#This Row],[Club]])</f>
        <v>#REF!</v>
      </c>
      <c r="D33" s="15" t="e">
        <f>COUNTIF(#REF!,Tabla25[[#This Row],[Club]])</f>
        <v>#REF!</v>
      </c>
      <c r="E33" s="21" t="e">
        <f>IF(Tabla25[[#This Row],[Num Meta Masculino]]&gt;=4,SUMIF(#REF!,Tabla25[[#This Row],[Club]],TablaTiempos[Tiempo Llegada]),"")</f>
        <v>#REF!</v>
      </c>
      <c r="F33" s="23" t="e">
        <f>IF(Tabla25[[#This Row],[Num Meta Masculino]]&gt;=4,_xlfn.RANK.AVG(Tabla25[[#This Row],[Tiempo Meta Masculino]],Tabla25[Tiempo Meta Masculino],1),"")</f>
        <v>#REF!</v>
      </c>
      <c r="G33" s="15" t="e">
        <f>COUNTIF(#REF!,Tabla25[[#This Row],[Club]])</f>
        <v>#REF!</v>
      </c>
      <c r="H33" s="21" t="e">
        <f>IF(Tabla25[[#This Row],[Num Meta Femenino]]&gt;=4,SUMIF(#REF!,Tabla25[[#This Row],[Club]],TablaTiempos[Tiempo Llegada]),"")</f>
        <v>#REF!</v>
      </c>
      <c r="I33" s="23" t="e">
        <f>IF(Tabla25[[#This Row],[Num Meta Femenino]]&gt;=4,_xlfn.RANK.AVG(Tabla25[[#This Row],[Tiempo Meta Femenino]],Tabla25[Tiempo Meta Femenino],1),"")</f>
        <v>#REF!</v>
      </c>
      <c r="J33" s="15" t="e">
        <f>COUNTIF(#REF!,Tabla25[[#This Row],[Club]])</f>
        <v>#REF!</v>
      </c>
      <c r="K33" s="21" t="e">
        <f>IF(Tabla25[[#This Row],[Num Meta Mixto]]&gt;=4,SUMIF(#REF!,Tabla25[[#This Row],[Club]],TablaTiempos[Tiempo Llegada]),"")</f>
        <v>#REF!</v>
      </c>
      <c r="L33" s="23" t="e">
        <f>IF(Tabla25[[#This Row],[Num Meta Mixto]]&gt;=4,_xlfn.RANK.AVG(Tabla25[[#This Row],[Tiempo Meta Mixto]],Tabla25[Tiempo Meta Mixto],1),"")</f>
        <v>#REF!</v>
      </c>
    </row>
    <row r="34" spans="1:12" x14ac:dyDescent="0.25">
      <c r="A34" s="26" t="s">
        <v>7</v>
      </c>
      <c r="B34" s="8" t="e">
        <f>TablaEquipos[[#This Row],[Participantes]]</f>
        <v>#VALUE!</v>
      </c>
      <c r="C34" s="8" t="e">
        <f>COUNTIF(#REF!,Tabla25[[#This Row],[Club]])</f>
        <v>#REF!</v>
      </c>
      <c r="D34" s="15" t="e">
        <f>COUNTIF(#REF!,Tabla25[[#This Row],[Club]])</f>
        <v>#REF!</v>
      </c>
      <c r="E34" s="21" t="e">
        <f>IF(Tabla25[[#This Row],[Num Meta Masculino]]&gt;=4,SUMIF(#REF!,Tabla25[[#This Row],[Club]],TablaTiempos[Tiempo Llegada]),"")</f>
        <v>#REF!</v>
      </c>
      <c r="F34" s="23" t="e">
        <f>IF(Tabla25[[#This Row],[Num Meta Masculino]]&gt;=4,_xlfn.RANK.AVG(Tabla25[[#This Row],[Tiempo Meta Masculino]],Tabla25[Tiempo Meta Masculino],1),"")</f>
        <v>#REF!</v>
      </c>
      <c r="G34" s="15" t="e">
        <f>COUNTIF(#REF!,Tabla25[[#This Row],[Club]])</f>
        <v>#REF!</v>
      </c>
      <c r="H34" s="21" t="e">
        <f>IF(Tabla25[[#This Row],[Num Meta Femenino]]&gt;=4,SUMIF(#REF!,Tabla25[[#This Row],[Club]],TablaTiempos[Tiempo Llegada]),"")</f>
        <v>#REF!</v>
      </c>
      <c r="I34" s="23" t="e">
        <f>IF(Tabla25[[#This Row],[Num Meta Femenino]]&gt;=4,_xlfn.RANK.AVG(Tabla25[[#This Row],[Tiempo Meta Femenino]],Tabla25[Tiempo Meta Femenino],1),"")</f>
        <v>#REF!</v>
      </c>
      <c r="J34" s="15" t="e">
        <f>COUNTIF(#REF!,Tabla25[[#This Row],[Club]])</f>
        <v>#REF!</v>
      </c>
      <c r="K34" s="21" t="e">
        <f>IF(Tabla25[[#This Row],[Num Meta Mixto]]&gt;=4,SUMIF(#REF!,Tabla25[[#This Row],[Club]],TablaTiempos[Tiempo Llegada]),"")</f>
        <v>#REF!</v>
      </c>
      <c r="L34" s="23" t="e">
        <f>IF(Tabla25[[#This Row],[Num Meta Mixto]]&gt;=4,_xlfn.RANK.AVG(Tabla25[[#This Row],[Tiempo Meta Mixto]],Tabla25[Tiempo Meta Mixto],1),"")</f>
        <v>#REF!</v>
      </c>
    </row>
    <row r="35" spans="1:12" x14ac:dyDescent="0.25">
      <c r="A35" s="26" t="s">
        <v>16</v>
      </c>
      <c r="B35" s="8" t="e">
        <f>TablaEquipos[[#This Row],[Participantes]]</f>
        <v>#VALUE!</v>
      </c>
      <c r="C35" s="8" t="e">
        <f>COUNTIF(#REF!,Tabla25[[#This Row],[Club]])</f>
        <v>#REF!</v>
      </c>
      <c r="D35" s="15" t="e">
        <f>COUNTIF(#REF!,Tabla25[[#This Row],[Club]])</f>
        <v>#REF!</v>
      </c>
      <c r="E35" s="21" t="e">
        <f>IF(Tabla25[[#This Row],[Num Meta Masculino]]&gt;=4,SUMIF(#REF!,Tabla25[[#This Row],[Club]],TablaTiempos[Tiempo Llegada]),"")</f>
        <v>#REF!</v>
      </c>
      <c r="F35" s="23" t="e">
        <f>IF(Tabla25[[#This Row],[Num Meta Masculino]]&gt;=4,_xlfn.RANK.AVG(Tabla25[[#This Row],[Tiempo Meta Masculino]],Tabla25[Tiempo Meta Masculino],1),"")</f>
        <v>#REF!</v>
      </c>
      <c r="G35" s="15" t="e">
        <f>COUNTIF(#REF!,Tabla25[[#This Row],[Club]])</f>
        <v>#REF!</v>
      </c>
      <c r="H35" s="21" t="e">
        <f>IF(Tabla25[[#This Row],[Num Meta Femenino]]&gt;=4,SUMIF(#REF!,Tabla25[[#This Row],[Club]],TablaTiempos[Tiempo Llegada]),"")</f>
        <v>#REF!</v>
      </c>
      <c r="I35" s="23" t="e">
        <f>IF(Tabla25[[#This Row],[Num Meta Femenino]]&gt;=4,_xlfn.RANK.AVG(Tabla25[[#This Row],[Tiempo Meta Femenino]],Tabla25[Tiempo Meta Femenino],1),"")</f>
        <v>#REF!</v>
      </c>
      <c r="J35" s="15" t="e">
        <f>COUNTIF(#REF!,Tabla25[[#This Row],[Club]])</f>
        <v>#REF!</v>
      </c>
      <c r="K35" s="21" t="e">
        <f>IF(Tabla25[[#This Row],[Num Meta Mixto]]&gt;=4,SUMIF(#REF!,Tabla25[[#This Row],[Club]],TablaTiempos[Tiempo Llegada]),"")</f>
        <v>#REF!</v>
      </c>
      <c r="L35" s="23" t="e">
        <f>IF(Tabla25[[#This Row],[Num Meta Mixto]]&gt;=4,_xlfn.RANK.AVG(Tabla25[[#This Row],[Tiempo Meta Mixto]],Tabla25[Tiempo Meta Mixto],1),"")</f>
        <v>#REF!</v>
      </c>
    </row>
    <row r="36" spans="1:12" x14ac:dyDescent="0.25">
      <c r="A36" s="26" t="s">
        <v>31</v>
      </c>
      <c r="B36" s="8" t="e">
        <f>TablaEquipos[[#This Row],[Participantes]]</f>
        <v>#VALUE!</v>
      </c>
      <c r="C36" s="8" t="e">
        <f>COUNTIF(#REF!,Tabla25[[#This Row],[Club]])</f>
        <v>#REF!</v>
      </c>
      <c r="D36" s="15" t="e">
        <f>COUNTIF(#REF!,Tabla25[[#This Row],[Club]])</f>
        <v>#REF!</v>
      </c>
      <c r="E36" s="21" t="e">
        <f>IF(Tabla25[[#This Row],[Num Meta Masculino]]&gt;=4,SUMIF(#REF!,Tabla25[[#This Row],[Club]],TablaTiempos[Tiempo Llegada]),"")</f>
        <v>#REF!</v>
      </c>
      <c r="F36" s="23" t="e">
        <f>IF(Tabla25[[#This Row],[Num Meta Masculino]]&gt;=4,_xlfn.RANK.AVG(Tabla25[[#This Row],[Tiempo Meta Masculino]],Tabla25[Tiempo Meta Masculino],1),"")</f>
        <v>#REF!</v>
      </c>
      <c r="G36" s="15" t="e">
        <f>COUNTIF(#REF!,Tabla25[[#This Row],[Club]])</f>
        <v>#REF!</v>
      </c>
      <c r="H36" s="21" t="e">
        <f>IF(Tabla25[[#This Row],[Num Meta Femenino]]&gt;=4,SUMIF(#REF!,Tabla25[[#This Row],[Club]],TablaTiempos[Tiempo Llegada]),"")</f>
        <v>#REF!</v>
      </c>
      <c r="I36" s="23" t="e">
        <f>IF(Tabla25[[#This Row],[Num Meta Femenino]]&gt;=4,_xlfn.RANK.AVG(Tabla25[[#This Row],[Tiempo Meta Femenino]],Tabla25[Tiempo Meta Femenino],1),"")</f>
        <v>#REF!</v>
      </c>
      <c r="J36" s="15" t="e">
        <f>COUNTIF(#REF!,Tabla25[[#This Row],[Club]])</f>
        <v>#REF!</v>
      </c>
      <c r="K36" s="21" t="e">
        <f>IF(Tabla25[[#This Row],[Num Meta Mixto]]&gt;=4,SUMIF(#REF!,Tabla25[[#This Row],[Club]],TablaTiempos[Tiempo Llegada]),"")</f>
        <v>#REF!</v>
      </c>
      <c r="L36" s="23" t="e">
        <f>IF(Tabla25[[#This Row],[Num Meta Mixto]]&gt;=4,_xlfn.RANK.AVG(Tabla25[[#This Row],[Tiempo Meta Mixto]],Tabla25[Tiempo Meta Mixto],1),"")</f>
        <v>#REF!</v>
      </c>
    </row>
    <row r="37" spans="1:12" x14ac:dyDescent="0.25">
      <c r="A37" s="26" t="s">
        <v>12</v>
      </c>
      <c r="B37" s="8" t="e">
        <f>TablaEquipos[[#This Row],[Participantes]]</f>
        <v>#VALUE!</v>
      </c>
      <c r="C37" s="8" t="e">
        <f>COUNTIF(#REF!,Tabla25[[#This Row],[Club]])</f>
        <v>#REF!</v>
      </c>
      <c r="D37" s="15" t="e">
        <f>COUNTIF(#REF!,Tabla25[[#This Row],[Club]])</f>
        <v>#REF!</v>
      </c>
      <c r="E37" s="21" t="e">
        <f>IF(Tabla25[[#This Row],[Num Meta Masculino]]&gt;=4,SUMIF(#REF!,Tabla25[[#This Row],[Club]],TablaTiempos[Tiempo Llegada]),"")</f>
        <v>#REF!</v>
      </c>
      <c r="F37" s="23" t="e">
        <f>IF(Tabla25[[#This Row],[Num Meta Masculino]]&gt;=4,_xlfn.RANK.AVG(Tabla25[[#This Row],[Tiempo Meta Masculino]],Tabla25[Tiempo Meta Masculino],1),"")</f>
        <v>#REF!</v>
      </c>
      <c r="G37" s="15" t="e">
        <f>COUNTIF(#REF!,Tabla25[[#This Row],[Club]])</f>
        <v>#REF!</v>
      </c>
      <c r="H37" s="21" t="e">
        <f>IF(Tabla25[[#This Row],[Num Meta Femenino]]&gt;=4,SUMIF(#REF!,Tabla25[[#This Row],[Club]],TablaTiempos[Tiempo Llegada]),"")</f>
        <v>#REF!</v>
      </c>
      <c r="I37" s="23" t="e">
        <f>IF(Tabla25[[#This Row],[Num Meta Femenino]]&gt;=4,_xlfn.RANK.AVG(Tabla25[[#This Row],[Tiempo Meta Femenino]],Tabla25[Tiempo Meta Femenino],1),"")</f>
        <v>#REF!</v>
      </c>
      <c r="J37" s="15" t="e">
        <f>COUNTIF(#REF!,Tabla25[[#This Row],[Club]])</f>
        <v>#REF!</v>
      </c>
      <c r="K37" s="21" t="e">
        <f>IF(Tabla25[[#This Row],[Num Meta Mixto]]&gt;=4,SUMIF(#REF!,Tabla25[[#This Row],[Club]],TablaTiempos[Tiempo Llegada]),"")</f>
        <v>#REF!</v>
      </c>
      <c r="L37" s="23" t="e">
        <f>IF(Tabla25[[#This Row],[Num Meta Mixto]]&gt;=4,_xlfn.RANK.AVG(Tabla25[[#This Row],[Tiempo Meta Mixto]],Tabla25[Tiempo Meta Mixto],1),"")</f>
        <v>#REF!</v>
      </c>
    </row>
    <row r="38" spans="1:12" x14ac:dyDescent="0.25">
      <c r="A38" s="26" t="s">
        <v>34</v>
      </c>
      <c r="B38" s="8" t="e">
        <f>TablaEquipos[[#This Row],[Participantes]]</f>
        <v>#VALUE!</v>
      </c>
      <c r="C38" s="8" t="e">
        <f>COUNTIF(#REF!,Tabla25[[#This Row],[Club]])</f>
        <v>#REF!</v>
      </c>
      <c r="D38" s="15" t="e">
        <f>COUNTIF(#REF!,Tabla25[[#This Row],[Club]])</f>
        <v>#REF!</v>
      </c>
      <c r="E38" s="21" t="e">
        <f>IF(Tabla25[[#This Row],[Num Meta Masculino]]&gt;=4,SUMIF(#REF!,Tabla25[[#This Row],[Club]],TablaTiempos[Tiempo Llegada]),"")</f>
        <v>#REF!</v>
      </c>
      <c r="F38" s="23" t="e">
        <f>IF(Tabla25[[#This Row],[Num Meta Masculino]]&gt;=4,_xlfn.RANK.AVG(Tabla25[[#This Row],[Tiempo Meta Masculino]],Tabla25[Tiempo Meta Masculino],1),"")</f>
        <v>#REF!</v>
      </c>
      <c r="G38" s="15" t="e">
        <f>COUNTIF(#REF!,Tabla25[[#This Row],[Club]])</f>
        <v>#REF!</v>
      </c>
      <c r="H38" s="21" t="e">
        <f>IF(Tabla25[[#This Row],[Num Meta Femenino]]&gt;=4,SUMIF(#REF!,Tabla25[[#This Row],[Club]],TablaTiempos[Tiempo Llegada]),"")</f>
        <v>#REF!</v>
      </c>
      <c r="I38" s="23" t="e">
        <f>IF(Tabla25[[#This Row],[Num Meta Femenino]]&gt;=4,_xlfn.RANK.AVG(Tabla25[[#This Row],[Tiempo Meta Femenino]],Tabla25[Tiempo Meta Femenino],1),"")</f>
        <v>#REF!</v>
      </c>
      <c r="J38" s="15" t="e">
        <f>COUNTIF(#REF!,Tabla25[[#This Row],[Club]])</f>
        <v>#REF!</v>
      </c>
      <c r="K38" s="21" t="e">
        <f>IF(Tabla25[[#This Row],[Num Meta Mixto]]&gt;=4,SUMIF(#REF!,Tabla25[[#This Row],[Club]],TablaTiempos[Tiempo Llegada]),"")</f>
        <v>#REF!</v>
      </c>
      <c r="L38" s="23" t="e">
        <f>IF(Tabla25[[#This Row],[Num Meta Mixto]]&gt;=4,_xlfn.RANK.AVG(Tabla25[[#This Row],[Tiempo Meta Mixto]],Tabla25[Tiempo Meta Mixto],1),"")</f>
        <v>#REF!</v>
      </c>
    </row>
    <row r="39" spans="1:12" x14ac:dyDescent="0.25">
      <c r="A39" s="26" t="s">
        <v>66</v>
      </c>
      <c r="B39" s="8" t="e">
        <f>TablaEquipos[[#This Row],[Participantes]]</f>
        <v>#VALUE!</v>
      </c>
      <c r="C39" s="8" t="e">
        <f>COUNTIF(#REF!,Tabla25[[#This Row],[Club]])</f>
        <v>#REF!</v>
      </c>
      <c r="D39" s="15" t="e">
        <f>COUNTIF(#REF!,Tabla25[[#This Row],[Club]])</f>
        <v>#REF!</v>
      </c>
      <c r="E39" s="21" t="e">
        <f>IF(Tabla25[[#This Row],[Num Meta Masculino]]&gt;=4,SUMIF(#REF!,Tabla25[[#This Row],[Club]],TablaTiempos[Tiempo Llegada]),"")</f>
        <v>#REF!</v>
      </c>
      <c r="F39" s="23" t="e">
        <f>IF(Tabla25[[#This Row],[Num Meta Masculino]]&gt;=4,_xlfn.RANK.AVG(Tabla25[[#This Row],[Tiempo Meta Masculino]],Tabla25[Tiempo Meta Masculino],1),"")</f>
        <v>#REF!</v>
      </c>
      <c r="G39" s="15" t="e">
        <f>COUNTIF(#REF!,Tabla25[[#This Row],[Club]])</f>
        <v>#REF!</v>
      </c>
      <c r="H39" s="21" t="e">
        <f>IF(Tabla25[[#This Row],[Num Meta Femenino]]&gt;=4,SUMIF(#REF!,Tabla25[[#This Row],[Club]],TablaTiempos[Tiempo Llegada]),"")</f>
        <v>#REF!</v>
      </c>
      <c r="I39" s="23" t="e">
        <f>IF(Tabla25[[#This Row],[Num Meta Femenino]]&gt;=4,_xlfn.RANK.AVG(Tabla25[[#This Row],[Tiempo Meta Femenino]],Tabla25[Tiempo Meta Femenino],1),"")</f>
        <v>#REF!</v>
      </c>
      <c r="J39" s="15" t="e">
        <f>COUNTIF(#REF!,Tabla25[[#This Row],[Club]])</f>
        <v>#REF!</v>
      </c>
      <c r="K39" s="21" t="e">
        <f>IF(Tabla25[[#This Row],[Num Meta Mixto]]&gt;=4,SUMIF(#REF!,Tabla25[[#This Row],[Club]],TablaTiempos[Tiempo Llegada]),"")</f>
        <v>#REF!</v>
      </c>
      <c r="L39" s="23" t="e">
        <f>IF(Tabla25[[#This Row],[Num Meta Mixto]]&gt;=4,_xlfn.RANK.AVG(Tabla25[[#This Row],[Tiempo Meta Mixto]],Tabla25[Tiempo Meta Mixto],1),"")</f>
        <v>#REF!</v>
      </c>
    </row>
    <row r="40" spans="1:12" x14ac:dyDescent="0.25">
      <c r="A40" s="26" t="s">
        <v>69</v>
      </c>
      <c r="B40" s="8" t="e">
        <f>TablaEquipos[[#This Row],[Participantes]]</f>
        <v>#VALUE!</v>
      </c>
      <c r="C40" s="8" t="e">
        <f>COUNTIF(#REF!,Tabla25[[#This Row],[Club]])</f>
        <v>#REF!</v>
      </c>
      <c r="D40" s="15" t="e">
        <f>COUNTIF(#REF!,Tabla25[[#This Row],[Club]])</f>
        <v>#REF!</v>
      </c>
      <c r="E40" s="21" t="e">
        <f>IF(Tabla25[[#This Row],[Num Meta Masculino]]&gt;=4,SUMIF(#REF!,Tabla25[[#This Row],[Club]],TablaTiempos[Tiempo Llegada]),"")</f>
        <v>#REF!</v>
      </c>
      <c r="F40" s="23" t="e">
        <f>IF(Tabla25[[#This Row],[Num Meta Masculino]]&gt;=4,_xlfn.RANK.AVG(Tabla25[[#This Row],[Tiempo Meta Masculino]],Tabla25[Tiempo Meta Masculino],1),"")</f>
        <v>#REF!</v>
      </c>
      <c r="G40" s="15" t="e">
        <f>COUNTIF(#REF!,Tabla25[[#This Row],[Club]])</f>
        <v>#REF!</v>
      </c>
      <c r="H40" s="21" t="e">
        <f>IF(Tabla25[[#This Row],[Num Meta Femenino]]&gt;=4,SUMIF(#REF!,Tabla25[[#This Row],[Club]],TablaTiempos[Tiempo Llegada]),"")</f>
        <v>#REF!</v>
      </c>
      <c r="I40" s="23" t="e">
        <f>IF(Tabla25[[#This Row],[Num Meta Femenino]]&gt;=4,_xlfn.RANK.AVG(Tabla25[[#This Row],[Tiempo Meta Femenino]],Tabla25[Tiempo Meta Femenino],1),"")</f>
        <v>#REF!</v>
      </c>
      <c r="J40" s="15" t="e">
        <f>COUNTIF(#REF!,Tabla25[[#This Row],[Club]])</f>
        <v>#REF!</v>
      </c>
      <c r="K40" s="21" t="e">
        <f>IF(Tabla25[[#This Row],[Num Meta Mixto]]&gt;=4,SUMIF(#REF!,Tabla25[[#This Row],[Club]],TablaTiempos[Tiempo Llegada]),"")</f>
        <v>#REF!</v>
      </c>
      <c r="L40" s="23" t="e">
        <f>IF(Tabla25[[#This Row],[Num Meta Mixto]]&gt;=4,_xlfn.RANK.AVG(Tabla25[[#This Row],[Tiempo Meta Mixto]],Tabla25[Tiempo Meta Mixto],1),"")</f>
        <v>#REF!</v>
      </c>
    </row>
    <row r="41" spans="1:12" x14ac:dyDescent="0.25">
      <c r="A41" s="26" t="s">
        <v>70</v>
      </c>
      <c r="B41" s="8" t="e">
        <f>TablaEquipos[[#This Row],[Participantes]]</f>
        <v>#VALUE!</v>
      </c>
      <c r="C41" s="8" t="e">
        <f>COUNTIF(#REF!,Tabla25[[#This Row],[Club]])</f>
        <v>#REF!</v>
      </c>
      <c r="D41" s="15" t="e">
        <f>COUNTIF(#REF!,Tabla25[[#This Row],[Club]])</f>
        <v>#REF!</v>
      </c>
      <c r="E41" s="21" t="e">
        <f>IF(Tabla25[[#This Row],[Num Meta Masculino]]&gt;=4,SUMIF(#REF!,Tabla25[[#This Row],[Club]],TablaTiempos[Tiempo Llegada]),"")</f>
        <v>#REF!</v>
      </c>
      <c r="F41" s="23" t="e">
        <f>IF(Tabla25[[#This Row],[Num Meta Masculino]]&gt;=4,_xlfn.RANK.AVG(Tabla25[[#This Row],[Tiempo Meta Masculino]],Tabla25[Tiempo Meta Masculino],1),"")</f>
        <v>#REF!</v>
      </c>
      <c r="G41" s="15" t="e">
        <f>COUNTIF(#REF!,Tabla25[[#This Row],[Club]])</f>
        <v>#REF!</v>
      </c>
      <c r="H41" s="21" t="e">
        <f>IF(Tabla25[[#This Row],[Num Meta Femenino]]&gt;=4,SUMIF(#REF!,Tabla25[[#This Row],[Club]],TablaTiempos[Tiempo Llegada]),"")</f>
        <v>#REF!</v>
      </c>
      <c r="I41" s="23" t="e">
        <f>IF(Tabla25[[#This Row],[Num Meta Femenino]]&gt;=4,_xlfn.RANK.AVG(Tabla25[[#This Row],[Tiempo Meta Femenino]],Tabla25[Tiempo Meta Femenino],1),"")</f>
        <v>#REF!</v>
      </c>
      <c r="J41" s="15" t="e">
        <f>COUNTIF(#REF!,Tabla25[[#This Row],[Club]])</f>
        <v>#REF!</v>
      </c>
      <c r="K41" s="21" t="e">
        <f>IF(Tabla25[[#This Row],[Num Meta Mixto]]&gt;=4,SUMIF(#REF!,Tabla25[[#This Row],[Club]],TablaTiempos[Tiempo Llegada]),"")</f>
        <v>#REF!</v>
      </c>
      <c r="L41" s="23" t="e">
        <f>IF(Tabla25[[#This Row],[Num Meta Mixto]]&gt;=4,_xlfn.RANK.AVG(Tabla25[[#This Row],[Tiempo Meta Mixto]],Tabla25[Tiempo Meta Mixto],1),"")</f>
        <v>#REF!</v>
      </c>
    </row>
    <row r="42" spans="1:12" x14ac:dyDescent="0.25">
      <c r="A42" s="26" t="s">
        <v>68</v>
      </c>
      <c r="B42" s="8" t="e">
        <f>TablaEquipos[[#This Row],[Participantes]]</f>
        <v>#VALUE!</v>
      </c>
      <c r="C42" s="8" t="e">
        <f>COUNTIF(#REF!,Tabla25[[#This Row],[Club]])</f>
        <v>#REF!</v>
      </c>
      <c r="D42" s="15" t="e">
        <f>COUNTIF(#REF!,Tabla25[[#This Row],[Club]])</f>
        <v>#REF!</v>
      </c>
      <c r="E42" s="21" t="e">
        <f>IF(Tabla25[[#This Row],[Num Meta Masculino]]&gt;=4,SUMIF(#REF!,Tabla25[[#This Row],[Club]],TablaTiempos[Tiempo Llegada]),"")</f>
        <v>#REF!</v>
      </c>
      <c r="F42" s="23" t="e">
        <f>IF(Tabla25[[#This Row],[Num Meta Masculino]]&gt;=4,_xlfn.RANK.AVG(Tabla25[[#This Row],[Tiempo Meta Masculino]],Tabla25[Tiempo Meta Masculino],1),"")</f>
        <v>#REF!</v>
      </c>
      <c r="G42" s="15" t="e">
        <f>COUNTIF(#REF!,Tabla25[[#This Row],[Club]])</f>
        <v>#REF!</v>
      </c>
      <c r="H42" s="21" t="e">
        <f>IF(Tabla25[[#This Row],[Num Meta Femenino]]&gt;=4,SUMIF(#REF!,Tabla25[[#This Row],[Club]],TablaTiempos[Tiempo Llegada]),"")</f>
        <v>#REF!</v>
      </c>
      <c r="I42" s="23" t="e">
        <f>IF(Tabla25[[#This Row],[Num Meta Femenino]]&gt;=4,_xlfn.RANK.AVG(Tabla25[[#This Row],[Tiempo Meta Femenino]],Tabla25[Tiempo Meta Femenino],1),"")</f>
        <v>#REF!</v>
      </c>
      <c r="J42" s="15" t="e">
        <f>COUNTIF(#REF!,Tabla25[[#This Row],[Club]])</f>
        <v>#REF!</v>
      </c>
      <c r="K42" s="21" t="e">
        <f>IF(Tabla25[[#This Row],[Num Meta Mixto]]&gt;=4,SUMIF(#REF!,Tabla25[[#This Row],[Club]],TablaTiempos[Tiempo Llegada]),"")</f>
        <v>#REF!</v>
      </c>
      <c r="L42" s="23" t="e">
        <f>IF(Tabla25[[#This Row],[Num Meta Mixto]]&gt;=4,_xlfn.RANK.AVG(Tabla25[[#This Row],[Tiempo Meta Mixto]],Tabla25[Tiempo Meta Mixto],1),"")</f>
        <v>#REF!</v>
      </c>
    </row>
    <row r="43" spans="1:12" x14ac:dyDescent="0.25">
      <c r="A43" s="26" t="s">
        <v>67</v>
      </c>
      <c r="B43" s="8" t="e">
        <f>TablaEquipos[[#This Row],[Participantes]]</f>
        <v>#VALUE!</v>
      </c>
      <c r="C43" s="8" t="e">
        <f>COUNTIF(#REF!,Tabla25[[#This Row],[Club]])</f>
        <v>#REF!</v>
      </c>
      <c r="D43" s="15" t="e">
        <f>COUNTIF(#REF!,Tabla25[[#This Row],[Club]])</f>
        <v>#REF!</v>
      </c>
      <c r="E43" s="21" t="e">
        <f>IF(Tabla25[[#This Row],[Num Meta Masculino]]&gt;=4,SUMIF(#REF!,Tabla25[[#This Row],[Club]],TablaTiempos[Tiempo Llegada]),"")</f>
        <v>#REF!</v>
      </c>
      <c r="F43" s="23" t="e">
        <f>IF(Tabla25[[#This Row],[Num Meta Masculino]]&gt;=4,_xlfn.RANK.AVG(Tabla25[[#This Row],[Tiempo Meta Masculino]],Tabla25[Tiempo Meta Masculino],1),"")</f>
        <v>#REF!</v>
      </c>
      <c r="G43" s="15" t="e">
        <f>COUNTIF(#REF!,Tabla25[[#This Row],[Club]])</f>
        <v>#REF!</v>
      </c>
      <c r="H43" s="21" t="e">
        <f>IF(Tabla25[[#This Row],[Num Meta Femenino]]&gt;=4,SUMIF(#REF!,Tabla25[[#This Row],[Club]],TablaTiempos[Tiempo Llegada]),"")</f>
        <v>#REF!</v>
      </c>
      <c r="I43" s="23" t="e">
        <f>IF(Tabla25[[#This Row],[Num Meta Femenino]]&gt;=4,_xlfn.RANK.AVG(Tabla25[[#This Row],[Tiempo Meta Femenino]],Tabla25[Tiempo Meta Femenino],1),"")</f>
        <v>#REF!</v>
      </c>
      <c r="J43" s="15" t="e">
        <f>COUNTIF(#REF!,Tabla25[[#This Row],[Club]])</f>
        <v>#REF!</v>
      </c>
      <c r="K43" s="21" t="e">
        <f>IF(Tabla25[[#This Row],[Num Meta Mixto]]&gt;=4,SUMIF(#REF!,Tabla25[[#This Row],[Club]],TablaTiempos[Tiempo Llegada]),"")</f>
        <v>#REF!</v>
      </c>
      <c r="L43" s="23" t="e">
        <f>IF(Tabla25[[#This Row],[Num Meta Mixto]]&gt;=4,_xlfn.RANK.AVG(Tabla25[[#This Row],[Tiempo Meta Mixto]],Tabla25[Tiempo Meta Mixto],1),"")</f>
        <v>#REF!</v>
      </c>
    </row>
    <row r="44" spans="1:12" x14ac:dyDescent="0.25">
      <c r="A44" s="26" t="s">
        <v>71</v>
      </c>
      <c r="B44" s="8" t="e">
        <f>TablaEquipos[[#This Row],[Participantes]]</f>
        <v>#VALUE!</v>
      </c>
      <c r="C44" s="8" t="e">
        <f>COUNTIF(#REF!,Tabla25[[#This Row],[Club]])</f>
        <v>#REF!</v>
      </c>
      <c r="D44" s="15" t="e">
        <f>COUNTIF(#REF!,Tabla25[[#This Row],[Club]])</f>
        <v>#REF!</v>
      </c>
      <c r="E44" s="21" t="e">
        <f>IF(Tabla25[[#This Row],[Num Meta Masculino]]&gt;=4,SUMIF(#REF!,Tabla25[[#This Row],[Club]],TablaTiempos[Tiempo Llegada]),"")</f>
        <v>#REF!</v>
      </c>
      <c r="F44" s="23" t="e">
        <f>IF(Tabla25[[#This Row],[Num Meta Masculino]]&gt;=4,_xlfn.RANK.AVG(Tabla25[[#This Row],[Tiempo Meta Masculino]],Tabla25[Tiempo Meta Masculino],1),"")</f>
        <v>#REF!</v>
      </c>
      <c r="G44" s="15" t="e">
        <f>COUNTIF(#REF!,Tabla25[[#This Row],[Club]])</f>
        <v>#REF!</v>
      </c>
      <c r="H44" s="21" t="e">
        <f>IF(Tabla25[[#This Row],[Num Meta Femenino]]&gt;=4,SUMIF(#REF!,Tabla25[[#This Row],[Club]],TablaTiempos[Tiempo Llegada]),"")</f>
        <v>#REF!</v>
      </c>
      <c r="I44" s="23" t="e">
        <f>IF(Tabla25[[#This Row],[Num Meta Femenino]]&gt;=4,_xlfn.RANK.AVG(Tabla25[[#This Row],[Tiempo Meta Femenino]],Tabla25[Tiempo Meta Femenino],1),"")</f>
        <v>#REF!</v>
      </c>
      <c r="J44" s="15" t="e">
        <f>COUNTIF(#REF!,Tabla25[[#This Row],[Club]])</f>
        <v>#REF!</v>
      </c>
      <c r="K44" s="21" t="e">
        <f>IF(Tabla25[[#This Row],[Num Meta Mixto]]&gt;=4,SUMIF(#REF!,Tabla25[[#This Row],[Club]],TablaTiempos[Tiempo Llegada]),"")</f>
        <v>#REF!</v>
      </c>
      <c r="L44" s="23" t="e">
        <f>IF(Tabla25[[#This Row],[Num Meta Mixto]]&gt;=4,_xlfn.RANK.AVG(Tabla25[[#This Row],[Tiempo Meta Mixto]],Tabla25[Tiempo Meta Mixto],1),"")</f>
        <v>#REF!</v>
      </c>
    </row>
    <row r="45" spans="1:12" x14ac:dyDescent="0.25">
      <c r="A45" s="26" t="s">
        <v>72</v>
      </c>
      <c r="B45" s="8" t="e">
        <f>TablaEquipos[[#This Row],[Participantes]]</f>
        <v>#VALUE!</v>
      </c>
      <c r="C45" s="8" t="e">
        <f>COUNTIF(#REF!,Tabla25[[#This Row],[Club]])</f>
        <v>#REF!</v>
      </c>
      <c r="D45" s="15" t="e">
        <f>COUNTIF(#REF!,Tabla25[[#This Row],[Club]])</f>
        <v>#REF!</v>
      </c>
      <c r="E45" s="21" t="e">
        <f>IF(Tabla25[[#This Row],[Num Meta Masculino]]&gt;=4,SUMIF(#REF!,Tabla25[[#This Row],[Club]],TablaTiempos[Tiempo Llegada]),"")</f>
        <v>#REF!</v>
      </c>
      <c r="F45" s="23" t="e">
        <f>IF(Tabla25[[#This Row],[Num Meta Masculino]]&gt;=4,_xlfn.RANK.AVG(Tabla25[[#This Row],[Tiempo Meta Masculino]],Tabla25[Tiempo Meta Masculino],1),"")</f>
        <v>#REF!</v>
      </c>
      <c r="G45" s="15" t="e">
        <f>COUNTIF(#REF!,Tabla25[[#This Row],[Club]])</f>
        <v>#REF!</v>
      </c>
      <c r="H45" s="21" t="e">
        <f>IF(Tabla25[[#This Row],[Num Meta Femenino]]&gt;=4,SUMIF(#REF!,Tabla25[[#This Row],[Club]],TablaTiempos[Tiempo Llegada]),"")</f>
        <v>#REF!</v>
      </c>
      <c r="I45" s="23" t="e">
        <f>IF(Tabla25[[#This Row],[Num Meta Femenino]]&gt;=4,_xlfn.RANK.AVG(Tabla25[[#This Row],[Tiempo Meta Femenino]],Tabla25[Tiempo Meta Femenino],1),"")</f>
        <v>#REF!</v>
      </c>
      <c r="J45" s="15" t="e">
        <f>COUNTIF(#REF!,Tabla25[[#This Row],[Club]])</f>
        <v>#REF!</v>
      </c>
      <c r="K45" s="21" t="e">
        <f>IF(Tabla25[[#This Row],[Num Meta Mixto]]&gt;=4,SUMIF(#REF!,Tabla25[[#This Row],[Club]],TablaTiempos[Tiempo Llegada]),"")</f>
        <v>#REF!</v>
      </c>
      <c r="L45" s="23" t="e">
        <f>IF(Tabla25[[#This Row],[Num Meta Mixto]]&gt;=4,_xlfn.RANK.AVG(Tabla25[[#This Row],[Tiempo Meta Mixto]],Tabla25[Tiempo Meta Mixto],1),"")</f>
        <v>#REF!</v>
      </c>
    </row>
    <row r="46" spans="1:12" x14ac:dyDescent="0.25">
      <c r="A46"/>
      <c r="B46"/>
      <c r="C46"/>
    </row>
    <row r="47" spans="1:12" x14ac:dyDescent="0.25">
      <c r="A47"/>
      <c r="B47"/>
      <c r="C47"/>
    </row>
    <row r="48" spans="1:12" x14ac:dyDescent="0.25">
      <c r="A48"/>
      <c r="B48"/>
      <c r="C48"/>
    </row>
    <row r="49" spans="1:3" x14ac:dyDescent="0.25">
      <c r="A49"/>
      <c r="B49"/>
      <c r="C49"/>
    </row>
    <row r="50" spans="1:3" x14ac:dyDescent="0.25">
      <c r="A50"/>
      <c r="B50"/>
      <c r="C50"/>
    </row>
    <row r="51" spans="1:3" x14ac:dyDescent="0.25">
      <c r="A51"/>
      <c r="B51"/>
      <c r="C51"/>
    </row>
    <row r="52" spans="1:3" x14ac:dyDescent="0.25">
      <c r="A52"/>
      <c r="B52"/>
      <c r="C52"/>
    </row>
    <row r="53" spans="1:3" x14ac:dyDescent="0.25">
      <c r="A53"/>
      <c r="B53"/>
      <c r="C53"/>
    </row>
    <row r="54" spans="1:3" x14ac:dyDescent="0.25">
      <c r="A54"/>
      <c r="B54"/>
      <c r="C54"/>
    </row>
    <row r="55" spans="1:3" x14ac:dyDescent="0.25">
      <c r="A55"/>
      <c r="B55"/>
      <c r="C55"/>
    </row>
    <row r="56" spans="1:3" x14ac:dyDescent="0.25">
      <c r="A56"/>
      <c r="B56"/>
      <c r="C56"/>
    </row>
    <row r="57" spans="1:3" x14ac:dyDescent="0.25">
      <c r="A57"/>
      <c r="B57"/>
      <c r="C57"/>
    </row>
    <row r="58" spans="1:3" x14ac:dyDescent="0.25">
      <c r="A58"/>
      <c r="B58"/>
      <c r="C58"/>
    </row>
    <row r="59" spans="1:3" x14ac:dyDescent="0.25">
      <c r="A59"/>
      <c r="B59"/>
      <c r="C59"/>
    </row>
    <row r="60" spans="1:3" x14ac:dyDescent="0.25">
      <c r="A60"/>
      <c r="B60"/>
      <c r="C60"/>
    </row>
    <row r="61" spans="1:3" x14ac:dyDescent="0.25">
      <c r="A61"/>
      <c r="B61"/>
      <c r="C61"/>
    </row>
    <row r="62" spans="1:3" x14ac:dyDescent="0.25">
      <c r="A62"/>
      <c r="B62"/>
      <c r="C62"/>
    </row>
    <row r="63" spans="1:3" x14ac:dyDescent="0.25">
      <c r="A63"/>
      <c r="B63"/>
      <c r="C63"/>
    </row>
    <row r="64" spans="1:3" x14ac:dyDescent="0.25">
      <c r="A64"/>
      <c r="B64"/>
      <c r="C64"/>
    </row>
    <row r="65" spans="1:3" x14ac:dyDescent="0.25">
      <c r="A65"/>
      <c r="B65"/>
      <c r="C65"/>
    </row>
    <row r="66" spans="1:3" x14ac:dyDescent="0.25">
      <c r="A66"/>
      <c r="B66"/>
      <c r="C66"/>
    </row>
    <row r="67" spans="1:3" x14ac:dyDescent="0.25">
      <c r="A67"/>
      <c r="B67"/>
      <c r="C67"/>
    </row>
    <row r="68" spans="1:3" x14ac:dyDescent="0.25">
      <c r="A68"/>
      <c r="B68"/>
      <c r="C68"/>
    </row>
    <row r="69" spans="1:3" x14ac:dyDescent="0.25">
      <c r="A69"/>
      <c r="B69"/>
      <c r="C69"/>
    </row>
    <row r="70" spans="1:3" x14ac:dyDescent="0.25">
      <c r="A70"/>
      <c r="B70"/>
      <c r="C70"/>
    </row>
    <row r="71" spans="1:3" x14ac:dyDescent="0.25">
      <c r="A71"/>
      <c r="B71"/>
      <c r="C71"/>
    </row>
    <row r="72" spans="1:3" x14ac:dyDescent="0.25">
      <c r="A72"/>
      <c r="B72"/>
      <c r="C72"/>
    </row>
    <row r="73" spans="1:3" x14ac:dyDescent="0.25">
      <c r="A73"/>
      <c r="B73"/>
      <c r="C73"/>
    </row>
    <row r="74" spans="1:3" x14ac:dyDescent="0.25">
      <c r="A74"/>
      <c r="B74"/>
      <c r="C74"/>
    </row>
    <row r="75" spans="1:3" x14ac:dyDescent="0.25">
      <c r="A75"/>
      <c r="B75"/>
      <c r="C75"/>
    </row>
    <row r="76" spans="1:3" x14ac:dyDescent="0.25">
      <c r="A76"/>
      <c r="B76"/>
      <c r="C76"/>
    </row>
    <row r="77" spans="1:3" x14ac:dyDescent="0.25">
      <c r="A77"/>
      <c r="B77"/>
      <c r="C77"/>
    </row>
    <row r="78" spans="1:3" x14ac:dyDescent="0.25">
      <c r="A78"/>
      <c r="B78"/>
      <c r="C78"/>
    </row>
    <row r="79" spans="1:3" x14ac:dyDescent="0.25">
      <c r="A79"/>
      <c r="B79"/>
      <c r="C79"/>
    </row>
    <row r="80" spans="1:3" x14ac:dyDescent="0.25">
      <c r="A80"/>
      <c r="B80"/>
      <c r="C80"/>
    </row>
    <row r="81" spans="1:3" x14ac:dyDescent="0.25">
      <c r="A81"/>
      <c r="B81"/>
      <c r="C81"/>
    </row>
    <row r="82" spans="1:3" x14ac:dyDescent="0.25">
      <c r="A82"/>
      <c r="B82"/>
      <c r="C82"/>
    </row>
    <row r="83" spans="1:3" x14ac:dyDescent="0.25">
      <c r="A83"/>
      <c r="B83"/>
      <c r="C83"/>
    </row>
    <row r="84" spans="1:3" x14ac:dyDescent="0.25">
      <c r="A84"/>
      <c r="B84"/>
      <c r="C84"/>
    </row>
    <row r="85" spans="1:3" x14ac:dyDescent="0.25">
      <c r="A85"/>
      <c r="B85"/>
      <c r="C85"/>
    </row>
    <row r="86" spans="1:3" x14ac:dyDescent="0.25">
      <c r="A86"/>
      <c r="B86"/>
      <c r="C86"/>
    </row>
    <row r="87" spans="1:3" x14ac:dyDescent="0.25">
      <c r="A87"/>
      <c r="B87"/>
      <c r="C87"/>
    </row>
    <row r="88" spans="1:3" x14ac:dyDescent="0.25">
      <c r="A88"/>
      <c r="B88"/>
      <c r="C88"/>
    </row>
    <row r="89" spans="1:3" x14ac:dyDescent="0.25">
      <c r="A89"/>
      <c r="B89"/>
      <c r="C89"/>
    </row>
    <row r="90" spans="1:3" x14ac:dyDescent="0.25">
      <c r="A90"/>
      <c r="B90"/>
      <c r="C90"/>
    </row>
    <row r="91" spans="1:3" x14ac:dyDescent="0.25">
      <c r="A91"/>
      <c r="B91"/>
      <c r="C91"/>
    </row>
    <row r="92" spans="1:3" x14ac:dyDescent="0.25">
      <c r="A92"/>
      <c r="B92"/>
      <c r="C92"/>
    </row>
    <row r="93" spans="1:3" x14ac:dyDescent="0.25">
      <c r="A93"/>
      <c r="B93"/>
      <c r="C93"/>
    </row>
    <row r="94" spans="1:3" x14ac:dyDescent="0.25">
      <c r="A94"/>
      <c r="B94"/>
      <c r="C94"/>
    </row>
    <row r="95" spans="1:3" x14ac:dyDescent="0.25">
      <c r="A95"/>
      <c r="B95"/>
      <c r="C95"/>
    </row>
    <row r="96" spans="1:3" x14ac:dyDescent="0.25">
      <c r="A96"/>
      <c r="B96"/>
      <c r="C96"/>
    </row>
    <row r="97" spans="1:3" x14ac:dyDescent="0.25">
      <c r="A97"/>
      <c r="B97"/>
      <c r="C97"/>
    </row>
    <row r="98" spans="1:3" x14ac:dyDescent="0.25">
      <c r="A98"/>
      <c r="B98"/>
      <c r="C98"/>
    </row>
    <row r="99" spans="1:3" x14ac:dyDescent="0.25">
      <c r="A99"/>
      <c r="B99"/>
      <c r="C99"/>
    </row>
    <row r="100" spans="1:3" x14ac:dyDescent="0.25">
      <c r="A100"/>
      <c r="B100"/>
      <c r="C100"/>
    </row>
    <row r="101" spans="1:3" x14ac:dyDescent="0.25">
      <c r="A101"/>
      <c r="B101"/>
      <c r="C101"/>
    </row>
    <row r="102" spans="1:3" x14ac:dyDescent="0.25">
      <c r="A102"/>
      <c r="B102"/>
      <c r="C102"/>
    </row>
    <row r="103" spans="1:3" x14ac:dyDescent="0.25">
      <c r="A103"/>
      <c r="B103"/>
      <c r="C103"/>
    </row>
    <row r="104" spans="1:3" x14ac:dyDescent="0.25">
      <c r="A104"/>
      <c r="B104"/>
      <c r="C104"/>
    </row>
    <row r="105" spans="1:3" x14ac:dyDescent="0.25">
      <c r="A105"/>
      <c r="B105"/>
      <c r="C105"/>
    </row>
    <row r="106" spans="1:3" x14ac:dyDescent="0.25">
      <c r="A106"/>
      <c r="B106"/>
      <c r="C106"/>
    </row>
    <row r="107" spans="1:3" x14ac:dyDescent="0.25">
      <c r="A107"/>
      <c r="B107"/>
      <c r="C107"/>
    </row>
    <row r="108" spans="1:3" x14ac:dyDescent="0.25">
      <c r="A108"/>
      <c r="B108"/>
      <c r="C108"/>
    </row>
    <row r="109" spans="1:3" x14ac:dyDescent="0.25">
      <c r="A109"/>
      <c r="B109"/>
      <c r="C109"/>
    </row>
    <row r="110" spans="1:3" x14ac:dyDescent="0.25">
      <c r="A110"/>
      <c r="B110"/>
      <c r="C110"/>
    </row>
    <row r="111" spans="1:3" x14ac:dyDescent="0.25">
      <c r="A111"/>
      <c r="B111"/>
      <c r="C111"/>
    </row>
    <row r="112" spans="1:3" x14ac:dyDescent="0.25">
      <c r="A112"/>
      <c r="B112"/>
      <c r="C112"/>
    </row>
    <row r="113" spans="1:3" x14ac:dyDescent="0.25">
      <c r="A113"/>
      <c r="B113"/>
      <c r="C113"/>
    </row>
    <row r="114" spans="1:3" x14ac:dyDescent="0.25">
      <c r="A114"/>
      <c r="B114"/>
      <c r="C114"/>
    </row>
    <row r="115" spans="1:3" x14ac:dyDescent="0.25">
      <c r="A115"/>
      <c r="B115"/>
      <c r="C115"/>
    </row>
    <row r="116" spans="1:3" x14ac:dyDescent="0.25">
      <c r="A116"/>
      <c r="B116"/>
      <c r="C116"/>
    </row>
    <row r="117" spans="1:3" x14ac:dyDescent="0.25">
      <c r="A117"/>
      <c r="B117"/>
      <c r="C117"/>
    </row>
    <row r="118" spans="1:3" x14ac:dyDescent="0.25">
      <c r="A118"/>
      <c r="B118"/>
      <c r="C118"/>
    </row>
    <row r="119" spans="1:3" x14ac:dyDescent="0.25">
      <c r="A119"/>
      <c r="B119"/>
      <c r="C119"/>
    </row>
    <row r="120" spans="1:3" x14ac:dyDescent="0.25">
      <c r="A120"/>
      <c r="B120"/>
      <c r="C120"/>
    </row>
    <row r="121" spans="1:3" x14ac:dyDescent="0.25">
      <c r="A121"/>
      <c r="B121"/>
      <c r="C121"/>
    </row>
    <row r="122" spans="1:3" x14ac:dyDescent="0.25">
      <c r="A122"/>
      <c r="B122"/>
      <c r="C122"/>
    </row>
    <row r="123" spans="1:3" x14ac:dyDescent="0.25">
      <c r="A123"/>
      <c r="B123"/>
      <c r="C123"/>
    </row>
    <row r="124" spans="1:3" x14ac:dyDescent="0.25">
      <c r="A124"/>
      <c r="B124"/>
      <c r="C124"/>
    </row>
    <row r="125" spans="1:3" x14ac:dyDescent="0.25">
      <c r="A125"/>
      <c r="B125"/>
      <c r="C125"/>
    </row>
    <row r="126" spans="1:3" x14ac:dyDescent="0.25">
      <c r="A126"/>
      <c r="B126"/>
      <c r="C126"/>
    </row>
    <row r="127" spans="1:3" x14ac:dyDescent="0.25">
      <c r="A127"/>
      <c r="B127"/>
      <c r="C127"/>
    </row>
    <row r="128" spans="1:3" x14ac:dyDescent="0.25">
      <c r="A128"/>
      <c r="B128"/>
      <c r="C128"/>
    </row>
    <row r="129" spans="1:3" x14ac:dyDescent="0.25">
      <c r="A129"/>
      <c r="B129"/>
      <c r="C129"/>
    </row>
    <row r="130" spans="1:3" x14ac:dyDescent="0.25">
      <c r="A130"/>
      <c r="B130"/>
      <c r="C130"/>
    </row>
    <row r="131" spans="1:3" x14ac:dyDescent="0.25">
      <c r="A131"/>
      <c r="B131"/>
      <c r="C131"/>
    </row>
    <row r="132" spans="1:3" x14ac:dyDescent="0.25">
      <c r="A132"/>
      <c r="B132"/>
      <c r="C132"/>
    </row>
    <row r="133" spans="1:3" x14ac:dyDescent="0.25">
      <c r="A133"/>
      <c r="B133"/>
      <c r="C133"/>
    </row>
    <row r="134" spans="1:3" x14ac:dyDescent="0.25">
      <c r="A134"/>
      <c r="B134"/>
      <c r="C134"/>
    </row>
    <row r="135" spans="1:3" x14ac:dyDescent="0.25">
      <c r="A135"/>
      <c r="B135"/>
      <c r="C135"/>
    </row>
    <row r="136" spans="1:3" x14ac:dyDescent="0.25">
      <c r="A136"/>
      <c r="B136"/>
      <c r="C136"/>
    </row>
    <row r="137" spans="1:3" x14ac:dyDescent="0.25">
      <c r="A137"/>
      <c r="B137"/>
      <c r="C137"/>
    </row>
    <row r="138" spans="1:3" x14ac:dyDescent="0.25">
      <c r="A138"/>
      <c r="B138"/>
      <c r="C138"/>
    </row>
    <row r="139" spans="1:3" x14ac:dyDescent="0.25">
      <c r="A139"/>
      <c r="B139"/>
      <c r="C139"/>
    </row>
    <row r="140" spans="1:3" x14ac:dyDescent="0.25">
      <c r="A140"/>
      <c r="B140"/>
      <c r="C140"/>
    </row>
    <row r="141" spans="1:3" x14ac:dyDescent="0.25">
      <c r="A141"/>
      <c r="B141"/>
      <c r="C141"/>
    </row>
    <row r="142" spans="1:3" x14ac:dyDescent="0.25">
      <c r="A142"/>
      <c r="B142"/>
      <c r="C142"/>
    </row>
    <row r="143" spans="1:3" x14ac:dyDescent="0.25">
      <c r="A143"/>
      <c r="B143"/>
      <c r="C143"/>
    </row>
    <row r="144" spans="1:3" x14ac:dyDescent="0.25">
      <c r="A144"/>
      <c r="B144"/>
      <c r="C144"/>
    </row>
    <row r="145" spans="1:3" x14ac:dyDescent="0.25">
      <c r="A145"/>
      <c r="B145"/>
      <c r="C145"/>
    </row>
    <row r="146" spans="1:3" x14ac:dyDescent="0.25">
      <c r="A146"/>
      <c r="B146"/>
      <c r="C146"/>
    </row>
    <row r="147" spans="1:3" x14ac:dyDescent="0.25">
      <c r="A147"/>
      <c r="B147"/>
      <c r="C147"/>
    </row>
    <row r="148" spans="1:3" x14ac:dyDescent="0.25">
      <c r="A148"/>
      <c r="B148"/>
      <c r="C148"/>
    </row>
    <row r="149" spans="1:3" x14ac:dyDescent="0.25">
      <c r="A149"/>
      <c r="B149"/>
      <c r="C149"/>
    </row>
    <row r="150" spans="1:3" x14ac:dyDescent="0.25">
      <c r="A150"/>
      <c r="B150"/>
      <c r="C150"/>
    </row>
    <row r="151" spans="1:3" x14ac:dyDescent="0.25">
      <c r="A151"/>
      <c r="B151"/>
      <c r="C151"/>
    </row>
    <row r="152" spans="1:3" x14ac:dyDescent="0.25">
      <c r="A152"/>
      <c r="B152"/>
      <c r="C152"/>
    </row>
    <row r="153" spans="1:3" x14ac:dyDescent="0.25">
      <c r="A153"/>
      <c r="B153"/>
      <c r="C153"/>
    </row>
    <row r="154" spans="1:3" x14ac:dyDescent="0.25">
      <c r="A154"/>
      <c r="B154"/>
      <c r="C154"/>
    </row>
    <row r="155" spans="1:3" x14ac:dyDescent="0.25">
      <c r="A155"/>
      <c r="B155"/>
      <c r="C155"/>
    </row>
    <row r="156" spans="1:3" x14ac:dyDescent="0.25">
      <c r="A156"/>
      <c r="B156"/>
      <c r="C156"/>
    </row>
    <row r="157" spans="1:3" x14ac:dyDescent="0.25">
      <c r="A157"/>
      <c r="B157"/>
      <c r="C157"/>
    </row>
    <row r="158" spans="1:3" x14ac:dyDescent="0.25">
      <c r="A158"/>
      <c r="B158"/>
      <c r="C158"/>
    </row>
    <row r="159" spans="1:3" x14ac:dyDescent="0.25">
      <c r="A159"/>
      <c r="B159"/>
      <c r="C159"/>
    </row>
    <row r="160" spans="1:3" x14ac:dyDescent="0.25">
      <c r="A160"/>
      <c r="B160"/>
      <c r="C160"/>
    </row>
    <row r="161" spans="1:3" x14ac:dyDescent="0.25">
      <c r="A161"/>
      <c r="B161"/>
      <c r="C161"/>
    </row>
    <row r="162" spans="1:3" x14ac:dyDescent="0.25">
      <c r="A162"/>
      <c r="B162"/>
      <c r="C162"/>
    </row>
    <row r="163" spans="1:3" x14ac:dyDescent="0.25">
      <c r="A163"/>
      <c r="B163"/>
      <c r="C163"/>
    </row>
    <row r="164" spans="1:3" x14ac:dyDescent="0.25">
      <c r="A164"/>
      <c r="B164"/>
      <c r="C164"/>
    </row>
    <row r="165" spans="1:3" x14ac:dyDescent="0.25">
      <c r="A165"/>
      <c r="B165"/>
      <c r="C165"/>
    </row>
    <row r="166" spans="1:3" x14ac:dyDescent="0.25">
      <c r="A166"/>
      <c r="B166"/>
      <c r="C166"/>
    </row>
    <row r="167" spans="1:3" x14ac:dyDescent="0.25">
      <c r="A167"/>
      <c r="B167"/>
      <c r="C167"/>
    </row>
    <row r="168" spans="1:3" x14ac:dyDescent="0.25">
      <c r="A168"/>
      <c r="B168"/>
      <c r="C168"/>
    </row>
    <row r="169" spans="1:3" x14ac:dyDescent="0.25">
      <c r="A169"/>
      <c r="B169"/>
      <c r="C169"/>
    </row>
    <row r="170" spans="1:3" x14ac:dyDescent="0.25">
      <c r="A170"/>
      <c r="B170"/>
      <c r="C170"/>
    </row>
    <row r="171" spans="1:3" x14ac:dyDescent="0.25">
      <c r="A171"/>
      <c r="B171"/>
      <c r="C171"/>
    </row>
    <row r="172" spans="1:3" x14ac:dyDescent="0.25">
      <c r="A172"/>
      <c r="B172"/>
      <c r="C172"/>
    </row>
    <row r="173" spans="1:3" x14ac:dyDescent="0.25">
      <c r="A173"/>
      <c r="B173"/>
      <c r="C173"/>
    </row>
    <row r="174" spans="1:3" x14ac:dyDescent="0.25">
      <c r="A174"/>
      <c r="B174"/>
      <c r="C174"/>
    </row>
    <row r="175" spans="1:3" x14ac:dyDescent="0.25">
      <c r="A175"/>
      <c r="B175"/>
      <c r="C175"/>
    </row>
    <row r="176" spans="1:3" x14ac:dyDescent="0.25">
      <c r="A176"/>
      <c r="B176"/>
      <c r="C176"/>
    </row>
    <row r="177" spans="1:3" x14ac:dyDescent="0.25">
      <c r="A177"/>
      <c r="B177"/>
      <c r="C177"/>
    </row>
    <row r="178" spans="1:3" x14ac:dyDescent="0.25">
      <c r="A178"/>
      <c r="B178"/>
      <c r="C178"/>
    </row>
    <row r="179" spans="1:3" x14ac:dyDescent="0.25">
      <c r="A179"/>
      <c r="B179"/>
      <c r="C179"/>
    </row>
    <row r="180" spans="1:3" x14ac:dyDescent="0.25">
      <c r="A180"/>
      <c r="B180"/>
      <c r="C180"/>
    </row>
    <row r="181" spans="1:3" x14ac:dyDescent="0.25">
      <c r="A181"/>
      <c r="B181"/>
      <c r="C181"/>
    </row>
    <row r="182" spans="1:3" x14ac:dyDescent="0.25">
      <c r="A182"/>
      <c r="B182"/>
      <c r="C182"/>
    </row>
    <row r="183" spans="1:3" x14ac:dyDescent="0.25">
      <c r="A183"/>
      <c r="B183"/>
      <c r="C183"/>
    </row>
    <row r="184" spans="1:3" x14ac:dyDescent="0.25">
      <c r="A184"/>
      <c r="B184"/>
      <c r="C184"/>
    </row>
    <row r="185" spans="1:3" x14ac:dyDescent="0.25">
      <c r="A185"/>
      <c r="B185"/>
      <c r="C185"/>
    </row>
    <row r="186" spans="1:3" x14ac:dyDescent="0.25">
      <c r="A186"/>
      <c r="B186"/>
      <c r="C186"/>
    </row>
    <row r="187" spans="1:3" x14ac:dyDescent="0.25">
      <c r="A187"/>
      <c r="B187"/>
      <c r="C187"/>
    </row>
    <row r="188" spans="1:3" x14ac:dyDescent="0.25">
      <c r="A188"/>
      <c r="B188"/>
      <c r="C188"/>
    </row>
    <row r="189" spans="1:3" x14ac:dyDescent="0.25">
      <c r="A189"/>
      <c r="B189"/>
      <c r="C189"/>
    </row>
    <row r="190" spans="1:3" x14ac:dyDescent="0.25">
      <c r="A190"/>
      <c r="B190"/>
      <c r="C190"/>
    </row>
    <row r="191" spans="1:3" x14ac:dyDescent="0.25">
      <c r="A191"/>
      <c r="B191"/>
      <c r="C191"/>
    </row>
    <row r="192" spans="1:3" x14ac:dyDescent="0.25">
      <c r="A192"/>
      <c r="B192"/>
      <c r="C192"/>
    </row>
    <row r="193" spans="1:3" x14ac:dyDescent="0.25">
      <c r="A193"/>
      <c r="B193"/>
      <c r="C193"/>
    </row>
    <row r="194" spans="1:3" x14ac:dyDescent="0.25">
      <c r="A194"/>
      <c r="B194"/>
      <c r="C194"/>
    </row>
    <row r="195" spans="1:3" x14ac:dyDescent="0.25">
      <c r="A195"/>
      <c r="B195"/>
      <c r="C195"/>
    </row>
    <row r="196" spans="1:3" x14ac:dyDescent="0.25">
      <c r="A196"/>
      <c r="B196"/>
      <c r="C196"/>
    </row>
    <row r="197" spans="1:3" x14ac:dyDescent="0.25">
      <c r="A197"/>
      <c r="B197"/>
      <c r="C197"/>
    </row>
    <row r="198" spans="1:3" x14ac:dyDescent="0.25">
      <c r="A198"/>
      <c r="B198"/>
      <c r="C198"/>
    </row>
    <row r="199" spans="1:3" x14ac:dyDescent="0.25">
      <c r="A199"/>
      <c r="B199"/>
      <c r="C199"/>
    </row>
    <row r="200" spans="1:3" x14ac:dyDescent="0.25">
      <c r="A200"/>
      <c r="B200"/>
      <c r="C200"/>
    </row>
    <row r="201" spans="1:3" x14ac:dyDescent="0.25">
      <c r="A201"/>
      <c r="B201"/>
      <c r="C201"/>
    </row>
    <row r="202" spans="1:3" x14ac:dyDescent="0.25">
      <c r="A202"/>
      <c r="B202"/>
      <c r="C202"/>
    </row>
    <row r="203" spans="1:3" x14ac:dyDescent="0.25">
      <c r="A203"/>
      <c r="B203"/>
      <c r="C203"/>
    </row>
    <row r="204" spans="1:3" x14ac:dyDescent="0.25">
      <c r="A204"/>
      <c r="B204"/>
      <c r="C204"/>
    </row>
    <row r="205" spans="1:3" x14ac:dyDescent="0.25">
      <c r="A205"/>
      <c r="B205"/>
      <c r="C205"/>
    </row>
    <row r="206" spans="1:3" x14ac:dyDescent="0.25">
      <c r="A206"/>
      <c r="B206"/>
      <c r="C206"/>
    </row>
    <row r="207" spans="1:3" x14ac:dyDescent="0.25">
      <c r="A207"/>
      <c r="B207"/>
      <c r="C207"/>
    </row>
    <row r="208" spans="1:3" x14ac:dyDescent="0.25">
      <c r="A208"/>
      <c r="B208"/>
      <c r="C208"/>
    </row>
    <row r="209" spans="1:3" x14ac:dyDescent="0.25">
      <c r="A209"/>
      <c r="B209"/>
      <c r="C209"/>
    </row>
    <row r="210" spans="1:3" x14ac:dyDescent="0.25">
      <c r="A210"/>
      <c r="B210"/>
      <c r="C210"/>
    </row>
    <row r="211" spans="1:3" x14ac:dyDescent="0.25">
      <c r="A211"/>
      <c r="B211"/>
      <c r="C211"/>
    </row>
    <row r="212" spans="1:3" x14ac:dyDescent="0.25">
      <c r="A212"/>
      <c r="B212"/>
      <c r="C212"/>
    </row>
    <row r="213" spans="1:3" x14ac:dyDescent="0.25">
      <c r="A213"/>
      <c r="B213"/>
      <c r="C213"/>
    </row>
    <row r="214" spans="1:3" x14ac:dyDescent="0.25">
      <c r="A214"/>
      <c r="B214"/>
      <c r="C214"/>
    </row>
    <row r="215" spans="1:3" x14ac:dyDescent="0.25">
      <c r="A215"/>
      <c r="B215"/>
      <c r="C215"/>
    </row>
    <row r="216" spans="1:3" x14ac:dyDescent="0.25">
      <c r="A216"/>
      <c r="B216"/>
      <c r="C216"/>
    </row>
    <row r="217" spans="1:3" x14ac:dyDescent="0.25">
      <c r="A217"/>
      <c r="B217"/>
      <c r="C217"/>
    </row>
    <row r="218" spans="1:3" x14ac:dyDescent="0.25">
      <c r="A218"/>
      <c r="B218"/>
      <c r="C218"/>
    </row>
    <row r="219" spans="1:3" x14ac:dyDescent="0.25">
      <c r="A219"/>
      <c r="B219"/>
      <c r="C219"/>
    </row>
    <row r="220" spans="1:3" x14ac:dyDescent="0.25">
      <c r="A220"/>
      <c r="B220"/>
      <c r="C220"/>
    </row>
    <row r="221" spans="1:3" x14ac:dyDescent="0.25">
      <c r="A221"/>
      <c r="B221"/>
      <c r="C221"/>
    </row>
    <row r="222" spans="1:3" x14ac:dyDescent="0.25">
      <c r="A222"/>
      <c r="B222"/>
      <c r="C222"/>
    </row>
    <row r="223" spans="1:3" x14ac:dyDescent="0.25">
      <c r="A223"/>
      <c r="B223"/>
      <c r="C223"/>
    </row>
    <row r="224" spans="1:3" x14ac:dyDescent="0.25">
      <c r="A224"/>
      <c r="B224"/>
      <c r="C224"/>
    </row>
    <row r="225" spans="1:3" x14ac:dyDescent="0.25">
      <c r="A225"/>
      <c r="B225"/>
      <c r="C225"/>
    </row>
    <row r="226" spans="1:3" x14ac:dyDescent="0.25">
      <c r="A226"/>
      <c r="B226"/>
      <c r="C226"/>
    </row>
    <row r="227" spans="1:3" x14ac:dyDescent="0.25">
      <c r="A227"/>
      <c r="B227"/>
      <c r="C227"/>
    </row>
    <row r="228" spans="1:3" x14ac:dyDescent="0.25">
      <c r="A228"/>
      <c r="B228"/>
      <c r="C228"/>
    </row>
    <row r="229" spans="1:3" x14ac:dyDescent="0.25">
      <c r="A229"/>
      <c r="B229"/>
      <c r="C229"/>
    </row>
    <row r="230" spans="1:3" x14ac:dyDescent="0.25">
      <c r="A230"/>
      <c r="B230"/>
      <c r="C230"/>
    </row>
    <row r="231" spans="1:3" x14ac:dyDescent="0.25">
      <c r="A231"/>
      <c r="B231"/>
      <c r="C231"/>
    </row>
    <row r="232" spans="1:3" x14ac:dyDescent="0.25">
      <c r="A232"/>
      <c r="B232"/>
      <c r="C232"/>
    </row>
    <row r="233" spans="1:3" x14ac:dyDescent="0.25">
      <c r="A233"/>
      <c r="B233"/>
      <c r="C233"/>
    </row>
    <row r="234" spans="1:3" x14ac:dyDescent="0.25">
      <c r="A234"/>
      <c r="B234"/>
      <c r="C234"/>
    </row>
    <row r="235" spans="1:3" x14ac:dyDescent="0.25">
      <c r="A235"/>
      <c r="B235"/>
      <c r="C235"/>
    </row>
    <row r="236" spans="1:3" x14ac:dyDescent="0.25">
      <c r="A236"/>
      <c r="B236"/>
      <c r="C236"/>
    </row>
    <row r="237" spans="1:3" x14ac:dyDescent="0.25">
      <c r="A237"/>
      <c r="B237"/>
      <c r="C237"/>
    </row>
    <row r="238" spans="1:3" x14ac:dyDescent="0.25">
      <c r="A238"/>
      <c r="B238"/>
      <c r="C238"/>
    </row>
    <row r="239" spans="1:3" x14ac:dyDescent="0.25">
      <c r="A239"/>
      <c r="B239"/>
      <c r="C239"/>
    </row>
    <row r="240" spans="1:3" x14ac:dyDescent="0.25">
      <c r="A240"/>
      <c r="B240"/>
      <c r="C240"/>
    </row>
    <row r="241" spans="1:3" x14ac:dyDescent="0.25">
      <c r="A241"/>
      <c r="B241"/>
      <c r="C241"/>
    </row>
    <row r="242" spans="1:3" x14ac:dyDescent="0.25">
      <c r="A242"/>
      <c r="B242"/>
      <c r="C242"/>
    </row>
    <row r="243" spans="1:3" x14ac:dyDescent="0.25">
      <c r="A243"/>
      <c r="B243"/>
      <c r="C243"/>
    </row>
    <row r="244" spans="1:3" x14ac:dyDescent="0.25">
      <c r="A244"/>
      <c r="B244"/>
      <c r="C244"/>
    </row>
    <row r="245" spans="1:3" x14ac:dyDescent="0.25">
      <c r="A245"/>
      <c r="B245"/>
      <c r="C245"/>
    </row>
    <row r="246" spans="1:3" x14ac:dyDescent="0.25">
      <c r="A246"/>
      <c r="B246"/>
      <c r="C246"/>
    </row>
    <row r="247" spans="1:3" x14ac:dyDescent="0.25">
      <c r="A247"/>
      <c r="B247"/>
      <c r="C247"/>
    </row>
    <row r="248" spans="1:3" x14ac:dyDescent="0.25">
      <c r="A248"/>
      <c r="B248"/>
      <c r="C248"/>
    </row>
    <row r="249" spans="1:3" x14ac:dyDescent="0.25">
      <c r="A249"/>
      <c r="B249"/>
      <c r="C249"/>
    </row>
    <row r="250" spans="1:3" x14ac:dyDescent="0.25">
      <c r="A250"/>
      <c r="B250"/>
      <c r="C250"/>
    </row>
    <row r="251" spans="1:3" x14ac:dyDescent="0.25">
      <c r="A251"/>
      <c r="B251"/>
      <c r="C251"/>
    </row>
    <row r="252" spans="1:3" x14ac:dyDescent="0.25">
      <c r="A252"/>
      <c r="B252"/>
      <c r="C252"/>
    </row>
    <row r="253" spans="1:3" x14ac:dyDescent="0.25">
      <c r="A253"/>
      <c r="B253"/>
      <c r="C253"/>
    </row>
    <row r="254" spans="1:3" x14ac:dyDescent="0.25">
      <c r="A254"/>
      <c r="B254"/>
      <c r="C254"/>
    </row>
    <row r="255" spans="1:3" x14ac:dyDescent="0.25">
      <c r="A255"/>
      <c r="B255"/>
      <c r="C255"/>
    </row>
    <row r="256" spans="1:3" x14ac:dyDescent="0.25">
      <c r="A256"/>
      <c r="B256"/>
      <c r="C256"/>
    </row>
    <row r="257" spans="1:3" x14ac:dyDescent="0.25">
      <c r="A257"/>
      <c r="B257"/>
      <c r="C257"/>
    </row>
    <row r="258" spans="1:3" x14ac:dyDescent="0.25">
      <c r="A258"/>
      <c r="B258"/>
      <c r="C258"/>
    </row>
    <row r="259" spans="1:3" x14ac:dyDescent="0.25">
      <c r="A259"/>
      <c r="B259"/>
      <c r="C259"/>
    </row>
    <row r="260" spans="1:3" x14ac:dyDescent="0.25">
      <c r="A260"/>
      <c r="B260"/>
      <c r="C260"/>
    </row>
    <row r="261" spans="1:3" x14ac:dyDescent="0.25">
      <c r="A261"/>
      <c r="B261"/>
      <c r="C261"/>
    </row>
    <row r="262" spans="1:3" x14ac:dyDescent="0.25">
      <c r="A262"/>
      <c r="B262"/>
      <c r="C262"/>
    </row>
    <row r="263" spans="1:3" x14ac:dyDescent="0.25">
      <c r="A263"/>
      <c r="B263"/>
      <c r="C263"/>
    </row>
    <row r="264" spans="1:3" x14ac:dyDescent="0.25">
      <c r="A264"/>
      <c r="B264"/>
      <c r="C264"/>
    </row>
    <row r="265" spans="1:3" x14ac:dyDescent="0.25">
      <c r="A265"/>
      <c r="B265"/>
      <c r="C265"/>
    </row>
    <row r="266" spans="1:3" x14ac:dyDescent="0.25">
      <c r="A266"/>
      <c r="B266"/>
      <c r="C266"/>
    </row>
    <row r="267" spans="1:3" x14ac:dyDescent="0.25">
      <c r="A267"/>
      <c r="B267"/>
      <c r="C267"/>
    </row>
    <row r="268" spans="1:3" x14ac:dyDescent="0.25">
      <c r="A268"/>
      <c r="B268"/>
      <c r="C268"/>
    </row>
    <row r="269" spans="1:3" x14ac:dyDescent="0.25">
      <c r="A269"/>
      <c r="B269"/>
      <c r="C269"/>
    </row>
    <row r="270" spans="1:3" x14ac:dyDescent="0.25">
      <c r="A270"/>
      <c r="B270"/>
      <c r="C270"/>
    </row>
    <row r="271" spans="1:3" x14ac:dyDescent="0.25">
      <c r="A271"/>
      <c r="B271"/>
      <c r="C271"/>
    </row>
    <row r="272" spans="1:3" x14ac:dyDescent="0.25">
      <c r="A272"/>
      <c r="B272"/>
      <c r="C272"/>
    </row>
    <row r="273" spans="1:3" x14ac:dyDescent="0.25">
      <c r="A273"/>
      <c r="B273"/>
      <c r="C273"/>
    </row>
    <row r="274" spans="1:3" x14ac:dyDescent="0.25">
      <c r="A274"/>
      <c r="B274"/>
      <c r="C274"/>
    </row>
    <row r="275" spans="1:3" x14ac:dyDescent="0.25">
      <c r="A275"/>
      <c r="B275"/>
      <c r="C275"/>
    </row>
    <row r="276" spans="1:3" x14ac:dyDescent="0.25">
      <c r="A276"/>
      <c r="B276"/>
      <c r="C276"/>
    </row>
    <row r="277" spans="1:3" x14ac:dyDescent="0.25">
      <c r="A277"/>
      <c r="B277"/>
      <c r="C277"/>
    </row>
    <row r="278" spans="1:3" x14ac:dyDescent="0.25">
      <c r="A278"/>
      <c r="B278"/>
      <c r="C278"/>
    </row>
    <row r="279" spans="1:3" x14ac:dyDescent="0.25">
      <c r="A279"/>
      <c r="B279"/>
      <c r="C279"/>
    </row>
    <row r="280" spans="1:3" x14ac:dyDescent="0.25">
      <c r="A280"/>
      <c r="B280"/>
      <c r="C280"/>
    </row>
    <row r="281" spans="1:3" x14ac:dyDescent="0.25">
      <c r="A281"/>
      <c r="B281"/>
      <c r="C281"/>
    </row>
  </sheetData>
  <mergeCells count="4">
    <mergeCell ref="A1:L1"/>
    <mergeCell ref="D2:F2"/>
    <mergeCell ref="G2:I2"/>
    <mergeCell ref="J2:L2"/>
  </mergeCells>
  <conditionalFormatting sqref="F4:F35">
    <cfRule type="iconSet" priority="9">
      <iconSet iconSet="4TrafficLights" reverse="1">
        <cfvo type="percent" val="0"/>
        <cfvo type="num" val="2"/>
        <cfvo type="num" val="3"/>
        <cfvo type="num" val="4"/>
      </iconSet>
    </cfRule>
  </conditionalFormatting>
  <conditionalFormatting sqref="L4:L35">
    <cfRule type="iconSet" priority="7">
      <iconSet iconSet="4TrafficLights" reverse="1">
        <cfvo type="percent" val="0"/>
        <cfvo type="num" val="2"/>
        <cfvo type="num" val="3"/>
        <cfvo type="num" val="4"/>
      </iconSet>
    </cfRule>
  </conditionalFormatting>
  <conditionalFormatting sqref="I5:I35">
    <cfRule type="iconSet" priority="6">
      <iconSet iconSet="4TrafficLights" reverse="1">
        <cfvo type="percent" val="0"/>
        <cfvo type="num" val="2"/>
        <cfvo type="num" val="3"/>
        <cfvo type="num" val="4"/>
      </iconSet>
    </cfRule>
  </conditionalFormatting>
  <conditionalFormatting sqref="I4">
    <cfRule type="iconSet" priority="4">
      <iconSet iconSet="4TrafficLights" reverse="1">
        <cfvo type="percent" val="0"/>
        <cfvo type="num" val="2"/>
        <cfvo type="num" val="3"/>
        <cfvo type="num" val="4"/>
      </iconSet>
    </cfRule>
  </conditionalFormatting>
  <conditionalFormatting sqref="F36:F45">
    <cfRule type="iconSet" priority="3">
      <iconSet iconSet="4TrafficLights" reverse="1">
        <cfvo type="percent" val="0"/>
        <cfvo type="num" val="2"/>
        <cfvo type="num" val="3"/>
        <cfvo type="num" val="4"/>
      </iconSet>
    </cfRule>
  </conditionalFormatting>
  <conditionalFormatting sqref="L36:L45">
    <cfRule type="iconSet" priority="2">
      <iconSet iconSet="4TrafficLights" reverse="1">
        <cfvo type="percent" val="0"/>
        <cfvo type="num" val="2"/>
        <cfvo type="num" val="3"/>
        <cfvo type="num" val="4"/>
      </iconSet>
    </cfRule>
  </conditionalFormatting>
  <conditionalFormatting sqref="I36:I45">
    <cfRule type="iconSet" priority="1">
      <iconSet iconSet="4TrafficLights" reverse="1">
        <cfvo type="percent" val="0"/>
        <cfvo type="num" val="2"/>
        <cfvo type="num" val="3"/>
        <cfvo type="num" val="4"/>
      </iconSet>
    </cfRule>
  </conditionalFormatting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37</vt:i4>
      </vt:variant>
    </vt:vector>
  </HeadingPairs>
  <TitlesOfParts>
    <vt:vector size="46" baseType="lpstr">
      <vt:lpstr>CONTROL</vt:lpstr>
      <vt:lpstr>LAS CARRERAS</vt:lpstr>
      <vt:lpstr>LAS CATEGORIAS</vt:lpstr>
      <vt:lpstr>LOS CORREDORES</vt:lpstr>
      <vt:lpstr>LOS EQUIPOS</vt:lpstr>
      <vt:lpstr>LOS TIEMPOS</vt:lpstr>
      <vt:lpstr>CLASIFICACIONES CARRERA</vt:lpstr>
      <vt:lpstr>CLASIFICACIONES EQUIPOS</vt:lpstr>
      <vt:lpstr>CLASIFICACIONES EQUIPOS s</vt:lpstr>
      <vt:lpstr>DatoEstado</vt:lpstr>
      <vt:lpstr>DatoNumClubs</vt:lpstr>
      <vt:lpstr>DatoNumInscritos</vt:lpstr>
      <vt:lpstr>DatoNumTiempos</vt:lpstr>
      <vt:lpstr>ElPistoletazo</vt:lpstr>
      <vt:lpstr>ElTiempoSalida</vt:lpstr>
      <vt:lpstr>EstadoSinCarrera</vt:lpstr>
      <vt:lpstr>HoraAhora</vt:lpstr>
      <vt:lpstr>HoraInicio</vt:lpstr>
      <vt:lpstr>HoraInicioCarrera01</vt:lpstr>
      <vt:lpstr>HoraInicioCarrera02</vt:lpstr>
      <vt:lpstr>HoraInicioCarrera03</vt:lpstr>
      <vt:lpstr>HoraInicioCarrera04</vt:lpstr>
      <vt:lpstr>HoraInicioCarrera05</vt:lpstr>
      <vt:lpstr>HoraInicioCarrera06</vt:lpstr>
      <vt:lpstr>HoraInicioCarrera07</vt:lpstr>
      <vt:lpstr>HoraInicioCarrera08</vt:lpstr>
      <vt:lpstr>HoraInicioCarrera09</vt:lpstr>
      <vt:lpstr>HoraInicioCarrera10</vt:lpstr>
      <vt:lpstr>HoraInicioCarrera11</vt:lpstr>
      <vt:lpstr>HoraInicioCarrera12</vt:lpstr>
      <vt:lpstr>HoraInicioCarrera13</vt:lpstr>
      <vt:lpstr>InscripcionesCarrera</vt:lpstr>
      <vt:lpstr>InscripcionesCategoría</vt:lpstr>
      <vt:lpstr>InscripcionesClub</vt:lpstr>
      <vt:lpstr>'CLASIFICACIONES EQUIPOS'!LaCarrera</vt:lpstr>
      <vt:lpstr>LaCarrera</vt:lpstr>
      <vt:lpstr>'CLASIFICACIONES EQUIPOS'!LaCategoria</vt:lpstr>
      <vt:lpstr>LaCategoria</vt:lpstr>
      <vt:lpstr>LasCarreras</vt:lpstr>
      <vt:lpstr>'CLASIFICACIONES EQUIPOS'!LasCategorías</vt:lpstr>
      <vt:lpstr>LasCategorías</vt:lpstr>
      <vt:lpstr>LosSexos</vt:lpstr>
      <vt:lpstr>RangoBotonesParar</vt:lpstr>
      <vt:lpstr>RangoEstadoCarreras</vt:lpstr>
      <vt:lpstr>RangoHorasInicio</vt:lpstr>
      <vt:lpstr>RangoSexos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SAMSUNG</dc:creator>
  <cp:lastModifiedBy>SAMSUNG</cp:lastModifiedBy>
  <dcterms:created xsi:type="dcterms:W3CDTF">2015-02-27T18:29:16Z</dcterms:created>
  <dcterms:modified xsi:type="dcterms:W3CDTF">2015-12-30T00:49:53Z</dcterms:modified>
</cp:coreProperties>
</file>